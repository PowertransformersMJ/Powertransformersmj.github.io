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011FCDCC-9ACE-D848-90B8-814477FB07D2}" xr6:coauthVersionLast="47" xr6:coauthVersionMax="47" xr10:uidLastSave="{00000000-0000-0000-0000-000000000000}"/>
  <bookViews>
    <workbookView xWindow="-38400" yWindow="-8200" windowWidth="38400" windowHeight="21600" xr2:uid="{00000000-000D-0000-FFFF-FFFF00000000}"/>
  </bookViews>
  <sheets>
    <sheet name="Ficha Técnica" sheetId="2" r:id="rId1"/>
    <sheet name="Beneficios" sheetId="3" r:id="rId2"/>
    <sheet name="Diagrama Actual" sheetId="6" r:id="rId3"/>
    <sheet name="Diagrama Futuro" sheetId="7" r:id="rId4"/>
    <sheet name="Anexo AT" sheetId="14" r:id="rId6"/>
  </sheets>
  <externalReferences>
    <externalReference r:id="rId7"/>
  </externalReferences>
  <definedNames>
    <definedName name="_xlnm.Print_Area" localSheetId="4">'Anexo AT'!$B$2:$O$41</definedName>
    <definedName name="_xlnm.Print_Area" localSheetId="1">Beneficios!$B$2:$S$50</definedName>
    <definedName name="_xlnm.Print_Area" localSheetId="2">'Diagrama Actual'!$B$2:$R$56</definedName>
    <definedName name="_xlnm.Print_Area" localSheetId="3">'Diagrama Futuro'!$B$2:$R$56</definedName>
    <definedName name="_xlnm.Print_Area" localSheetId="0">'Ficha Técnica'!$A$1:$M$110</definedName>
    <definedName name="HOJA1" localSheetId="4">#REF!</definedName>
    <definedName name="HOJA1" localSheetId="3">#REF!</definedName>
    <definedName name="HOJA1">#REF!</definedName>
    <definedName name="HOJA2" localSheetId="4">#REF!</definedName>
    <definedName name="HOJA2" localSheetId="3">#REF!</definedName>
    <definedName name="HOJA2">#REF!</definedName>
    <definedName name="Necesidad_entorchado_Zonas" localSheetId="4">#REF!</definedName>
    <definedName name="Necesidad_entorchado_Zonas" localSheetId="3">#REF!</definedName>
    <definedName name="Necesidad_entorchado_Zonas">#REF!</definedName>
    <definedName name="totales" localSheetId="4">#REF!</definedName>
    <definedName name="totales" localSheetId="3">#REF!</definedName>
    <definedName name="tota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<sst xmlns="http://schemas.openxmlformats.org/spreadsheetml/2006/main" count="306" uniqueCount="134">
  <si>
    <t>FICHA TÉCNICA PLANIFICACION SISTEMA DISTRIBUCIÓN</t>
  </si>
  <si>
    <t>PROYECTO:</t>
  </si>
  <si>
    <t>CONSECUTIVO:</t>
  </si>
  <si>
    <t>COD ESTUDIO/TAREA:</t>
  </si>
  <si>
    <t>ÁMBITO</t>
  </si>
  <si>
    <t xml:space="preserve"/>
  </si>
  <si>
    <t>EMPLAZAMIENTO FÍSICO DEL PROYECTO</t>
  </si>
  <si>
    <t>ZONA</t>
  </si>
  <si>
    <t>SUBESTACIÓN</t>
  </si>
  <si>
    <t>MUNICIPIO</t>
  </si>
  <si>
    <t>ALCANCE</t>
  </si>
  <si>
    <t>BENEFICIOS</t>
  </si>
  <si>
    <t>PRESUPUESTO</t>
  </si>
  <si>
    <t xml:space="preserve">Unidades Constructivas: </t>
  </si>
  <si>
    <t>Unidades MCOL $</t>
  </si>
  <si>
    <t>INVERSIÓN:</t>
  </si>
  <si>
    <t>Subestación,
Línea o
Circuito</t>
  </si>
  <si>
    <t>UCC</t>
  </si>
  <si>
    <t>Descripción</t>
  </si>
  <si>
    <t>Valor CREG
Unitario</t>
  </si>
  <si>
    <t>Cantidad</t>
  </si>
  <si>
    <t>Valor CREG 
Total</t>
  </si>
  <si>
    <t>Valor Real 
Total</t>
  </si>
  <si>
    <t>Sistema</t>
  </si>
  <si>
    <t>TOTAL DEL PROYECTO</t>
  </si>
  <si>
    <t>HISTÓRICO DE REVISIONES</t>
  </si>
  <si>
    <t>Fecha</t>
  </si>
  <si>
    <t>Versión</t>
  </si>
  <si>
    <t>Motivo del Cambio</t>
  </si>
  <si>
    <t>PERÍODO DE EJECUCIÓN</t>
  </si>
  <si>
    <t>Pág 1 de 5</t>
  </si>
  <si>
    <t>PE.02081.PE-FO.03 Ed.01</t>
  </si>
  <si>
    <t>BENEFICIOS PROYECTO:</t>
  </si>
  <si>
    <t>Parámetros</t>
  </si>
  <si>
    <t>Referencia</t>
  </si>
  <si>
    <t>Valor</t>
  </si>
  <si>
    <t>Unidad</t>
  </si>
  <si>
    <t>VPN</t>
  </si>
  <si>
    <t>SAIDI Actual</t>
  </si>
  <si>
    <t>SAIDI Futuro</t>
  </si>
  <si>
    <t>Costo ENS [CRO]</t>
  </si>
  <si>
    <t>MM/AA</t>
  </si>
  <si>
    <t>$/kWh</t>
  </si>
  <si>
    <t>Costos [MCOL]</t>
  </si>
  <si>
    <t>TRAFO / LN / CTO</t>
  </si>
  <si>
    <t>Costo Pérdidas Técnicas [G+T]</t>
  </si>
  <si>
    <t>Beneficios [MCOL]</t>
  </si>
  <si>
    <t>Costo Nueva Demanda [Dpromedio]</t>
  </si>
  <si>
    <t>Costo Racionamiento/Agotamiento [CRO]</t>
  </si>
  <si>
    <t>Relación B/C</t>
  </si>
  <si>
    <t>Otros Costos</t>
  </si>
  <si>
    <t>Año</t>
  </si>
  <si>
    <t>ENS  Confiabilidad</t>
  </si>
  <si>
    <t>Pérdidas Técnicas</t>
  </si>
  <si>
    <t>Nueva Demanda</t>
  </si>
  <si>
    <t>Racionamiento (Agotamiento)</t>
  </si>
  <si>
    <t>Otros</t>
  </si>
  <si>
    <t>MW</t>
  </si>
  <si>
    <t>Indisponibilidad (h)</t>
  </si>
  <si>
    <t>GWh</t>
  </si>
  <si>
    <t>MCOL $</t>
  </si>
  <si>
    <t>No Horas</t>
  </si>
  <si>
    <t>Pág 2 de 5</t>
  </si>
  <si>
    <t>PE.02081.PE-FO.03 Ed.01 - Ficha Técnica Planificación Red</t>
  </si>
  <si>
    <t>DIAGRAMA ACTUAL</t>
  </si>
  <si>
    <t>Notas:</t>
  </si>
  <si>
    <t>Pág. 3 de 5</t>
  </si>
  <si>
    <t>DIAGRAMA FUTURO</t>
  </si>
  <si>
    <t>Pág. 4 de 5</t>
  </si>
  <si>
    <t>ANEXOS</t>
  </si>
  <si>
    <t>Pág. 5 de 5</t>
  </si>
  <si>
    <t>ACTUACIONES</t>
  </si>
  <si>
    <t>Salida de SSEE 1</t>
  </si>
  <si>
    <t>T</t>
  </si>
  <si>
    <t>Circuito principal</t>
  </si>
  <si>
    <t>Actuación</t>
  </si>
  <si>
    <t>Ubicación</t>
  </si>
  <si>
    <t>Observaciones</t>
  </si>
  <si>
    <t>Número</t>
  </si>
  <si>
    <t>Prioridad</t>
  </si>
  <si>
    <t>Coste unitario</t>
  </si>
  <si>
    <t>Coste total</t>
  </si>
  <si>
    <t>Coste Parcial</t>
  </si>
  <si>
    <t>D</t>
  </si>
  <si>
    <t>Derivadas y Subderivadas</t>
  </si>
  <si>
    <t>F</t>
  </si>
  <si>
    <t>Coste Total</t>
  </si>
  <si>
    <t>Coste Total Adecuación</t>
  </si>
  <si>
    <t>Salida de SSEE 2</t>
  </si>
  <si>
    <t>Salida de SSEE 3</t>
  </si>
  <si>
    <t>Salida de SSEE 4</t>
  </si>
  <si>
    <t>Salida de SSEE 5</t>
  </si>
  <si>
    <t>Salida de SSEE 6</t>
  </si>
  <si>
    <t>PE.02081.CO-PE-FO.03 Ed.1 - Ficha Técnica Planificación Red</t>
  </si>
  <si>
    <t>MAYOR A 1</t>
  </si>
  <si>
    <t>ESPECIFICACIONES EQUIPOS</t>
  </si>
  <si>
    <t>TRANSFORMADOR</t>
  </si>
  <si>
    <t>POTENCIA ASIGNADA- MVA</t>
  </si>
  <si>
    <t>RELACIÓN DE TRANSFORMACIÓN</t>
  </si>
  <si>
    <t>GRUPO DE CONEXIÓN</t>
  </si>
  <si>
    <t>IMPEDANCIAS %</t>
  </si>
  <si>
    <t>TIPO DE REFRIGERACIÓN</t>
  </si>
  <si>
    <t>CAMBIADOR DE TOMAS</t>
  </si>
  <si>
    <t>EXTENSIÓN CAMBIADOR DE TOMAS</t>
  </si>
  <si>
    <t>PORCENTAJE DE PASO %</t>
  </si>
  <si>
    <t>OPERACIÓN PARALELO</t>
  </si>
  <si>
    <t>OBSERVACIÓN</t>
  </si>
  <si>
    <t>ONAN</t>
  </si>
  <si>
    <t>ONAF</t>
  </si>
  <si>
    <t>OLTC</t>
  </si>
  <si>
    <t>OCTC</t>
  </si>
  <si>
    <t>SI</t>
  </si>
  <si>
    <t>NO</t>
  </si>
  <si>
    <t xml:space="preserve"/>
  </si>
  <si>
    <t>CELDAS/BAHÍAS</t>
  </si>
  <si>
    <t xml:space="preserve">CAPACIDAD </t>
  </si>
  <si>
    <t xml:space="preserve">CAPACIDAD CORTO </t>
  </si>
  <si>
    <t>TC´s</t>
  </si>
  <si>
    <t>I nominal primaria</t>
  </si>
  <si>
    <t>CORRIENTE (Amp)</t>
  </si>
  <si>
    <t xml:space="preserve"> CIRCUITO (kA)</t>
  </si>
  <si>
    <t>primaria (Amp)</t>
  </si>
  <si>
    <t>PE.02081.CO-PE-FO.03 Ed.2 - Ficha Técnica Alta Tensión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</si>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</sst>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\ * #,##0.00_);_(&quot;$&quot;\ * \(#,##0.00\);_(&quot;$&quot;\ * &quot;-&quot;??_);_(@_)"/>
    <numFmt numFmtId="167" formatCode="_(* #,##0_);_(* \(#,##0\);_(* &quot;-&quot;??_);_(@_)"/>
    <numFmt numFmtId="168" formatCode="_(&quot;$&quot;\ * #,##0_);_(&quot;$&quot;\ * \(#,##0\);_(&quot;$&quot;\ * &quot;-&quot;??_);_(@_)"/>
    <numFmt numFmtId="169" formatCode="0.000"/>
    <numFmt numFmtId="170" formatCode="_(&quot;$&quot;\ * #,##0.0_);_(&quot;$&quot;\ * \(#,##0.0\);_(&quot;$&quot;\ * &quot;-&quot;??_);_(@_)"/>
    <numFmt numFmtId="171" formatCode="_([$€-2]* #,##0.00_);_([$€-2]* \(#,##0.00\);_([$€-2]* &quot;-&quot;??_)"/>
    <numFmt numFmtId="172" formatCode="_(&quot;$&quot;* #,##0_);_(&quot;$&quot;* \(#,##0\);_(&quot;$&quot;* &quot;-&quot;??_);_(@_)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DIN-Regular"/>
      <family val="2"/>
    </font>
    <font>
      <sz val="10"/>
      <color indexed="8"/>
      <name val="Arial"/>
      <family val="2"/>
    </font>
    <font>
      <i/>
      <sz val="18"/>
      <color indexed="8"/>
      <name val="Arial"/>
      <family val="2"/>
    </font>
    <font>
      <b/>
      <sz val="18"/>
      <color indexed="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2"/>
      <color indexed="62"/>
      <name val="Calibri"/>
      <family val="2"/>
    </font>
    <font>
      <sz val="16"/>
      <name val="DIN-Bold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name val="DIN-Regular"/>
      <family val="2"/>
    </font>
    <font>
      <sz val="10"/>
      <name val="DIN-Bold"/>
      <family val="2"/>
    </font>
    <font>
      <sz val="8"/>
      <name val="DIN-Bold"/>
      <family val="2"/>
    </font>
    <font>
      <b/>
      <sz val="9"/>
      <name val="DIN-Regular"/>
      <family val="2"/>
    </font>
    <font>
      <sz val="10"/>
      <color indexed="55"/>
      <name val="Arial"/>
      <family val="2"/>
    </font>
    <font>
      <b/>
      <sz val="12"/>
      <color indexed="22"/>
      <name val="Arial"/>
      <family val="2"/>
    </font>
    <font>
      <sz val="10"/>
      <color indexed="22"/>
      <name val="Arial"/>
      <family val="2"/>
    </font>
    <font>
      <sz val="10"/>
      <color indexed="22"/>
      <name val="DIN-Bold"/>
      <family val="2"/>
    </font>
    <font>
      <sz val="10"/>
      <color indexed="22"/>
      <name val="DIN-Regular"/>
      <family val="2"/>
    </font>
    <font>
      <sz val="7"/>
      <name val="DIN-Regular"/>
      <family val="2"/>
    </font>
    <font>
      <sz val="7"/>
      <name val="Arial"/>
      <family val="2"/>
    </font>
    <font>
      <sz val="8"/>
      <name val="Arial"/>
      <family val="2"/>
    </font>
    <font>
      <sz val="12"/>
      <name val="DIN-Bold"/>
      <family val="2"/>
    </font>
    <font>
      <i/>
      <sz val="18"/>
      <name val="Arial"/>
      <family val="2"/>
    </font>
    <font>
      <i/>
      <sz val="10"/>
      <name val="Arial"/>
      <family val="2"/>
    </font>
    <font>
      <b/>
      <sz val="7"/>
      <color rgb="FFFF0000"/>
      <name val="Arial"/>
      <family val="2"/>
    </font>
    <font>
      <sz val="18"/>
      <name val="DIN-Bold"/>
      <family val="2"/>
    </font>
    <font>
      <b/>
      <sz val="10"/>
      <color indexed="9"/>
      <name val="DIN-Regular"/>
      <family val="2"/>
    </font>
    <font>
      <sz val="10"/>
      <color indexed="9"/>
      <name val="DIN-Regular"/>
      <family val="2"/>
    </font>
    <font>
      <sz val="10"/>
      <color theme="2" tint="-0.249977111117893"/>
      <name val="Arial"/>
      <family val="2"/>
    </font>
    <font>
      <sz val="10"/>
      <color theme="1"/>
      <name val="Arial"/>
      <family val="2"/>
    </font>
    <font>
      <sz val="10"/>
      <color theme="1"/>
      <name val="DIN-Regular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/>
      <diagonal/>
    </border>
    <border>
      <left/>
      <right style="medium">
        <color indexed="55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thin">
        <color indexed="64"/>
      </right>
      <top style="medium">
        <color indexed="55"/>
      </top>
      <bottom/>
      <diagonal/>
    </border>
    <border>
      <left/>
      <right style="thin">
        <color indexed="64"/>
      </right>
      <top style="medium">
        <color indexed="55"/>
      </top>
      <bottom/>
      <diagonal/>
    </border>
    <border>
      <left style="thin">
        <color indexed="64"/>
      </left>
      <right style="thin">
        <color indexed="64"/>
      </right>
      <top style="medium">
        <color indexed="55"/>
      </top>
      <bottom/>
      <diagonal/>
    </border>
    <border>
      <left style="thin">
        <color indexed="64"/>
      </left>
      <right/>
      <top style="medium">
        <color indexed="55"/>
      </top>
      <bottom/>
      <diagonal/>
    </border>
    <border>
      <left style="thin">
        <color indexed="64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medium">
        <color indexed="55"/>
      </left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55"/>
      </bottom>
      <diagonal/>
    </border>
    <border>
      <left style="thin">
        <color indexed="55"/>
      </left>
      <right style="medium">
        <color indexed="55"/>
      </right>
      <top style="thin">
        <color indexed="55"/>
      </top>
      <bottom style="medium">
        <color indexed="55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55"/>
      </top>
      <bottom style="thin">
        <color indexed="64"/>
      </bottom>
      <diagonal/>
    </border>
    <border>
      <left style="medium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55"/>
      </left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>
      <alignment vertical="top"/>
    </xf>
    <xf numFmtId="166" fontId="1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top"/>
    </xf>
    <xf numFmtId="0" fontId="1" fillId="0" borderId="0"/>
    <xf numFmtId="165" fontId="34" fillId="0" borderId="0" applyFont="0" applyFill="0" applyBorder="0" applyAlignment="0" applyProtection="0"/>
    <xf numFmtId="164" fontId="34" fillId="0" borderId="0" applyFont="0" applyFill="0" applyBorder="0" applyAlignment="0" applyProtection="0"/>
  </cellStyleXfs>
  <cellXfs count="375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0" xfId="1" applyFont="1"/>
    <xf numFmtId="0" fontId="2" fillId="0" borderId="5" xfId="1" applyFont="1" applyBorder="1"/>
    <xf numFmtId="0" fontId="3" fillId="2" borderId="6" xfId="1" applyFont="1" applyFill="1" applyBorder="1"/>
    <xf numFmtId="0" fontId="3" fillId="2" borderId="7" xfId="1" applyFont="1" applyFill="1" applyBorder="1"/>
    <xf numFmtId="0" fontId="2" fillId="0" borderId="7" xfId="1" applyFont="1" applyBorder="1"/>
    <xf numFmtId="0" fontId="4" fillId="2" borderId="7" xfId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3" fillId="2" borderId="13" xfId="1" applyFont="1" applyFill="1" applyBorder="1"/>
    <xf numFmtId="0" fontId="3" fillId="2" borderId="0" xfId="1" applyFont="1" applyFill="1"/>
    <xf numFmtId="0" fontId="6" fillId="2" borderId="0" xfId="2" applyFont="1" applyFill="1" applyAlignment="1">
      <alignment horizontal="left"/>
    </xf>
    <xf numFmtId="0" fontId="7" fillId="2" borderId="0" xfId="2" applyFont="1" applyFill="1" applyAlignment="1">
      <alignment horizontal="left"/>
    </xf>
    <xf numFmtId="0" fontId="4" fillId="2" borderId="14" xfId="1" applyFont="1" applyFill="1" applyBorder="1" applyAlignment="1">
      <alignment vertical="center"/>
    </xf>
    <xf numFmtId="0" fontId="9" fillId="0" borderId="9" xfId="1" applyFont="1" applyBorder="1"/>
    <xf numFmtId="0" fontId="9" fillId="0" borderId="0" xfId="1" applyFont="1"/>
    <xf numFmtId="0" fontId="10" fillId="0" borderId="13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14" xfId="1" applyFont="1" applyBorder="1" applyAlignment="1">
      <alignment horizontal="center"/>
    </xf>
    <xf numFmtId="0" fontId="1" fillId="0" borderId="19" xfId="1" applyBorder="1" applyProtection="1">
      <protection locked="0"/>
    </xf>
    <xf numFmtId="0" fontId="2" fillId="0" borderId="20" xfId="1" applyFont="1" applyBorder="1"/>
    <xf numFmtId="0" fontId="12" fillId="0" borderId="14" xfId="1" applyFont="1" applyBorder="1"/>
    <xf numFmtId="0" fontId="12" fillId="0" borderId="9" xfId="1" applyFont="1" applyBorder="1"/>
    <xf numFmtId="0" fontId="12" fillId="0" borderId="0" xfId="1" applyFont="1"/>
    <xf numFmtId="0" fontId="2" fillId="0" borderId="14" xfId="1" applyFont="1" applyBorder="1"/>
    <xf numFmtId="0" fontId="2" fillId="0" borderId="9" xfId="1" applyFont="1" applyBorder="1"/>
    <xf numFmtId="0" fontId="12" fillId="0" borderId="13" xfId="1" applyFont="1" applyBorder="1"/>
    <xf numFmtId="0" fontId="2" fillId="0" borderId="0" xfId="1" applyFont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13" fillId="0" borderId="9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2" fillId="0" borderId="13" xfId="1" applyFont="1" applyBorder="1"/>
    <xf numFmtId="0" fontId="11" fillId="0" borderId="13" xfId="1" applyFont="1" applyBorder="1" applyAlignment="1">
      <alignment horizontal="right"/>
    </xf>
    <xf numFmtId="0" fontId="13" fillId="0" borderId="0" xfId="1" applyFont="1"/>
    <xf numFmtId="0" fontId="11" fillId="0" borderId="0" xfId="1" applyFont="1"/>
    <xf numFmtId="0" fontId="1" fillId="0" borderId="14" xfId="1" applyBorder="1"/>
    <xf numFmtId="0" fontId="2" fillId="0" borderId="9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11" fillId="0" borderId="13" xfId="1" applyFont="1" applyBorder="1"/>
    <xf numFmtId="0" fontId="14" fillId="0" borderId="0" xfId="1" applyFont="1" applyAlignment="1">
      <alignment horizontal="right"/>
    </xf>
    <xf numFmtId="0" fontId="11" fillId="0" borderId="14" xfId="1" applyFont="1" applyBorder="1" applyAlignment="1">
      <alignment horizontal="right"/>
    </xf>
    <xf numFmtId="0" fontId="15" fillId="0" borderId="0" xfId="1" applyFont="1" applyAlignment="1">
      <alignment horizontal="right"/>
    </xf>
    <xf numFmtId="0" fontId="13" fillId="0" borderId="0" xfId="1" applyFont="1" applyAlignment="1">
      <alignment horizontal="left"/>
    </xf>
    <xf numFmtId="0" fontId="13" fillId="0" borderId="14" xfId="1" applyFont="1" applyBorder="1"/>
    <xf numFmtId="0" fontId="13" fillId="0" borderId="9" xfId="1" applyFont="1" applyBorder="1"/>
    <xf numFmtId="0" fontId="13" fillId="0" borderId="5" xfId="1" applyFont="1" applyBorder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1" fillId="0" borderId="13" xfId="1" applyBorder="1" applyProtection="1">
      <protection locked="0"/>
    </xf>
    <xf numFmtId="0" fontId="1" fillId="0" borderId="0" xfId="1" applyProtection="1">
      <protection locked="0"/>
    </xf>
    <xf numFmtId="0" fontId="11" fillId="0" borderId="0" xfId="1" applyFont="1" applyProtection="1">
      <protection locked="0"/>
    </xf>
    <xf numFmtId="3" fontId="12" fillId="0" borderId="0" xfId="1" applyNumberFormat="1" applyFont="1" applyAlignment="1">
      <alignment horizontal="center"/>
    </xf>
    <xf numFmtId="0" fontId="11" fillId="0" borderId="13" xfId="1" applyFont="1" applyBorder="1" applyProtection="1">
      <protection locked="0"/>
    </xf>
    <xf numFmtId="167" fontId="11" fillId="0" borderId="0" xfId="3" applyNumberFormat="1" applyFont="1" applyFill="1" applyBorder="1" applyAlignment="1" applyProtection="1">
      <alignment horizontal="center"/>
    </xf>
    <xf numFmtId="167" fontId="11" fillId="0" borderId="0" xfId="3" applyNumberFormat="1" applyFont="1" applyFill="1" applyBorder="1" applyProtection="1"/>
    <xf numFmtId="0" fontId="11" fillId="0" borderId="14" xfId="1" applyFont="1" applyBorder="1"/>
    <xf numFmtId="0" fontId="13" fillId="0" borderId="0" xfId="1" applyFont="1" applyAlignment="1">
      <alignment horizontal="center"/>
    </xf>
    <xf numFmtId="0" fontId="11" fillId="0" borderId="30" xfId="1" applyFont="1" applyBorder="1" applyAlignment="1">
      <alignment horizontal="center"/>
    </xf>
    <xf numFmtId="0" fontId="2" fillId="0" borderId="36" xfId="1" applyFont="1" applyBorder="1" applyAlignment="1" applyProtection="1">
      <alignment horizontal="center"/>
      <protection locked="0"/>
    </xf>
    <xf numFmtId="14" fontId="2" fillId="0" borderId="36" xfId="1" applyNumberFormat="1" applyFont="1" applyBorder="1" applyAlignment="1" applyProtection="1">
      <alignment horizontal="center"/>
      <protection locked="0"/>
    </xf>
    <xf numFmtId="0" fontId="2" fillId="0" borderId="36" xfId="1" applyFont="1" applyBorder="1" applyProtection="1">
      <protection locked="0"/>
    </xf>
    <xf numFmtId="0" fontId="2" fillId="0" borderId="39" xfId="1" applyFont="1" applyBorder="1" applyProtection="1">
      <protection locked="0"/>
    </xf>
    <xf numFmtId="0" fontId="2" fillId="0" borderId="6" xfId="1" applyFont="1" applyBorder="1"/>
    <xf numFmtId="0" fontId="2" fillId="0" borderId="8" xfId="1" applyFont="1" applyBorder="1"/>
    <xf numFmtId="0" fontId="16" fillId="0" borderId="0" xfId="1" applyFont="1"/>
    <xf numFmtId="0" fontId="1" fillId="0" borderId="0" xfId="1" applyAlignment="1">
      <alignment horizontal="center"/>
    </xf>
    <xf numFmtId="0" fontId="11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0" xfId="1"/>
    <xf numFmtId="0" fontId="1" fillId="0" borderId="13" xfId="1" applyBorder="1"/>
    <xf numFmtId="0" fontId="17" fillId="0" borderId="6" xfId="1" applyFont="1" applyBorder="1"/>
    <xf numFmtId="0" fontId="17" fillId="0" borderId="7" xfId="1" applyFont="1" applyBorder="1"/>
    <xf numFmtId="0" fontId="18" fillId="0" borderId="7" xfId="1" applyFont="1" applyBorder="1" applyAlignment="1">
      <alignment horizontal="center"/>
    </xf>
    <xf numFmtId="0" fontId="18" fillId="0" borderId="8" xfId="1" applyFont="1" applyBorder="1"/>
    <xf numFmtId="0" fontId="19" fillId="0" borderId="9" xfId="1" applyFont="1" applyBorder="1"/>
    <xf numFmtId="0" fontId="19" fillId="0" borderId="0" xfId="1" applyFont="1"/>
    <xf numFmtId="0" fontId="18" fillId="0" borderId="0" xfId="1" applyFont="1" applyAlignment="1">
      <alignment horizontal="center"/>
    </xf>
    <xf numFmtId="0" fontId="18" fillId="0" borderId="0" xfId="1" applyFont="1"/>
    <xf numFmtId="0" fontId="18" fillId="0" borderId="14" xfId="1" applyFont="1" applyBorder="1"/>
    <xf numFmtId="0" fontId="18" fillId="0" borderId="13" xfId="1" applyFont="1" applyBorder="1"/>
    <xf numFmtId="0" fontId="16" fillId="0" borderId="0" xfId="1" applyFont="1" applyAlignment="1">
      <alignment horizontal="center"/>
    </xf>
    <xf numFmtId="0" fontId="16" fillId="0" borderId="13" xfId="1" applyFont="1" applyBorder="1"/>
    <xf numFmtId="0" fontId="16" fillId="0" borderId="13" xfId="1" applyFont="1" applyBorder="1" applyAlignment="1">
      <alignment horizontal="left"/>
    </xf>
    <xf numFmtId="0" fontId="20" fillId="0" borderId="0" xfId="1" applyFont="1" applyAlignment="1">
      <alignment horizontal="center" vertical="center"/>
    </xf>
    <xf numFmtId="0" fontId="19" fillId="0" borderId="0" xfId="1" applyFont="1" applyAlignment="1">
      <alignment horizontal="left"/>
    </xf>
    <xf numFmtId="0" fontId="16" fillId="0" borderId="10" xfId="1" applyFont="1" applyBorder="1"/>
    <xf numFmtId="0" fontId="1" fillId="0" borderId="11" xfId="1" applyBorder="1"/>
    <xf numFmtId="0" fontId="16" fillId="0" borderId="11" xfId="1" applyFont="1" applyBorder="1"/>
    <xf numFmtId="0" fontId="1" fillId="0" borderId="12" xfId="1" applyBorder="1"/>
    <xf numFmtId="0" fontId="21" fillId="0" borderId="0" xfId="1" applyFont="1" applyAlignment="1">
      <alignment horizontal="right"/>
    </xf>
    <xf numFmtId="0" fontId="2" fillId="0" borderId="40" xfId="1" applyFont="1" applyBorder="1"/>
    <xf numFmtId="0" fontId="2" fillId="0" borderId="41" xfId="1" applyFont="1" applyBorder="1"/>
    <xf numFmtId="0" fontId="2" fillId="0" borderId="42" xfId="1" applyFont="1" applyBorder="1"/>
    <xf numFmtId="0" fontId="11" fillId="0" borderId="13" xfId="1" applyFont="1" applyBorder="1" applyAlignment="1">
      <alignment horizontal="left"/>
    </xf>
    <xf numFmtId="0" fontId="11" fillId="0" borderId="28" xfId="1" applyFont="1" applyBorder="1" applyAlignment="1" applyProtection="1">
      <alignment vertical="center" wrapText="1"/>
      <protection locked="0"/>
    </xf>
    <xf numFmtId="0" fontId="11" fillId="0" borderId="0" xfId="1" applyFont="1" applyAlignment="1" applyProtection="1">
      <alignment vertical="center" wrapText="1"/>
      <protection locked="0"/>
    </xf>
    <xf numFmtId="0" fontId="11" fillId="0" borderId="29" xfId="1" applyFont="1" applyBorder="1" applyAlignment="1" applyProtection="1">
      <alignment vertical="center" wrapText="1"/>
      <protection locked="0"/>
    </xf>
    <xf numFmtId="0" fontId="1" fillId="0" borderId="6" xfId="1" applyBorder="1"/>
    <xf numFmtId="0" fontId="1" fillId="0" borderId="7" xfId="1" applyBorder="1"/>
    <xf numFmtId="0" fontId="11" fillId="0" borderId="19" xfId="1" applyFont="1" applyBorder="1"/>
    <xf numFmtId="0" fontId="11" fillId="4" borderId="19" xfId="6" applyFont="1" applyFill="1" applyBorder="1" applyAlignment="1">
      <alignment horizontal="center"/>
    </xf>
    <xf numFmtId="0" fontId="1" fillId="4" borderId="19" xfId="6" applyFont="1" applyFill="1" applyBorder="1" applyAlignment="1" applyProtection="1">
      <alignment horizontal="center"/>
      <protection locked="0"/>
    </xf>
    <xf numFmtId="0" fontId="16" fillId="0" borderId="19" xfId="1" applyFont="1" applyBorder="1" applyAlignment="1" applyProtection="1">
      <alignment horizontal="center"/>
      <protection locked="0"/>
    </xf>
    <xf numFmtId="0" fontId="1" fillId="4" borderId="13" xfId="6" applyFont="1" applyFill="1" applyBorder="1" applyAlignment="1">
      <alignment horizontal="left"/>
    </xf>
    <xf numFmtId="0" fontId="1" fillId="4" borderId="0" xfId="6" applyFont="1" applyFill="1" applyAlignment="1">
      <alignment horizontal="left"/>
    </xf>
    <xf numFmtId="0" fontId="1" fillId="4" borderId="0" xfId="6" applyFont="1" applyFill="1" applyAlignment="1">
      <alignment horizontal="center"/>
    </xf>
    <xf numFmtId="2" fontId="11" fillId="2" borderId="19" xfId="4" applyNumberFormat="1" applyFont="1" applyFill="1" applyBorder="1" applyAlignment="1">
      <alignment horizontal="center" vertical="center"/>
    </xf>
    <xf numFmtId="0" fontId="11" fillId="2" borderId="19" xfId="4" applyFont="1" applyFill="1" applyBorder="1" applyAlignment="1">
      <alignment horizontal="center"/>
    </xf>
    <xf numFmtId="0" fontId="11" fillId="2" borderId="44" xfId="4" applyFont="1" applyFill="1" applyBorder="1" applyAlignment="1">
      <alignment horizontal="center"/>
    </xf>
    <xf numFmtId="0" fontId="1" fillId="0" borderId="43" xfId="1" applyBorder="1" applyAlignment="1" applyProtection="1">
      <alignment horizontal="center"/>
      <protection locked="0"/>
    </xf>
    <xf numFmtId="2" fontId="1" fillId="0" borderId="19" xfId="1" applyNumberFormat="1" applyBorder="1" applyAlignment="1" applyProtection="1">
      <alignment horizontal="center"/>
      <protection locked="0"/>
    </xf>
    <xf numFmtId="169" fontId="1" fillId="0" borderId="19" xfId="1" applyNumberFormat="1" applyBorder="1" applyProtection="1">
      <protection locked="0"/>
    </xf>
    <xf numFmtId="1" fontId="1" fillId="0" borderId="19" xfId="1" applyNumberFormat="1" applyBorder="1" applyProtection="1">
      <protection locked="0"/>
    </xf>
    <xf numFmtId="0" fontId="1" fillId="0" borderId="44" xfId="1" applyBorder="1" applyProtection="1">
      <protection locked="0"/>
    </xf>
    <xf numFmtId="170" fontId="0" fillId="0" borderId="19" xfId="5" applyNumberFormat="1" applyFont="1" applyBorder="1" applyAlignment="1" applyProtection="1">
      <alignment horizontal="center"/>
      <protection locked="0"/>
    </xf>
    <xf numFmtId="170" fontId="0" fillId="0" borderId="19" xfId="5" applyNumberFormat="1" applyFont="1" applyBorder="1" applyProtection="1">
      <protection locked="0"/>
    </xf>
    <xf numFmtId="2" fontId="1" fillId="0" borderId="23" xfId="1" applyNumberFormat="1" applyBorder="1" applyAlignment="1" applyProtection="1">
      <alignment horizontal="center" vertical="center"/>
      <protection locked="0"/>
    </xf>
    <xf numFmtId="0" fontId="1" fillId="0" borderId="19" xfId="1" applyBorder="1" applyAlignment="1" applyProtection="1">
      <alignment horizontal="center" vertical="center"/>
      <protection locked="0"/>
    </xf>
    <xf numFmtId="168" fontId="0" fillId="0" borderId="19" xfId="5" applyNumberFormat="1" applyFont="1" applyBorder="1" applyProtection="1">
      <protection locked="0"/>
    </xf>
    <xf numFmtId="0" fontId="1" fillId="0" borderId="23" xfId="1" applyBorder="1" applyAlignment="1" applyProtection="1">
      <alignment horizontal="center" vertical="center"/>
      <protection locked="0"/>
    </xf>
    <xf numFmtId="0" fontId="1" fillId="0" borderId="23" xfId="1" applyBorder="1" applyAlignment="1" applyProtection="1">
      <alignment horizontal="center"/>
      <protection locked="0"/>
    </xf>
    <xf numFmtId="0" fontId="1" fillId="0" borderId="43" xfId="1" applyBorder="1" applyProtection="1">
      <protection locked="0"/>
    </xf>
    <xf numFmtId="0" fontId="1" fillId="0" borderId="45" xfId="1" applyBorder="1" applyProtection="1">
      <protection locked="0"/>
    </xf>
    <xf numFmtId="0" fontId="1" fillId="0" borderId="46" xfId="1" applyBorder="1" applyProtection="1">
      <protection locked="0"/>
    </xf>
    <xf numFmtId="0" fontId="1" fillId="0" borderId="47" xfId="1" applyBorder="1" applyProtection="1">
      <protection locked="0"/>
    </xf>
    <xf numFmtId="0" fontId="1" fillId="0" borderId="48" xfId="1" applyBorder="1" applyProtection="1">
      <protection locked="0"/>
    </xf>
    <xf numFmtId="0" fontId="23" fillId="0" borderId="0" xfId="1" applyFont="1"/>
    <xf numFmtId="0" fontId="11" fillId="4" borderId="19" xfId="6" applyFont="1" applyFill="1" applyBorder="1" applyAlignment="1" applyProtection="1">
      <alignment horizontal="center"/>
      <protection locked="0"/>
    </xf>
    <xf numFmtId="17" fontId="1" fillId="0" borderId="0" xfId="1" applyNumberFormat="1" applyAlignment="1" applyProtection="1">
      <alignment horizontal="center"/>
      <protection locked="0"/>
    </xf>
    <xf numFmtId="168" fontId="1" fillId="4" borderId="23" xfId="5" applyNumberFormat="1" applyFont="1" applyFill="1" applyBorder="1" applyAlignment="1" applyProtection="1">
      <alignment horizontal="center"/>
      <protection locked="0"/>
    </xf>
    <xf numFmtId="0" fontId="1" fillId="0" borderId="0" xfId="7" applyFont="1" applyAlignment="1"/>
    <xf numFmtId="0" fontId="1" fillId="0" borderId="6" xfId="7" applyFont="1" applyBorder="1" applyAlignment="1"/>
    <xf numFmtId="0" fontId="1" fillId="0" borderId="7" xfId="7" applyFont="1" applyBorder="1" applyAlignment="1"/>
    <xf numFmtId="0" fontId="25" fillId="0" borderId="7" xfId="7" applyFont="1" applyBorder="1" applyAlignment="1">
      <alignment vertical="center"/>
    </xf>
    <xf numFmtId="0" fontId="26" fillId="0" borderId="7" xfId="7" applyFont="1" applyBorder="1" applyAlignment="1">
      <alignment vertical="center"/>
    </xf>
    <xf numFmtId="0" fontId="26" fillId="0" borderId="8" xfId="7" applyFont="1" applyBorder="1" applyAlignment="1">
      <alignment vertical="center"/>
    </xf>
    <xf numFmtId="0" fontId="26" fillId="0" borderId="0" xfId="7" applyFont="1" applyAlignment="1">
      <alignment horizontal="center" vertical="center"/>
    </xf>
    <xf numFmtId="0" fontId="1" fillId="0" borderId="8" xfId="7" applyFont="1" applyBorder="1" applyAlignment="1"/>
    <xf numFmtId="0" fontId="1" fillId="0" borderId="13" xfId="7" applyFont="1" applyBorder="1" applyAlignment="1"/>
    <xf numFmtId="0" fontId="1" fillId="0" borderId="14" xfId="7" applyFont="1" applyBorder="1" applyAlignment="1"/>
    <xf numFmtId="0" fontId="11" fillId="0" borderId="0" xfId="7" applyFont="1" applyAlignment="1"/>
    <xf numFmtId="0" fontId="1" fillId="0" borderId="10" xfId="7" applyFont="1" applyBorder="1" applyAlignment="1"/>
    <xf numFmtId="0" fontId="1" fillId="0" borderId="11" xfId="7" applyFont="1" applyBorder="1" applyAlignment="1"/>
    <xf numFmtId="0" fontId="1" fillId="0" borderId="12" xfId="7" applyFont="1" applyBorder="1" applyAlignment="1"/>
    <xf numFmtId="0" fontId="24" fillId="0" borderId="6" xfId="7" applyFont="1" applyBorder="1" applyAlignment="1"/>
    <xf numFmtId="0" fontId="23" fillId="0" borderId="0" xfId="7" applyFont="1" applyAlignment="1"/>
    <xf numFmtId="0" fontId="1" fillId="0" borderId="0" xfId="7" applyFont="1" applyAlignment="1">
      <alignment horizontal="center"/>
    </xf>
    <xf numFmtId="0" fontId="11" fillId="0" borderId="49" xfId="1" applyFont="1" applyBorder="1" applyAlignment="1">
      <alignment horizontal="center" vertical="center" wrapText="1"/>
    </xf>
    <xf numFmtId="167" fontId="0" fillId="0" borderId="0" xfId="3" applyNumberFormat="1" applyFont="1" applyFill="1" applyBorder="1" applyAlignment="1">
      <alignment horizontal="center"/>
    </xf>
    <xf numFmtId="167" fontId="0" fillId="0" borderId="0" xfId="3" applyNumberFormat="1" applyFont="1" applyBorder="1" applyAlignment="1">
      <alignment horizontal="center"/>
    </xf>
    <xf numFmtId="1" fontId="1" fillId="0" borderId="0" xfId="1" applyNumberFormat="1" applyAlignment="1" applyProtection="1">
      <alignment horizontal="center"/>
      <protection locked="0"/>
    </xf>
    <xf numFmtId="0" fontId="2" fillId="0" borderId="0" xfId="1" applyFont="1" applyAlignment="1">
      <alignment horizontal="center" vertical="center"/>
    </xf>
    <xf numFmtId="0" fontId="1" fillId="0" borderId="0" xfId="1" applyAlignment="1" applyProtection="1">
      <alignment horizontal="center"/>
      <protection locked="0"/>
    </xf>
    <xf numFmtId="0" fontId="1" fillId="0" borderId="0" xfId="1" applyAlignment="1" applyProtection="1">
      <alignment horizontal="center" vertical="center" wrapText="1"/>
      <protection locked="0"/>
    </xf>
    <xf numFmtId="0" fontId="1" fillId="3" borderId="0" xfId="1" applyFill="1"/>
    <xf numFmtId="0" fontId="1" fillId="0" borderId="0" xfId="1" applyAlignment="1" applyProtection="1">
      <alignment horizontal="center" vertical="center"/>
      <protection locked="0"/>
    </xf>
    <xf numFmtId="0" fontId="1" fillId="0" borderId="19" xfId="1" applyBorder="1" applyAlignment="1" applyProtection="1">
      <alignment horizontal="center"/>
      <protection locked="0"/>
    </xf>
    <xf numFmtId="0" fontId="2" fillId="2" borderId="0" xfId="12" applyFont="1" applyFill="1"/>
    <xf numFmtId="3" fontId="2" fillId="2" borderId="0" xfId="12" applyNumberFormat="1" applyFont="1" applyFill="1" applyAlignment="1">
      <alignment horizontal="right"/>
    </xf>
    <xf numFmtId="3" fontId="13" fillId="2" borderId="15" xfId="12" applyNumberFormat="1" applyFont="1" applyFill="1" applyBorder="1"/>
    <xf numFmtId="3" fontId="12" fillId="2" borderId="16" xfId="12" applyNumberFormat="1" applyFont="1" applyFill="1" applyBorder="1"/>
    <xf numFmtId="3" fontId="12" fillId="2" borderId="17" xfId="12" applyNumberFormat="1" applyFont="1" applyFill="1" applyBorder="1"/>
    <xf numFmtId="0" fontId="2" fillId="2" borderId="0" xfId="12" applyFont="1" applyFill="1" applyAlignment="1">
      <alignment horizontal="center"/>
    </xf>
    <xf numFmtId="3" fontId="2" fillId="2" borderId="0" xfId="12" applyNumberFormat="1" applyFont="1" applyFill="1"/>
    <xf numFmtId="0" fontId="13" fillId="0" borderId="15" xfId="12" applyFont="1" applyBorder="1"/>
    <xf numFmtId="0" fontId="12" fillId="0" borderId="16" xfId="12" applyFont="1" applyBorder="1" applyAlignment="1">
      <alignment horizontal="left"/>
    </xf>
    <xf numFmtId="0" fontId="12" fillId="2" borderId="16" xfId="12" applyFont="1" applyFill="1" applyBorder="1" applyAlignment="1">
      <alignment horizontal="left"/>
    </xf>
    <xf numFmtId="0" fontId="12" fillId="2" borderId="16" xfId="12" applyFont="1" applyFill="1" applyBorder="1"/>
    <xf numFmtId="3" fontId="12" fillId="2" borderId="16" xfId="12" applyNumberFormat="1" applyFont="1" applyFill="1" applyBorder="1" applyAlignment="1">
      <alignment horizontal="right"/>
    </xf>
    <xf numFmtId="3" fontId="2" fillId="2" borderId="17" xfId="12" applyNumberFormat="1" applyFont="1" applyFill="1" applyBorder="1" applyAlignment="1">
      <alignment horizontal="right"/>
    </xf>
    <xf numFmtId="0" fontId="19" fillId="6" borderId="50" xfId="12" applyFont="1" applyFill="1" applyBorder="1"/>
    <xf numFmtId="0" fontId="13" fillId="6" borderId="0" xfId="12" applyFont="1" applyFill="1"/>
    <xf numFmtId="3" fontId="13" fillId="6" borderId="0" xfId="12" applyNumberFormat="1" applyFont="1" applyFill="1" applyAlignment="1">
      <alignment horizontal="right"/>
    </xf>
    <xf numFmtId="3" fontId="13" fillId="6" borderId="51" xfId="12" applyNumberFormat="1" applyFont="1" applyFill="1" applyBorder="1" applyAlignment="1">
      <alignment horizontal="right"/>
    </xf>
    <xf numFmtId="0" fontId="13" fillId="2" borderId="0" xfId="12" applyFont="1" applyFill="1"/>
    <xf numFmtId="0" fontId="13" fillId="2" borderId="50" xfId="12" applyFont="1" applyFill="1" applyBorder="1"/>
    <xf numFmtId="0" fontId="13" fillId="2" borderId="0" xfId="12" applyFont="1" applyFill="1" applyAlignment="1">
      <alignment horizontal="center"/>
    </xf>
    <xf numFmtId="3" fontId="13" fillId="2" borderId="0" xfId="12" applyNumberFormat="1" applyFont="1" applyFill="1" applyAlignment="1">
      <alignment horizontal="right"/>
    </xf>
    <xf numFmtId="3" fontId="13" fillId="2" borderId="51" xfId="12" applyNumberFormat="1" applyFont="1" applyFill="1" applyBorder="1" applyAlignment="1">
      <alignment horizontal="right"/>
    </xf>
    <xf numFmtId="0" fontId="2" fillId="2" borderId="50" xfId="12" applyFont="1" applyFill="1" applyBorder="1"/>
    <xf numFmtId="0" fontId="12" fillId="2" borderId="0" xfId="12" applyFont="1" applyFill="1"/>
    <xf numFmtId="0" fontId="2" fillId="2" borderId="0" xfId="12" applyFont="1" applyFill="1" applyAlignment="1">
      <alignment horizontal="right"/>
    </xf>
    <xf numFmtId="3" fontId="2" fillId="2" borderId="51" xfId="12" applyNumberFormat="1" applyFont="1" applyFill="1" applyBorder="1" applyAlignment="1">
      <alignment horizontal="right"/>
    </xf>
    <xf numFmtId="165" fontId="13" fillId="2" borderId="0" xfId="3" applyFont="1" applyFill="1" applyBorder="1" applyAlignment="1"/>
    <xf numFmtId="165" fontId="12" fillId="2" borderId="0" xfId="3" applyFont="1" applyFill="1" applyBorder="1"/>
    <xf numFmtId="3" fontId="12" fillId="2" borderId="0" xfId="3" applyNumberFormat="1" applyFont="1" applyFill="1" applyBorder="1" applyAlignment="1">
      <alignment horizontal="right"/>
    </xf>
    <xf numFmtId="3" fontId="12" fillId="2" borderId="51" xfId="3" applyNumberFormat="1" applyFont="1" applyFill="1" applyBorder="1" applyAlignment="1">
      <alignment horizontal="right"/>
    </xf>
    <xf numFmtId="165" fontId="13" fillId="6" borderId="0" xfId="3" applyFont="1" applyFill="1" applyBorder="1" applyAlignment="1"/>
    <xf numFmtId="165" fontId="13" fillId="6" borderId="0" xfId="3" applyFont="1" applyFill="1" applyBorder="1"/>
    <xf numFmtId="3" fontId="13" fillId="6" borderId="0" xfId="3" applyNumberFormat="1" applyFont="1" applyFill="1" applyBorder="1" applyAlignment="1">
      <alignment horizontal="right"/>
    </xf>
    <xf numFmtId="3" fontId="13" fillId="6" borderId="51" xfId="3" applyNumberFormat="1" applyFont="1" applyFill="1" applyBorder="1" applyAlignment="1">
      <alignment horizontal="right"/>
    </xf>
    <xf numFmtId="165" fontId="13" fillId="2" borderId="0" xfId="3" applyFont="1" applyFill="1" applyBorder="1"/>
    <xf numFmtId="3" fontId="13" fillId="2" borderId="0" xfId="3" applyNumberFormat="1" applyFont="1" applyFill="1" applyBorder="1" applyAlignment="1">
      <alignment horizontal="right"/>
    </xf>
    <xf numFmtId="0" fontId="29" fillId="2" borderId="50" xfId="12" applyFont="1" applyFill="1" applyBorder="1"/>
    <xf numFmtId="0" fontId="30" fillId="2" borderId="52" xfId="12" applyFont="1" applyFill="1" applyBorder="1"/>
    <xf numFmtId="0" fontId="2" fillId="2" borderId="53" xfId="12" applyFont="1" applyFill="1" applyBorder="1"/>
    <xf numFmtId="0" fontId="13" fillId="2" borderId="53" xfId="12" applyFont="1" applyFill="1" applyBorder="1"/>
    <xf numFmtId="0" fontId="13" fillId="2" borderId="53" xfId="12" applyFont="1" applyFill="1" applyBorder="1" applyAlignment="1">
      <alignment horizontal="left"/>
    </xf>
    <xf numFmtId="3" fontId="13" fillId="2" borderId="53" xfId="12" applyNumberFormat="1" applyFont="1" applyFill="1" applyBorder="1" applyAlignment="1">
      <alignment horizontal="right"/>
    </xf>
    <xf numFmtId="3" fontId="12" fillId="2" borderId="54" xfId="12" applyNumberFormat="1" applyFont="1" applyFill="1" applyBorder="1" applyAlignment="1">
      <alignment horizontal="right"/>
    </xf>
    <xf numFmtId="0" fontId="13" fillId="0" borderId="16" xfId="12" applyFont="1" applyBorder="1" applyAlignment="1">
      <alignment horizontal="left"/>
    </xf>
    <xf numFmtId="0" fontId="13" fillId="2" borderId="16" xfId="12" applyFont="1" applyFill="1" applyBorder="1" applyAlignment="1">
      <alignment horizontal="left"/>
    </xf>
    <xf numFmtId="0" fontId="13" fillId="2" borderId="16" xfId="12" applyFont="1" applyFill="1" applyBorder="1"/>
    <xf numFmtId="3" fontId="13" fillId="2" borderId="16" xfId="12" applyNumberFormat="1" applyFont="1" applyFill="1" applyBorder="1" applyAlignment="1">
      <alignment horizontal="right"/>
    </xf>
    <xf numFmtId="3" fontId="13" fillId="2" borderId="17" xfId="12" applyNumberFormat="1" applyFont="1" applyFill="1" applyBorder="1" applyAlignment="1">
      <alignment horizontal="right"/>
    </xf>
    <xf numFmtId="3" fontId="2" fillId="2" borderId="53" xfId="12" applyNumberFormat="1" applyFont="1" applyFill="1" applyBorder="1" applyAlignment="1">
      <alignment horizontal="right"/>
    </xf>
    <xf numFmtId="0" fontId="12" fillId="2" borderId="0" xfId="12" applyFont="1" applyFill="1" applyAlignment="1">
      <alignment horizontal="center"/>
    </xf>
    <xf numFmtId="3" fontId="12" fillId="2" borderId="0" xfId="12" applyNumberFormat="1" applyFont="1" applyFill="1" applyAlignment="1">
      <alignment horizontal="right"/>
    </xf>
    <xf numFmtId="168" fontId="1" fillId="4" borderId="18" xfId="5" applyNumberFormat="1" applyFont="1" applyFill="1" applyBorder="1" applyAlignment="1" applyProtection="1">
      <alignment horizontal="center"/>
      <protection locked="0"/>
    </xf>
    <xf numFmtId="0" fontId="22" fillId="3" borderId="55" xfId="1" applyFont="1" applyFill="1" applyBorder="1"/>
    <xf numFmtId="0" fontId="23" fillId="3" borderId="55" xfId="1" applyFont="1" applyFill="1" applyBorder="1"/>
    <xf numFmtId="0" fontId="1" fillId="7" borderId="19" xfId="1" applyFill="1" applyBorder="1" applyProtection="1">
      <protection locked="0"/>
    </xf>
    <xf numFmtId="2" fontId="1" fillId="5" borderId="23" xfId="1" applyNumberFormat="1" applyFill="1" applyBorder="1" applyAlignment="1" applyProtection="1">
      <alignment horizontal="center"/>
      <protection locked="0"/>
    </xf>
    <xf numFmtId="0" fontId="1" fillId="8" borderId="19" xfId="6" applyFont="1" applyFill="1" applyBorder="1" applyAlignment="1" applyProtection="1">
      <alignment horizontal="center"/>
      <protection locked="0"/>
    </xf>
    <xf numFmtId="164" fontId="1" fillId="0" borderId="19" xfId="14" applyFont="1" applyBorder="1" applyProtection="1">
      <protection locked="0"/>
    </xf>
    <xf numFmtId="14" fontId="2" fillId="0" borderId="36" xfId="1" applyNumberFormat="1" applyFont="1" applyBorder="1" applyAlignment="1">
      <alignment horizontal="center"/>
    </xf>
    <xf numFmtId="0" fontId="1" fillId="3" borderId="0" xfId="7" applyFont="1" applyFill="1" applyAlignment="1"/>
    <xf numFmtId="17" fontId="16" fillId="5" borderId="19" xfId="1" applyNumberFormat="1" applyFont="1" applyFill="1" applyBorder="1" applyAlignment="1" applyProtection="1">
      <alignment horizontal="center"/>
      <protection locked="0"/>
    </xf>
    <xf numFmtId="172" fontId="1" fillId="8" borderId="19" xfId="14" applyNumberFormat="1" applyFont="1" applyFill="1" applyBorder="1" applyAlignment="1" applyProtection="1">
      <alignment horizontal="center"/>
      <protection locked="0"/>
    </xf>
    <xf numFmtId="0" fontId="1" fillId="9" borderId="19" xfId="1" applyFill="1" applyBorder="1" applyAlignment="1" applyProtection="1">
      <alignment horizontal="center"/>
      <protection locked="0"/>
    </xf>
    <xf numFmtId="172" fontId="1" fillId="5" borderId="19" xfId="14" applyNumberFormat="1" applyFont="1" applyFill="1" applyBorder="1" applyAlignment="1" applyProtection="1">
      <alignment horizontal="center"/>
      <protection locked="0"/>
    </xf>
    <xf numFmtId="0" fontId="4" fillId="2" borderId="25" xfId="1" applyFont="1" applyFill="1" applyBorder="1" applyAlignment="1">
      <alignment vertical="center"/>
    </xf>
    <xf numFmtId="0" fontId="6" fillId="2" borderId="7" xfId="2" applyFont="1" applyFill="1" applyBorder="1" applyAlignment="1">
      <alignment horizontal="left"/>
    </xf>
    <xf numFmtId="0" fontId="11" fillId="0" borderId="13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19" xfId="1" applyFont="1" applyBorder="1" applyAlignment="1">
      <alignment horizontal="center" wrapText="1"/>
    </xf>
    <xf numFmtId="0" fontId="11" fillId="0" borderId="19" xfId="1" applyFont="1" applyBorder="1" applyAlignment="1">
      <alignment horizontal="center"/>
    </xf>
    <xf numFmtId="0" fontId="1" fillId="4" borderId="43" xfId="6" applyFont="1" applyFill="1" applyBorder="1" applyAlignment="1" applyProtection="1">
      <alignment horizontal="center"/>
      <protection locked="0"/>
    </xf>
    <xf numFmtId="0" fontId="1" fillId="0" borderId="44" xfId="1" applyBorder="1" applyAlignment="1" applyProtection="1">
      <alignment horizontal="center"/>
      <protection locked="0"/>
    </xf>
    <xf numFmtId="0" fontId="1" fillId="4" borderId="13" xfId="6" applyFont="1" applyFill="1" applyBorder="1" applyAlignment="1"/>
    <xf numFmtId="0" fontId="1" fillId="4" borderId="0" xfId="6" applyFont="1" applyFill="1" applyAlignment="1"/>
    <xf numFmtId="0" fontId="11" fillId="0" borderId="57" xfId="6" applyFont="1" applyBorder="1" applyAlignment="1">
      <alignment horizontal="center"/>
    </xf>
    <xf numFmtId="0" fontId="11" fillId="0" borderId="58" xfId="6" applyFont="1" applyBorder="1" applyAlignment="1">
      <alignment horizontal="center"/>
    </xf>
    <xf numFmtId="0" fontId="11" fillId="0" borderId="0" xfId="6" applyFont="1" applyAlignment="1">
      <alignment horizontal="center"/>
    </xf>
    <xf numFmtId="0" fontId="11" fillId="0" borderId="45" xfId="6" applyFont="1" applyBorder="1" applyAlignment="1">
      <alignment horizontal="center"/>
    </xf>
    <xf numFmtId="0" fontId="11" fillId="0" borderId="60" xfId="6" applyFont="1" applyBorder="1" applyAlignment="1">
      <alignment horizontal="center"/>
    </xf>
    <xf numFmtId="2" fontId="11" fillId="2" borderId="43" xfId="4" applyNumberFormat="1" applyFont="1" applyFill="1" applyBorder="1" applyAlignment="1" applyProtection="1">
      <alignment horizontal="center" vertical="center"/>
      <protection locked="0"/>
    </xf>
    <xf numFmtId="2" fontId="11" fillId="2" borderId="19" xfId="4" applyNumberFormat="1" applyFont="1" applyFill="1" applyBorder="1" applyAlignment="1" applyProtection="1">
      <alignment horizontal="center" vertical="center" wrapText="1"/>
      <protection locked="0"/>
    </xf>
    <xf numFmtId="2" fontId="11" fillId="2" borderId="0" xfId="4" applyNumberFormat="1" applyFont="1" applyFill="1" applyAlignment="1">
      <alignment vertical="center" wrapText="1"/>
    </xf>
    <xf numFmtId="2" fontId="11" fillId="2" borderId="14" xfId="4" applyNumberFormat="1" applyFont="1" applyFill="1" applyBorder="1" applyAlignment="1">
      <alignment vertical="center" wrapText="1"/>
    </xf>
    <xf numFmtId="2" fontId="11" fillId="2" borderId="19" xfId="4" applyNumberFormat="1" applyFont="1" applyFill="1" applyBorder="1" applyAlignment="1" applyProtection="1">
      <alignment horizontal="center" vertical="center"/>
      <protection locked="0"/>
    </xf>
    <xf numFmtId="2" fontId="11" fillId="2" borderId="0" xfId="4" applyNumberFormat="1" applyFont="1" applyFill="1" applyAlignment="1">
      <alignment horizontal="center" vertical="center"/>
    </xf>
    <xf numFmtId="0" fontId="11" fillId="2" borderId="0" xfId="4" applyFont="1" applyFill="1" applyAlignment="1">
      <alignment horizontal="center"/>
    </xf>
    <xf numFmtId="0" fontId="11" fillId="2" borderId="19" xfId="4" applyFont="1" applyFill="1" applyBorder="1" applyAlignment="1" applyProtection="1">
      <alignment horizontal="center"/>
      <protection locked="0"/>
    </xf>
    <xf numFmtId="0" fontId="11" fillId="2" borderId="14" xfId="4" applyFont="1" applyFill="1" applyBorder="1" applyAlignment="1">
      <alignment horizontal="center"/>
    </xf>
    <xf numFmtId="0" fontId="1" fillId="0" borderId="10" xfId="1" applyBorder="1"/>
    <xf numFmtId="164" fontId="1" fillId="0" borderId="0" xfId="14" applyFont="1" applyFill="1"/>
    <xf numFmtId="164" fontId="1" fillId="0" borderId="0" xfId="14" applyFont="1" applyFill="1" applyAlignment="1" applyProtection="1">
      <alignment horizontal="center"/>
      <protection locked="0"/>
    </xf>
    <xf numFmtId="0" fontId="18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23" fillId="3" borderId="41" xfId="1" applyFont="1" applyFill="1" applyBorder="1" applyAlignment="1">
      <alignment horizontal="right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2" fillId="0" borderId="36" xfId="1" applyFont="1" applyBorder="1" applyAlignment="1" applyProtection="1">
      <alignment horizontal="center"/>
      <protection locked="0"/>
    </xf>
    <xf numFmtId="0" fontId="2" fillId="0" borderId="39" xfId="1" applyFont="1" applyBorder="1" applyAlignment="1" applyProtection="1">
      <alignment horizontal="center"/>
      <protection locked="0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11" fillId="0" borderId="33" xfId="1" applyFont="1" applyBorder="1" applyAlignment="1">
      <alignment horizontal="center"/>
    </xf>
    <xf numFmtId="0" fontId="11" fillId="0" borderId="34" xfId="1" applyFont="1" applyBorder="1" applyAlignment="1">
      <alignment horizontal="center"/>
    </xf>
    <xf numFmtId="0" fontId="11" fillId="0" borderId="35" xfId="1" applyFont="1" applyBorder="1" applyAlignment="1">
      <alignment horizontal="center"/>
    </xf>
    <xf numFmtId="0" fontId="2" fillId="0" borderId="36" xfId="1" applyFont="1" applyBorder="1" applyAlignment="1" applyProtection="1">
      <alignment horizontal="left"/>
      <protection locked="0"/>
    </xf>
    <xf numFmtId="0" fontId="2" fillId="0" borderId="37" xfId="1" applyFont="1" applyBorder="1" applyAlignment="1" applyProtection="1">
      <alignment horizontal="left"/>
      <protection locked="0"/>
    </xf>
    <xf numFmtId="0" fontId="2" fillId="0" borderId="22" xfId="1" applyFont="1" applyBorder="1" applyAlignment="1" applyProtection="1">
      <alignment horizontal="left"/>
      <protection locked="0"/>
    </xf>
    <xf numFmtId="0" fontId="2" fillId="0" borderId="38" xfId="1" applyFont="1" applyBorder="1" applyAlignment="1" applyProtection="1">
      <alignment horizontal="left"/>
      <protection locked="0"/>
    </xf>
    <xf numFmtId="0" fontId="7" fillId="0" borderId="24" xfId="1" applyFont="1" applyBorder="1" applyAlignment="1">
      <alignment horizontal="center" vertical="center"/>
    </xf>
    <xf numFmtId="0" fontId="1" fillId="0" borderId="6" xfId="1" applyBorder="1" applyAlignment="1" applyProtection="1">
      <alignment horizontal="justify" vertical="center" wrapText="1"/>
      <protection locked="0"/>
    </xf>
    <xf numFmtId="0" fontId="1" fillId="0" borderId="7" xfId="1" applyBorder="1" applyAlignment="1" applyProtection="1">
      <alignment horizontal="justify" vertical="center" wrapText="1"/>
      <protection locked="0"/>
    </xf>
    <xf numFmtId="0" fontId="1" fillId="0" borderId="8" xfId="1" applyBorder="1" applyAlignment="1" applyProtection="1">
      <alignment horizontal="justify" vertical="center" wrapText="1"/>
      <protection locked="0"/>
    </xf>
    <xf numFmtId="0" fontId="1" fillId="0" borderId="13" xfId="1" applyBorder="1" applyAlignment="1" applyProtection="1">
      <alignment horizontal="justify" vertical="center" wrapText="1"/>
      <protection locked="0"/>
    </xf>
    <xf numFmtId="0" fontId="1" fillId="0" borderId="0" xfId="1" applyAlignment="1" applyProtection="1">
      <alignment horizontal="justify" vertical="center" wrapText="1"/>
      <protection locked="0"/>
    </xf>
    <xf numFmtId="0" fontId="1" fillId="0" borderId="14" xfId="1" applyBorder="1" applyAlignment="1" applyProtection="1">
      <alignment horizontal="justify" vertical="center" wrapText="1"/>
      <protection locked="0"/>
    </xf>
    <xf numFmtId="0" fontId="11" fillId="0" borderId="13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3" fillId="0" borderId="0" xfId="1" applyFont="1" applyAlignment="1">
      <alignment horizontal="center"/>
    </xf>
    <xf numFmtId="0" fontId="1" fillId="0" borderId="21" xfId="1" applyBorder="1" applyAlignment="1" applyProtection="1">
      <alignment horizontal="left"/>
      <protection locked="0"/>
    </xf>
    <xf numFmtId="0" fontId="1" fillId="0" borderId="22" xfId="1" applyBorder="1" applyAlignment="1" applyProtection="1">
      <alignment horizontal="left"/>
      <protection locked="0"/>
    </xf>
    <xf numFmtId="0" fontId="1" fillId="0" borderId="23" xfId="1" applyBorder="1" applyAlignment="1" applyProtection="1">
      <alignment horizontal="left"/>
      <protection locked="0"/>
    </xf>
    <xf numFmtId="0" fontId="2" fillId="0" borderId="9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10" xfId="1" applyBorder="1" applyAlignment="1" applyProtection="1">
      <alignment horizontal="justify" vertical="center" wrapText="1"/>
      <protection locked="0"/>
    </xf>
    <xf numFmtId="0" fontId="1" fillId="0" borderId="11" xfId="1" applyBorder="1" applyAlignment="1" applyProtection="1">
      <alignment horizontal="justify" vertical="center" wrapText="1"/>
      <protection locked="0"/>
    </xf>
    <xf numFmtId="0" fontId="1" fillId="0" borderId="12" xfId="1" applyBorder="1" applyAlignment="1" applyProtection="1">
      <alignment horizontal="justify" vertical="center" wrapText="1"/>
      <protection locked="0"/>
    </xf>
    <xf numFmtId="0" fontId="11" fillId="0" borderId="18" xfId="1" applyFont="1" applyBorder="1" applyAlignment="1">
      <alignment horizontal="left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49" fontId="8" fillId="0" borderId="15" xfId="1" applyNumberFormat="1" applyFont="1" applyBorder="1" applyAlignment="1" applyProtection="1">
      <alignment horizontal="center" vertical="center"/>
      <protection locked="0"/>
    </xf>
    <xf numFmtId="49" fontId="8" fillId="0" borderId="16" xfId="1" applyNumberFormat="1" applyFont="1" applyBorder="1" applyAlignment="1" applyProtection="1">
      <alignment horizontal="center" vertical="center"/>
      <protection locked="0"/>
    </xf>
    <xf numFmtId="49" fontId="8" fillId="0" borderId="17" xfId="1" applyNumberFormat="1" applyFont="1" applyBorder="1" applyAlignment="1" applyProtection="1">
      <alignment horizontal="center" vertical="center"/>
      <protection locked="0"/>
    </xf>
    <xf numFmtId="0" fontId="33" fillId="7" borderId="21" xfId="1" applyFont="1" applyFill="1" applyBorder="1" applyAlignment="1" applyProtection="1">
      <alignment horizontal="left" vertical="center" wrapText="1"/>
      <protection locked="0"/>
    </xf>
    <xf numFmtId="0" fontId="20" fillId="7" borderId="22" xfId="1" applyFont="1" applyFill="1" applyBorder="1" applyAlignment="1" applyProtection="1">
      <alignment horizontal="left" vertical="center" wrapText="1"/>
      <protection locked="0"/>
    </xf>
    <xf numFmtId="0" fontId="20" fillId="7" borderId="23" xfId="1" applyFont="1" applyFill="1" applyBorder="1" applyAlignment="1" applyProtection="1">
      <alignment horizontal="left" vertical="center" wrapText="1"/>
      <protection locked="0"/>
    </xf>
    <xf numFmtId="0" fontId="31" fillId="0" borderId="21" xfId="1" applyFont="1" applyBorder="1" applyAlignment="1" applyProtection="1">
      <alignment horizontal="left" vertical="center" wrapText="1"/>
      <protection locked="0"/>
    </xf>
    <xf numFmtId="0" fontId="31" fillId="0" borderId="22" xfId="1" applyFont="1" applyBorder="1" applyAlignment="1" applyProtection="1">
      <alignment horizontal="left" vertical="center" wrapText="1"/>
      <protection locked="0"/>
    </xf>
    <xf numFmtId="0" fontId="31" fillId="0" borderId="23" xfId="1" applyFont="1" applyBorder="1" applyAlignment="1" applyProtection="1">
      <alignment horizontal="left" vertical="center" wrapText="1"/>
      <protection locked="0"/>
    </xf>
    <xf numFmtId="0" fontId="1" fillId="4" borderId="37" xfId="6" applyFont="1" applyFill="1" applyBorder="1" applyAlignment="1">
      <alignment horizontal="left"/>
    </xf>
    <xf numFmtId="0" fontId="1" fillId="4" borderId="22" xfId="6" applyFont="1" applyFill="1" applyBorder="1" applyAlignment="1">
      <alignment horizontal="left"/>
    </xf>
    <xf numFmtId="2" fontId="11" fillId="2" borderId="43" xfId="4" applyNumberFormat="1" applyFont="1" applyFill="1" applyBorder="1" applyAlignment="1">
      <alignment horizontal="center" vertical="center"/>
    </xf>
    <xf numFmtId="165" fontId="11" fillId="2" borderId="21" xfId="13" applyFont="1" applyFill="1" applyBorder="1" applyAlignment="1" applyProtection="1">
      <alignment horizontal="center" vertical="center" wrapText="1"/>
    </xf>
    <xf numFmtId="165" fontId="11" fillId="2" borderId="22" xfId="13" applyFont="1" applyFill="1" applyBorder="1" applyAlignment="1" applyProtection="1">
      <alignment horizontal="center" vertical="center" wrapText="1"/>
    </xf>
    <xf numFmtId="2" fontId="11" fillId="2" borderId="21" xfId="4" applyNumberFormat="1" applyFont="1" applyFill="1" applyBorder="1" applyAlignment="1">
      <alignment horizontal="center" vertical="center" wrapText="1"/>
    </xf>
    <xf numFmtId="2" fontId="11" fillId="2" borderId="22" xfId="4" applyNumberFormat="1" applyFont="1" applyFill="1" applyBorder="1" applyAlignment="1">
      <alignment horizontal="center" vertical="center" wrapText="1"/>
    </xf>
    <xf numFmtId="2" fontId="11" fillId="2" borderId="21" xfId="4" applyNumberFormat="1" applyFont="1" applyFill="1" applyBorder="1" applyAlignment="1" applyProtection="1">
      <alignment horizontal="center" vertical="center" wrapText="1"/>
      <protection locked="0"/>
    </xf>
    <xf numFmtId="2" fontId="11" fillId="2" borderId="22" xfId="4" applyNumberFormat="1" applyFont="1" applyFill="1" applyBorder="1" applyAlignment="1" applyProtection="1">
      <alignment horizontal="center" vertical="center" wrapText="1"/>
      <protection locked="0"/>
    </xf>
    <xf numFmtId="2" fontId="11" fillId="2" borderId="23" xfId="4" applyNumberFormat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1" fillId="0" borderId="21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0" borderId="23" xfId="1" applyBorder="1" applyAlignment="1">
      <alignment horizontal="center"/>
    </xf>
    <xf numFmtId="0" fontId="11" fillId="4" borderId="37" xfId="6" applyFont="1" applyFill="1" applyBorder="1" applyAlignment="1">
      <alignment horizontal="center"/>
    </xf>
    <xf numFmtId="0" fontId="11" fillId="4" borderId="22" xfId="6" applyFont="1" applyFill="1" applyBorder="1" applyAlignment="1">
      <alignment horizontal="center"/>
    </xf>
    <xf numFmtId="0" fontId="1" fillId="8" borderId="37" xfId="6" applyFont="1" applyFill="1" applyBorder="1" applyAlignment="1">
      <alignment horizontal="left"/>
    </xf>
    <xf numFmtId="0" fontId="1" fillId="8" borderId="22" xfId="6" applyFont="1" applyFill="1" applyBorder="1" applyAlignment="1">
      <alignment horizontal="left"/>
    </xf>
    <xf numFmtId="168" fontId="31" fillId="4" borderId="21" xfId="5" applyNumberFormat="1" applyFont="1" applyFill="1" applyBorder="1" applyAlignment="1" applyProtection="1">
      <alignment horizontal="center"/>
      <protection locked="0"/>
    </xf>
    <xf numFmtId="168" fontId="31" fillId="4" borderId="23" xfId="5" applyNumberFormat="1" applyFont="1" applyFill="1" applyBorder="1" applyAlignment="1" applyProtection="1">
      <alignment horizontal="center"/>
      <protection locked="0"/>
    </xf>
    <xf numFmtId="168" fontId="32" fillId="4" borderId="21" xfId="5" applyNumberFormat="1" applyFont="1" applyFill="1" applyBorder="1" applyAlignment="1" applyProtection="1">
      <alignment horizontal="left"/>
      <protection locked="0"/>
    </xf>
    <xf numFmtId="168" fontId="32" fillId="4" borderId="23" xfId="5" applyNumberFormat="1" applyFont="1" applyFill="1" applyBorder="1" applyAlignment="1" applyProtection="1">
      <alignment horizontal="left"/>
      <protection locked="0"/>
    </xf>
    <xf numFmtId="0" fontId="6" fillId="5" borderId="6" xfId="7" applyFont="1" applyFill="1" applyBorder="1" applyAlignment="1">
      <alignment horizontal="center" vertical="center"/>
    </xf>
    <xf numFmtId="0" fontId="6" fillId="5" borderId="7" xfId="7" applyFont="1" applyFill="1" applyBorder="1" applyAlignment="1">
      <alignment horizontal="center" vertical="center"/>
    </xf>
    <xf numFmtId="0" fontId="6" fillId="5" borderId="8" xfId="7" applyFont="1" applyFill="1" applyBorder="1" applyAlignment="1">
      <alignment horizontal="center" vertical="center"/>
    </xf>
    <xf numFmtId="0" fontId="6" fillId="5" borderId="10" xfId="7" applyFont="1" applyFill="1" applyBorder="1" applyAlignment="1">
      <alignment horizontal="center" vertical="center"/>
    </xf>
    <xf numFmtId="0" fontId="6" fillId="5" borderId="11" xfId="7" applyFont="1" applyFill="1" applyBorder="1" applyAlignment="1">
      <alignment horizontal="center" vertical="center"/>
    </xf>
    <xf numFmtId="0" fontId="6" fillId="5" borderId="12" xfId="7" applyFont="1" applyFill="1" applyBorder="1" applyAlignment="1">
      <alignment horizontal="center" vertical="center"/>
    </xf>
    <xf numFmtId="0" fontId="9" fillId="0" borderId="13" xfId="7" applyFont="1" applyBorder="1" applyAlignment="1">
      <alignment horizontal="center"/>
    </xf>
    <xf numFmtId="0" fontId="9" fillId="0" borderId="0" xfId="7" applyFont="1" applyAlignment="1">
      <alignment horizontal="center"/>
    </xf>
    <xf numFmtId="0" fontId="9" fillId="0" borderId="14" xfId="7" applyFont="1" applyBorder="1" applyAlignment="1">
      <alignment horizontal="center"/>
    </xf>
    <xf numFmtId="0" fontId="11" fillId="0" borderId="0" xfId="7" applyFont="1" applyAlignment="1">
      <alignment horizontal="center"/>
    </xf>
    <xf numFmtId="0" fontId="1" fillId="0" borderId="13" xfId="7" applyFont="1" applyBorder="1" applyAlignment="1">
      <alignment horizontal="left"/>
    </xf>
    <xf numFmtId="0" fontId="1" fillId="0" borderId="0" xfId="7" applyFont="1" applyAlignment="1">
      <alignment horizontal="left"/>
    </xf>
    <xf numFmtId="0" fontId="1" fillId="0" borderId="14" xfId="7" applyFont="1" applyBorder="1" applyAlignment="1">
      <alignment horizontal="left"/>
    </xf>
    <xf numFmtId="0" fontId="1" fillId="0" borderId="13" xfId="7" applyFont="1" applyBorder="1" applyAlignment="1">
      <alignment horizontal="center"/>
    </xf>
    <xf numFmtId="0" fontId="1" fillId="0" borderId="0" xfId="7" applyFont="1" applyAlignment="1">
      <alignment horizontal="center"/>
    </xf>
    <xf numFmtId="0" fontId="1" fillId="0" borderId="10" xfId="7" applyFont="1" applyBorder="1" applyAlignment="1">
      <alignment horizontal="center"/>
    </xf>
    <xf numFmtId="0" fontId="1" fillId="0" borderId="11" xfId="7" applyFont="1" applyBorder="1" applyAlignment="1">
      <alignment horizontal="center"/>
    </xf>
    <xf numFmtId="0" fontId="28" fillId="6" borderId="0" xfId="11" applyFont="1" applyFill="1" applyAlignment="1">
      <alignment horizontal="right"/>
    </xf>
    <xf numFmtId="0" fontId="9" fillId="2" borderId="0" xfId="12" applyFont="1" applyFill="1" applyAlignment="1">
      <alignment horizontal="center"/>
    </xf>
    <xf numFmtId="0" fontId="27" fillId="5" borderId="41" xfId="1" applyFont="1" applyFill="1" applyBorder="1" applyAlignment="1">
      <alignment horizontal="right"/>
    </xf>
    <xf numFmtId="0" fontId="22" fillId="5" borderId="41" xfId="1" applyFont="1" applyFill="1" applyBorder="1" applyAlignment="1">
      <alignment horizontal="right"/>
    </xf>
    <xf numFmtId="0" fontId="6" fillId="5" borderId="8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11" fillId="0" borderId="24" xfId="1" applyFont="1" applyBorder="1" applyAlignment="1">
      <alignment horizontal="center"/>
    </xf>
    <xf numFmtId="0" fontId="11" fillId="0" borderId="25" xfId="1" applyFont="1" applyBorder="1" applyAlignment="1">
      <alignment horizontal="center"/>
    </xf>
    <xf numFmtId="0" fontId="11" fillId="0" borderId="26" xfId="1" applyFont="1" applyBorder="1" applyAlignment="1">
      <alignment horizontal="center"/>
    </xf>
    <xf numFmtId="0" fontId="11" fillId="0" borderId="43" xfId="1" applyFont="1" applyBorder="1" applyAlignment="1">
      <alignment horizontal="center" vertical="center" wrapText="1"/>
    </xf>
    <xf numFmtId="0" fontId="1" fillId="0" borderId="43" xfId="1" applyBorder="1" applyAlignment="1">
      <alignment horizontal="center" vertical="center"/>
    </xf>
    <xf numFmtId="0" fontId="11" fillId="0" borderId="1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/>
    </xf>
    <xf numFmtId="0" fontId="35" fillId="0" borderId="19" xfId="1" applyFont="1" applyBorder="1" applyAlignment="1">
      <alignment horizontal="center" vertical="center" wrapText="1"/>
    </xf>
    <xf numFmtId="0" fontId="35" fillId="0" borderId="44" xfId="1" applyFont="1" applyBorder="1" applyAlignment="1">
      <alignment horizontal="center" vertical="center" wrapText="1"/>
    </xf>
    <xf numFmtId="0" fontId="21" fillId="0" borderId="7" xfId="1" applyFont="1" applyBorder="1" applyAlignment="1">
      <alignment horizontal="right"/>
    </xf>
    <xf numFmtId="0" fontId="21" fillId="0" borderId="0" xfId="1" applyFont="1" applyAlignment="1">
      <alignment horizontal="right"/>
    </xf>
    <xf numFmtId="0" fontId="11" fillId="0" borderId="56" xfId="6" applyFont="1" applyBorder="1" applyAlignment="1">
      <alignment horizontal="center" vertical="center"/>
    </xf>
    <xf numFmtId="0" fontId="11" fillId="0" borderId="59" xfId="6" applyFont="1" applyBorder="1" applyAlignment="1">
      <alignment horizontal="center" vertical="center"/>
    </xf>
    <xf numFmtId="0" fontId="11" fillId="0" borderId="57" xfId="6" applyFont="1" applyBorder="1" applyAlignment="1">
      <alignment horizontal="center" vertical="center"/>
    </xf>
    <xf numFmtId="0" fontId="11" fillId="0" borderId="45" xfId="6" applyFont="1" applyBorder="1" applyAlignment="1">
      <alignment horizontal="center" vertical="center"/>
    </xf>
    <xf numFmtId="2" fontId="11" fillId="2" borderId="0" xfId="4" applyNumberFormat="1" applyFont="1" applyFill="1" applyAlignment="1">
      <alignment horizontal="center" vertical="center" wrapText="1"/>
    </xf>
  </cellXfs>
  <cellStyles count="15">
    <cellStyle name=" 3]_x000d__x000a_Zoomed=0_x000d__x000a_Row=155_x000d__x000a_Column=-10_x000d__x000a_Height=392_x000d__x000a_Width=1027_x000d__x000a_FontName=Arial_x000d__x000a_FontStyle=0_x000d__x000a_FontSize=10_x000d__x000a_PrtFontNa" xfId="8" xr:uid="{00000000-0005-0000-0000-000000000000}"/>
    <cellStyle name="Estilo 1" xfId="6" xr:uid="{00000000-0005-0000-0000-000001000000}"/>
    <cellStyle name="Euro" xfId="9" xr:uid="{00000000-0005-0000-0000-000002000000}"/>
    <cellStyle name="Millares" xfId="13" builtinId="3"/>
    <cellStyle name="Millares 2" xfId="3" xr:uid="{00000000-0005-0000-0000-000004000000}"/>
    <cellStyle name="Moneda" xfId="14" builtinId="4"/>
    <cellStyle name="Moneda 2" xfId="5" xr:uid="{00000000-0005-0000-0000-000005000000}"/>
    <cellStyle name="Normal" xfId="0" builtinId="0"/>
    <cellStyle name="Normal 2" xfId="1" xr:uid="{00000000-0005-0000-0000-000007000000}"/>
    <cellStyle name="Normal 2 2" xfId="2" xr:uid="{00000000-0005-0000-0000-000008000000}"/>
    <cellStyle name="Normal 3" xfId="11" xr:uid="{00000000-0005-0000-0000-000009000000}"/>
    <cellStyle name="Normal_1.2. INVENTARIO ACTUACIONES RMR-OAS-SIL ESPIGA" xfId="12" xr:uid="{00000000-0005-0000-0000-00000A000000}"/>
    <cellStyle name="Normal_Evaluacion Económica El Bosque 220kV" xfId="4" xr:uid="{00000000-0005-0000-0000-00000B000000}"/>
    <cellStyle name="Normal_Proyecto  Sub La Aurora" xfId="7" xr:uid="{00000000-0005-0000-0000-00000C000000}"/>
    <cellStyle name="Porcentual 2" xfId="10" xr:uid="{00000000-0005-0000-0000-00000D000000}"/>
  </cellStyles>
  <dxfs count="2">
    <dxf>
      <font>
        <condense val="0"/>
        <extend val="0"/>
        <color auto="1"/>
      </font>
    </dxf>
    <dxf>
      <font>
        <b val="0"/>
        <i val="0"/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95</xdr:row>
      <xdr:rowOff>57150</xdr:rowOff>
    </xdr:from>
    <xdr:to>
      <xdr:col>3</xdr:col>
      <xdr:colOff>1047750</xdr:colOff>
      <xdr:row>98</xdr:row>
      <xdr:rowOff>85725</xdr:rowOff>
    </xdr:to>
    <xdr:grpSp>
      <xdr:nvGrpSpPr>
        <xdr:cNvPr id="6" name="29 Grup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>
          <a:grpSpLocks/>
        </xdr:cNvGrpSpPr>
      </xdr:nvGrpSpPr>
      <xdr:grpSpPr bwMode="auto">
        <a:xfrm>
          <a:off x="1927225" y="18840450"/>
          <a:ext cx="1736725" cy="523875"/>
          <a:chOff x="1726746" y="16508186"/>
          <a:chExt cx="1389290" cy="518432"/>
        </a:xfrm>
      </xdr:grpSpPr>
      <xdr:sp macro="" textlink="">
        <xdr:nvSpPr>
          <xdr:cNvPr id="7" name="EXPB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1726746" y="16604190"/>
            <a:ext cx="1389290" cy="422428"/>
          </a:xfrm>
          <a:prstGeom prst="roundRect">
            <a:avLst>
              <a:gd name="adj" fmla="val 16667"/>
            </a:avLst>
          </a:prstGeom>
          <a:noFill/>
          <a:ln w="9525">
            <a:solidFill>
              <a:srgbClr val="7F7F7F"/>
            </a:solidFill>
            <a:round/>
            <a:headEnd/>
            <a:tailEnd/>
          </a:ln>
        </xdr:spPr>
      </xdr:sp>
      <xdr:sp macro="" textlink="">
        <xdr:nvSpPr>
          <xdr:cNvPr id="8" name="EXP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1903" y="16508186"/>
            <a:ext cx="1227523" cy="2208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CO" sz="1000" b="0" i="0" strike="noStrike">
                <a:solidFill>
                  <a:srgbClr val="000000"/>
                </a:solidFill>
                <a:latin typeface="Arial" pitchFamily="34" charset="0"/>
                <a:cs typeface="Arial" pitchFamily="34" charset="0"/>
              </a:rPr>
              <a:t>Fecha de Entrega</a:t>
            </a:r>
          </a:p>
        </xdr:txBody>
      </xdr:sp>
      <xdr:sp macro="" textlink="">
        <xdr:nvSpPr>
          <xdr:cNvPr id="9" name="35 CuadroText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 bwMode="auto">
          <a:xfrm>
            <a:off x="1918607" y="16709798"/>
            <a:ext cx="978569" cy="24470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CO" sz="1100">
                <a:solidFill>
                  <a:sysClr val="windowText" lastClr="000000"/>
                </a:solidFill>
              </a:rPr>
              <a:t>21/04/2026</a:t>
            </a:r>
          </a:p>
          <a:p>
            <a:pPr algn="ctr"/>
            <a:endParaRPr lang="es-CO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</xdr:col>
      <xdr:colOff>171450</xdr:colOff>
      <xdr:row>95</xdr:row>
      <xdr:rowOff>57150</xdr:rowOff>
    </xdr:from>
    <xdr:to>
      <xdr:col>9</xdr:col>
      <xdr:colOff>57150</xdr:colOff>
      <xdr:row>98</xdr:row>
      <xdr:rowOff>85725</xdr:rowOff>
    </xdr:to>
    <xdr:grpSp>
      <xdr:nvGrpSpPr>
        <xdr:cNvPr id="10" name="41 Grup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1068050" y="18840450"/>
          <a:ext cx="2286000" cy="523875"/>
          <a:chOff x="3747386" y="16510908"/>
          <a:chExt cx="1385209" cy="514352"/>
        </a:xfrm>
      </xdr:grpSpPr>
      <xdr:sp macro="" textlink="">
        <xdr:nvSpPr>
          <xdr:cNvPr id="11" name="EXPB3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3747386" y="16606156"/>
            <a:ext cx="1385209" cy="419104"/>
          </a:xfrm>
          <a:prstGeom prst="roundRect">
            <a:avLst>
              <a:gd name="adj" fmla="val 16667"/>
            </a:avLst>
          </a:prstGeom>
          <a:noFill/>
          <a:ln w="9525">
            <a:solidFill>
              <a:srgbClr val="7F7F7F"/>
            </a:solidFill>
            <a:round/>
            <a:headEnd/>
            <a:tailEnd/>
          </a:ln>
        </xdr:spPr>
      </xdr:sp>
      <xdr:sp macro="" textlink="">
        <xdr:nvSpPr>
          <xdr:cNvPr id="12" name="EXP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42918" y="16510908"/>
            <a:ext cx="1222805" cy="219076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CO" sz="1000" b="0" i="0" strike="noStrike">
                <a:solidFill>
                  <a:srgbClr val="000000"/>
                </a:solidFill>
                <a:latin typeface="Arial" pitchFamily="34" charset="0"/>
                <a:cs typeface="Arial" pitchFamily="34" charset="0"/>
              </a:rPr>
              <a:t>Año</a:t>
            </a:r>
            <a:r>
              <a:rPr lang="es-CO" sz="1000" b="0" i="0" strike="noStrike" baseline="0">
                <a:solidFill>
                  <a:srgbClr val="000000"/>
                </a:solidFill>
                <a:latin typeface="Arial" pitchFamily="34" charset="0"/>
                <a:cs typeface="Arial" pitchFamily="34" charset="0"/>
              </a:rPr>
              <a:t> de entrada</a:t>
            </a:r>
            <a:endParaRPr lang="es-CO" sz="10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3" name="40 CuadroTexto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4014875" y="16682359"/>
            <a:ext cx="859785" cy="2762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CO" sz="1100">
                <a:solidFill>
                  <a:sysClr val="windowText" lastClr="000000"/>
                </a:solidFill>
              </a:rPr>
              <a:t>2027</a:t>
            </a:r>
          </a:p>
        </xdr:txBody>
      </xdr:sp>
    </xdr:grpSp>
    <xdr:clientData/>
  </xdr:twoCellAnchor>
  <xdr:twoCellAnchor>
    <xdr:from>
      <xdr:col>3</xdr:col>
      <xdr:colOff>5460695</xdr:colOff>
      <xdr:row>101</xdr:row>
      <xdr:rowOff>41971</xdr:rowOff>
    </xdr:from>
    <xdr:to>
      <xdr:col>7</xdr:col>
      <xdr:colOff>603054</xdr:colOff>
      <xdr:row>107</xdr:row>
      <xdr:rowOff>86653</xdr:rowOff>
    </xdr:to>
    <xdr:sp macro="" textlink="">
      <xdr:nvSpPr>
        <xdr:cNvPr id="29" name="23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 bwMode="auto">
        <a:xfrm>
          <a:off x="7756220" y="19006246"/>
          <a:ext cx="2400409" cy="1016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indent="0" algn="l"/>
          <a:r>
            <a:rPr lang="es-CO" sz="1100">
              <a:solidFill>
                <a:sysClr val="windowText" lastClr="000000"/>
              </a:solidFill>
              <a:latin typeface="DIN-Bold" pitchFamily="34" charset="0"/>
              <a:ea typeface="+mn-ea"/>
              <a:cs typeface="Arial" pitchFamily="34" charset="0"/>
            </a:rPr>
            <a:t>Nombre: </a:t>
          </a:r>
        </a:p>
        <a:p>
          <a:pPr marL="0" indent="0" algn="l"/>
          <a:r>
            <a:rPr lang="es-CO" sz="1100">
              <a:solidFill>
                <a:sysClr val="windowText" lastClr="000000"/>
              </a:solidFill>
              <a:latin typeface="DIN-Bold" pitchFamily="34" charset="0"/>
              <a:ea typeface="+mn-ea"/>
              <a:cs typeface="Arial" pitchFamily="34" charset="0"/>
            </a:rPr>
            <a:t>Ocupación: Subgerente Mantenimiento AT</a:t>
          </a:r>
        </a:p>
        <a:p>
          <a:pPr marL="0" indent="0" algn="l"/>
          <a:endParaRPr lang="es-CO" sz="1100">
            <a:solidFill>
              <a:sysClr val="windowText" lastClr="000000"/>
            </a:solidFill>
            <a:latin typeface="DIN-Bold" pitchFamily="34" charset="0"/>
            <a:ea typeface="+mn-ea"/>
            <a:cs typeface="Arial" pitchFamily="34" charset="0"/>
          </a:endParaRPr>
        </a:p>
        <a:p>
          <a:pPr marL="0" indent="0" algn="l"/>
          <a:endParaRPr lang="es-CO" sz="1100">
            <a:solidFill>
              <a:schemeClr val="bg1">
                <a:lumMod val="75000"/>
              </a:schemeClr>
            </a:solidFill>
            <a:latin typeface="DIN-Bold" pitchFamily="34" charset="0"/>
            <a:ea typeface="+mn-ea"/>
            <a:cs typeface="Arial" pitchFamily="34" charset="0"/>
          </a:endParaRPr>
        </a:p>
        <a:p>
          <a:pPr marL="0" indent="0" algn="l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+mn-ea"/>
              <a:cs typeface="+mn-cs"/>
            </a:rPr>
            <a:t>Firma:</a:t>
          </a:r>
        </a:p>
        <a:p>
          <a:pPr marL="0" indent="0" algn="l" rtl="0">
            <a:defRPr sz="1000"/>
          </a:pPr>
          <a:r>
            <a:rPr lang="es-CO" sz="1100" b="0" i="0" u="none" strike="noStrike" baseline="0">
              <a:solidFill>
                <a:srgbClr val="000000"/>
              </a:solidFill>
              <a:latin typeface="Calibri"/>
              <a:ea typeface="+mn-ea"/>
              <a:cs typeface="+mn-cs"/>
            </a:rPr>
            <a:t>Fecha: </a:t>
          </a:r>
        </a:p>
      </xdr:txBody>
    </xdr:sp>
    <xdr:clientData/>
  </xdr:twoCellAnchor>
  <xdr:twoCellAnchor>
    <xdr:from>
      <xdr:col>1</xdr:col>
      <xdr:colOff>86938</xdr:colOff>
      <xdr:row>99</xdr:row>
      <xdr:rowOff>148263</xdr:rowOff>
    </xdr:from>
    <xdr:to>
      <xdr:col>3</xdr:col>
      <xdr:colOff>397726</xdr:colOff>
      <xdr:row>108</xdr:row>
      <xdr:rowOff>1842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290138" y="19604663"/>
          <a:ext cx="2723788" cy="1377579"/>
          <a:chOff x="17281069" y="13117286"/>
          <a:chExt cx="2388125" cy="1370183"/>
        </a:xfrm>
      </xdr:grpSpPr>
      <xdr:sp macro="" textlink="">
        <xdr:nvSpPr>
          <xdr:cNvPr id="31" name="EXPB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17293194" y="13247317"/>
            <a:ext cx="2376000" cy="1240152"/>
          </a:xfrm>
          <a:prstGeom prst="roundRect">
            <a:avLst>
              <a:gd name="adj" fmla="val 16667"/>
            </a:avLst>
          </a:prstGeom>
          <a:noFill/>
          <a:ln w="9525">
            <a:solidFill>
              <a:srgbClr val="7F7F7F"/>
            </a:solidFill>
            <a:round/>
            <a:headEnd/>
            <a:tailEnd/>
          </a:ln>
        </xdr:spPr>
      </xdr:sp>
      <xdr:sp macro="" textlink="">
        <xdr:nvSpPr>
          <xdr:cNvPr id="32" name="EXP3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30573" y="13117286"/>
            <a:ext cx="1118655" cy="24912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CO" sz="1000" b="0" i="0">
                <a:effectLst/>
                <a:latin typeface="+mn-lt"/>
                <a:ea typeface="+mn-ea"/>
                <a:cs typeface="+mn-cs"/>
              </a:rPr>
              <a:t>Elaboración</a:t>
            </a:r>
            <a:endParaRPr lang="es-CO" sz="10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33" name="23 CuadroTexto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 bwMode="auto">
          <a:xfrm>
            <a:off x="17281069" y="13366410"/>
            <a:ext cx="2376000" cy="10348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CO" sz="1100">
                <a:solidFill>
                  <a:schemeClr val="dk1"/>
                </a:solidFill>
                <a:effectLst/>
                <a:latin typeface="DIN-Bold" panose="020B0500000000000000" pitchFamily="34" charset="0"/>
                <a:ea typeface="+mn-ea"/>
                <a:cs typeface="+mn-cs"/>
              </a:rPr>
              <a:t>Nombre: </a:t>
            </a:r>
            <a:r>
              <a:rPr lang="es-CO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/>
            </a:r>
            <a:endParaRPr lang="es-ES">
              <a:effectLst/>
            </a:endParaRPr>
          </a:p>
          <a:p>
            <a:r>
              <a:rPr lang="es-CO" sz="1100">
                <a:solidFill>
                  <a:schemeClr val="dk1"/>
                </a:solidFill>
                <a:effectLst/>
                <a:latin typeface="DIN-Bold" panose="020B0500000000000000" pitchFamily="34" charset="0"/>
                <a:ea typeface="+mn-ea"/>
                <a:cs typeface="+mn-cs"/>
              </a:rPr>
              <a:t>Ocupación: Profesional Transformadores de Potencia</a:t>
            </a:r>
            <a:endParaRPr lang="es-CO" sz="1100" baseline="0">
              <a:solidFill>
                <a:sysClr val="windowText" lastClr="000000"/>
              </a:solidFill>
              <a:latin typeface="DIN-Bold" pitchFamily="34" charset="0"/>
              <a:ea typeface="+mn-ea"/>
              <a:cs typeface="Arial" pitchFamily="34" charset="0"/>
            </a:endParaRPr>
          </a:p>
          <a:p>
            <a:pPr marL="0" indent="0" algn="l"/>
            <a:endParaRPr lang="es-CO" sz="1100">
              <a:solidFill>
                <a:schemeClr val="bg1">
                  <a:lumMod val="75000"/>
                </a:schemeClr>
              </a:solidFill>
              <a:latin typeface="DIN-Bold" pitchFamily="34" charset="0"/>
              <a:ea typeface="+mn-ea"/>
              <a:cs typeface="Arial" pitchFamily="34" charset="0"/>
            </a:endParaRP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Firma:</a:t>
            </a: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Fecha:</a:t>
            </a:r>
          </a:p>
        </xdr:txBody>
      </xdr:sp>
    </xdr:grpSp>
    <xdr:clientData/>
  </xdr:twoCellAnchor>
  <xdr:twoCellAnchor>
    <xdr:from>
      <xdr:col>3</xdr:col>
      <xdr:colOff>438150</xdr:colOff>
      <xdr:row>99</xdr:row>
      <xdr:rowOff>164825</xdr:rowOff>
    </xdr:from>
    <xdr:to>
      <xdr:col>3</xdr:col>
      <xdr:colOff>2942673</xdr:colOff>
      <xdr:row>108</xdr:row>
      <xdr:rowOff>7754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3054350" y="19621225"/>
          <a:ext cx="2504523" cy="1366929"/>
          <a:chOff x="17281069" y="13117286"/>
          <a:chExt cx="2388125" cy="1370183"/>
        </a:xfrm>
      </xdr:grpSpPr>
      <xdr:sp macro="" textlink="">
        <xdr:nvSpPr>
          <xdr:cNvPr id="35" name="EXPB3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Arrowheads="1"/>
          </xdr:cNvSpPr>
        </xdr:nvSpPr>
        <xdr:spPr bwMode="auto">
          <a:xfrm>
            <a:off x="17293194" y="13233052"/>
            <a:ext cx="2376000" cy="1254417"/>
          </a:xfrm>
          <a:prstGeom prst="roundRect">
            <a:avLst>
              <a:gd name="adj" fmla="val 16667"/>
            </a:avLst>
          </a:prstGeom>
          <a:noFill/>
          <a:ln w="9525">
            <a:solidFill>
              <a:srgbClr val="7F7F7F"/>
            </a:solidFill>
            <a:round/>
            <a:headEnd/>
            <a:tailEnd/>
          </a:ln>
        </xdr:spPr>
      </xdr:sp>
      <xdr:sp macro="" textlink="">
        <xdr:nvSpPr>
          <xdr:cNvPr id="36" name="EXP3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30573" y="13117286"/>
            <a:ext cx="1118655" cy="24912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CO" sz="1000" b="0" i="0">
                <a:effectLst/>
                <a:latin typeface="+mn-lt"/>
                <a:ea typeface="+mn-ea"/>
                <a:cs typeface="+mn-cs"/>
              </a:rPr>
              <a:t>Revisión</a:t>
            </a:r>
            <a:endParaRPr lang="es-CO" sz="10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37" name="23 CuadroTexto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 bwMode="auto">
          <a:xfrm>
            <a:off x="17281069" y="13366410"/>
            <a:ext cx="2376000" cy="10348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s-CO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Nombre: </a:t>
            </a:r>
            <a:r>
              <a:rPr lang="es-CO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/>
            </a:r>
            <a:endParaRPr lang="es-ES">
              <a:effectLst/>
            </a:endParaRPr>
          </a:p>
          <a:p>
            <a:r>
              <a:rPr lang="es-CO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Ocupación: </a:t>
            </a:r>
            <a:r>
              <a:rPr lang="es-CO" sz="1100" b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Lider Planificacion y Aseguramiento</a:t>
            </a:r>
            <a:r>
              <a:rPr lang="es-CO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Mantenimiento AT</a:t>
            </a:r>
            <a:endParaRPr lang="es-ES">
              <a:effectLst/>
            </a:endParaRPr>
          </a:p>
          <a:p>
            <a:endParaRPr lang="es-CO" sz="1100">
              <a:solidFill>
                <a:schemeClr val="bg1">
                  <a:lumMod val="75000"/>
                </a:schemeClr>
              </a:solidFill>
              <a:latin typeface="DIN-Bold" pitchFamily="34" charset="0"/>
              <a:ea typeface="+mn-ea"/>
              <a:cs typeface="Arial" pitchFamily="34" charset="0"/>
            </a:endParaRP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Firma:</a:t>
            </a: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Fecha:</a:t>
            </a:r>
          </a:p>
        </xdr:txBody>
      </xdr:sp>
    </xdr:grpSp>
    <xdr:clientData/>
  </xdr:twoCellAnchor>
  <xdr:twoCellAnchor>
    <xdr:from>
      <xdr:col>3</xdr:col>
      <xdr:colOff>2987979</xdr:colOff>
      <xdr:row>99</xdr:row>
      <xdr:rowOff>164825</xdr:rowOff>
    </xdr:from>
    <xdr:to>
      <xdr:col>7</xdr:col>
      <xdr:colOff>619626</xdr:colOff>
      <xdr:row>108</xdr:row>
      <xdr:rowOff>7755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5604179" y="19621225"/>
          <a:ext cx="5912047" cy="1366930"/>
          <a:chOff x="17281069" y="13117286"/>
          <a:chExt cx="4889339" cy="1370183"/>
        </a:xfrm>
      </xdr:grpSpPr>
      <xdr:sp macro="" textlink="">
        <xdr:nvSpPr>
          <xdr:cNvPr id="39" name="EXPB3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17293194" y="13233051"/>
            <a:ext cx="4877214" cy="1254418"/>
          </a:xfrm>
          <a:prstGeom prst="roundRect">
            <a:avLst>
              <a:gd name="adj" fmla="val 16667"/>
            </a:avLst>
          </a:prstGeom>
          <a:noFill/>
          <a:ln w="9525">
            <a:solidFill>
              <a:srgbClr val="7F7F7F"/>
            </a:solidFill>
            <a:round/>
            <a:headEnd/>
            <a:tailEnd/>
          </a:ln>
        </xdr:spPr>
      </xdr:sp>
      <xdr:sp macro="" textlink="">
        <xdr:nvSpPr>
          <xdr:cNvPr id="40" name="EXP3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169431" y="13117286"/>
            <a:ext cx="1118655" cy="24912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CO" sz="1000" b="0" i="0" strike="noStrike">
                <a:solidFill>
                  <a:srgbClr val="000000"/>
                </a:solidFill>
                <a:latin typeface="Arial" pitchFamily="34" charset="0"/>
                <a:cs typeface="Arial" pitchFamily="34" charset="0"/>
              </a:rPr>
              <a:t>Aprobación</a:t>
            </a:r>
          </a:p>
        </xdr:txBody>
      </xdr:sp>
      <xdr:sp macro="" textlink="">
        <xdr:nvSpPr>
          <xdr:cNvPr id="41" name="23 CuadroTexto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 txBox="1"/>
        </xdr:nvSpPr>
        <xdr:spPr bwMode="auto">
          <a:xfrm>
            <a:off x="17281069" y="13366410"/>
            <a:ext cx="2376000" cy="10348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s-CO" sz="1100" b="0">
                <a:solidFill>
                  <a:schemeClr val="dk1"/>
                </a:solidFill>
                <a:effectLst/>
                <a:latin typeface="DIN-Bold" panose="020B0500000000000000" pitchFamily="34" charset="0"/>
                <a:ea typeface="+mn-ea"/>
                <a:cs typeface="+mn-cs"/>
              </a:rPr>
              <a:t>Nombre: </a:t>
            </a:r>
            <a:r>
              <a:rPr lang="es-CO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/>
            </a:r>
          </a:p>
          <a:p>
            <a:r>
              <a:rPr lang="es-CO" sz="1100" b="0">
                <a:solidFill>
                  <a:schemeClr val="dk1"/>
                </a:solidFill>
                <a:effectLst/>
                <a:latin typeface="DIN-Bold" panose="020B0500000000000000" pitchFamily="34" charset="0"/>
                <a:ea typeface="+mn-ea"/>
                <a:cs typeface="+mn-cs"/>
              </a:rPr>
              <a:t>Ocupación: </a:t>
            </a:r>
            <a:r>
              <a:rPr lang="es-CO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Subgerente Mantenimiento AT</a:t>
            </a:r>
            <a:endParaRPr lang="es-ES">
              <a:effectLst/>
            </a:endParaRPr>
          </a:p>
          <a:p>
            <a:pPr marL="0" indent="0" algn="l"/>
            <a:endParaRPr lang="es-CO" sz="1100">
              <a:solidFill>
                <a:schemeClr val="bg1">
                  <a:lumMod val="75000"/>
                </a:schemeClr>
              </a:solidFill>
              <a:latin typeface="DIN-Bold" pitchFamily="34" charset="0"/>
              <a:ea typeface="+mn-ea"/>
              <a:cs typeface="Arial" pitchFamily="34" charset="0"/>
            </a:endParaRP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Firma:</a:t>
            </a: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Fecha: </a:t>
            </a:r>
          </a:p>
        </xdr:txBody>
      </xdr:sp>
    </xdr:grpSp>
    <xdr:clientData/>
  </xdr:twoCellAnchor>
  <xdr:twoCellAnchor>
    <xdr:from>
      <xdr:col>8</xdr:col>
      <xdr:colOff>6124</xdr:colOff>
      <xdr:row>99</xdr:row>
      <xdr:rowOff>148257</xdr:rowOff>
    </xdr:from>
    <xdr:to>
      <xdr:col>11</xdr:col>
      <xdr:colOff>88744</xdr:colOff>
      <xdr:row>107</xdr:row>
      <xdr:rowOff>158958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11715524" y="19604657"/>
          <a:ext cx="4032320" cy="1369601"/>
          <a:chOff x="17281069" y="13117286"/>
          <a:chExt cx="2388125" cy="1370183"/>
        </a:xfrm>
      </xdr:grpSpPr>
      <xdr:sp macro="" textlink="">
        <xdr:nvSpPr>
          <xdr:cNvPr id="43" name="EXPB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17293194" y="13247317"/>
            <a:ext cx="2376000" cy="1240152"/>
          </a:xfrm>
          <a:prstGeom prst="roundRect">
            <a:avLst>
              <a:gd name="adj" fmla="val 16667"/>
            </a:avLst>
          </a:prstGeom>
          <a:noFill/>
          <a:ln w="9525">
            <a:solidFill>
              <a:srgbClr val="7F7F7F"/>
            </a:solidFill>
            <a:round/>
            <a:headEnd/>
            <a:tailEnd/>
          </a:ln>
        </xdr:spPr>
      </xdr:sp>
      <xdr:sp macro="" textlink="">
        <xdr:nvSpPr>
          <xdr:cNvPr id="44" name="EXP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30573" y="13117286"/>
            <a:ext cx="1118655" cy="24912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CO" sz="1000" b="0" i="0" strike="noStrike">
                <a:solidFill>
                  <a:srgbClr val="000000"/>
                </a:solidFill>
                <a:latin typeface="Arial" pitchFamily="34" charset="0"/>
                <a:cs typeface="Arial" pitchFamily="34" charset="0"/>
              </a:rPr>
              <a:t>Recibe</a:t>
            </a:r>
          </a:p>
        </xdr:txBody>
      </xdr:sp>
      <xdr:sp macro="" textlink="">
        <xdr:nvSpPr>
          <xdr:cNvPr id="45" name="23 CuadroTexto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 bwMode="auto">
          <a:xfrm>
            <a:off x="17281069" y="13366410"/>
            <a:ext cx="2376000" cy="10348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rtl="0"/>
            <a:r>
              <a:rPr lang="es-CO" sz="1100" b="0">
                <a:solidFill>
                  <a:schemeClr val="dk1"/>
                </a:solidFill>
                <a:effectLst/>
                <a:latin typeface="DIN-Bold" panose="020B0500000000000000" pitchFamily="34" charset="0"/>
                <a:ea typeface="+mn-ea"/>
                <a:cs typeface="+mn-cs"/>
              </a:rPr>
              <a:t>Nombre:</a:t>
            </a:r>
          </a:p>
          <a:p>
            <a:pPr rtl="0"/>
            <a:r>
              <a:rPr lang="es-CO" sz="1100" b="0">
                <a:solidFill>
                  <a:schemeClr val="dk1"/>
                </a:solidFill>
                <a:effectLst/>
                <a:latin typeface="DIN-Bold" panose="020B0500000000000000" pitchFamily="34" charset="0"/>
                <a:ea typeface="+mn-ea"/>
                <a:cs typeface="+mn-cs"/>
              </a:rPr>
              <a:t>Ocupación:</a:t>
            </a:r>
          </a:p>
          <a:p>
            <a:pPr rtl="0"/>
            <a:endParaRPr lang="es-CO" sz="1100" baseline="0">
              <a:solidFill>
                <a:sysClr val="windowText" lastClr="000000"/>
              </a:solidFill>
              <a:latin typeface="DIN-Bold" pitchFamily="34" charset="0"/>
              <a:ea typeface="+mn-ea"/>
              <a:cs typeface="Arial" pitchFamily="34" charset="0"/>
            </a:endParaRPr>
          </a:p>
          <a:p>
            <a:pPr marL="0" indent="0" algn="l"/>
            <a:endParaRPr lang="es-CO" sz="1100">
              <a:solidFill>
                <a:schemeClr val="bg1">
                  <a:lumMod val="75000"/>
                </a:schemeClr>
              </a:solidFill>
              <a:latin typeface="DIN-Bold" pitchFamily="34" charset="0"/>
              <a:ea typeface="+mn-ea"/>
              <a:cs typeface="Arial" pitchFamily="34" charset="0"/>
            </a:endParaRP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Firma:</a:t>
            </a:r>
          </a:p>
          <a:p>
            <a:pPr marL="0" indent="0" algn="l" rtl="0">
              <a:defRPr sz="1000"/>
            </a:pPr>
            <a:r>
              <a:rPr lang="es-CO" sz="1100" b="0" i="0" u="none" strike="noStrike" baseline="0">
                <a:solidFill>
                  <a:srgbClr val="000000"/>
                </a:solidFill>
                <a:latin typeface="Calibri"/>
                <a:ea typeface="+mn-ea"/>
                <a:cs typeface="+mn-cs"/>
              </a:rPr>
              <a:t>Fecha:</a:t>
            </a:r>
          </a:p>
        </xdr:txBody>
      </xdr:sp>
    </xdr:grpSp>
    <xdr:clientData/>
  </xdr:twoCellAnchor>
  <xdr:twoCellAnchor editAs="oneCell">
    <xdr:from>
      <xdr:col>9</xdr:col>
      <xdr:colOff>340177</xdr:colOff>
      <xdr:row>2</xdr:row>
      <xdr:rowOff>68035</xdr:rowOff>
    </xdr:from>
    <xdr:to>
      <xdr:col>10</xdr:col>
      <xdr:colOff>220435</xdr:colOff>
      <xdr:row>4</xdr:row>
      <xdr:rowOff>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057"/>
        <a:stretch>
          <a:fillRect/>
        </a:stretch>
      </xdr:blipFill>
      <xdr:spPr bwMode="auto">
        <a:xfrm>
          <a:off x="11375570" y="408214"/>
          <a:ext cx="1170215" cy="7211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1044575</xdr:colOff>
      <xdr:row>104</xdr:row>
      <xdr:rowOff>19572</xdr:rowOff>
    </xdr:from>
    <xdr:to>
      <xdr:col>2</xdr:col>
      <xdr:colOff>885825</xdr:colOff>
      <xdr:row>106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24AD67-C6F5-8F6A-B76E-E1FF1F0F9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075" y="20136372"/>
          <a:ext cx="1098550" cy="456678"/>
        </a:xfrm>
        <a:prstGeom prst="rect">
          <a:avLst/>
        </a:prstGeom>
      </xdr:spPr>
    </xdr:pic>
    <xdr:clientData/>
  </xdr:twoCellAnchor>
  <xdr:twoCellAnchor editAs="oneCell">
    <xdr:from>
      <xdr:col>3</xdr:col>
      <xdr:colOff>1790700</xdr:colOff>
      <xdr:row>104</xdr:row>
      <xdr:rowOff>111125</xdr:rowOff>
    </xdr:from>
    <xdr:to>
      <xdr:col>3</xdr:col>
      <xdr:colOff>2734193</xdr:colOff>
      <xdr:row>107</xdr:row>
      <xdr:rowOff>158750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5C348B-A760-4734-8A1D-6E99CEF45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0" t="11874" r="6239" b="20897"/>
        <a:stretch>
          <a:fillRect/>
        </a:stretch>
      </xdr:blipFill>
      <xdr:spPr bwMode="auto">
        <a:xfrm>
          <a:off x="4200525" y="20227925"/>
          <a:ext cx="943493" cy="533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217714</xdr:colOff>
      <xdr:row>2</xdr:row>
      <xdr:rowOff>27214</xdr:rowOff>
    </xdr:from>
    <xdr:to>
      <xdr:col>18</xdr:col>
      <xdr:colOff>200931</xdr:colOff>
      <xdr:row>4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057"/>
        <a:stretch>
          <a:fillRect/>
        </a:stretch>
      </xdr:blipFill>
      <xdr:spPr bwMode="auto">
        <a:xfrm>
          <a:off x="13661571" y="367393"/>
          <a:ext cx="1552575" cy="6803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40822</xdr:colOff>
      <xdr:row>3</xdr:row>
      <xdr:rowOff>122465</xdr:rowOff>
    </xdr:from>
    <xdr:to>
      <xdr:col>32</xdr:col>
      <xdr:colOff>662332</xdr:colOff>
      <xdr:row>42</xdr:row>
      <xdr:rowOff>106608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25108" y="625929"/>
          <a:ext cx="9933333" cy="7114286"/>
        </a:xfrm>
        <a:prstGeom prst="rect">
          <a:avLst/>
        </a:prstGeom>
      </xdr:spPr>
    </xdr:pic>
    <xdr:clientData/>
  </xdr:twoCellAnchor>
  <xdr:twoCellAnchor editAs="oneCell">
    <xdr:from>
      <xdr:col>16</xdr:col>
      <xdr:colOff>217714</xdr:colOff>
      <xdr:row>2</xdr:row>
      <xdr:rowOff>27214</xdr:rowOff>
    </xdr:from>
    <xdr:to>
      <xdr:col>18</xdr:col>
      <xdr:colOff>194581</xdr:colOff>
      <xdr:row>4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057"/>
        <a:stretch>
          <a:fillRect/>
        </a:stretch>
      </xdr:blipFill>
      <xdr:spPr bwMode="auto">
        <a:xfrm>
          <a:off x="14886214" y="351064"/>
          <a:ext cx="1618796" cy="6712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40822</xdr:colOff>
      <xdr:row>3</xdr:row>
      <xdr:rowOff>122465</xdr:rowOff>
    </xdr:from>
    <xdr:to>
      <xdr:col>32</xdr:col>
      <xdr:colOff>655982</xdr:colOff>
      <xdr:row>42</xdr:row>
      <xdr:rowOff>110236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4072" y="605065"/>
          <a:ext cx="10397790" cy="6941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40822</xdr:colOff>
      <xdr:row>2</xdr:row>
      <xdr:rowOff>13609</xdr:rowOff>
    </xdr:from>
    <xdr:to>
      <xdr:col>17</xdr:col>
      <xdr:colOff>96611</xdr:colOff>
      <xdr:row>3</xdr:row>
      <xdr:rowOff>408216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057"/>
        <a:stretch>
          <a:fillRect/>
        </a:stretch>
      </xdr:blipFill>
      <xdr:spPr bwMode="auto">
        <a:xfrm>
          <a:off x="9837965" y="353788"/>
          <a:ext cx="1552575" cy="5578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294821</xdr:colOff>
      <xdr:row>11</xdr:row>
      <xdr:rowOff>104321</xdr:rowOff>
    </xdr:from>
    <xdr:to>
      <xdr:col>12</xdr:col>
      <xdr:colOff>218621</xdr:colOff>
      <xdr:row>41</xdr:row>
      <xdr:rowOff>146050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2F5AB0-5BDF-088A-00AC-051E63BA0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517571" y="1741714"/>
          <a:ext cx="4940300" cy="601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204106</xdr:colOff>
      <xdr:row>2</xdr:row>
      <xdr:rowOff>54429</xdr:rowOff>
    </xdr:from>
    <xdr:to>
      <xdr:col>17</xdr:col>
      <xdr:colOff>326571</xdr:colOff>
      <xdr:row>3</xdr:row>
      <xdr:rowOff>435429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057"/>
        <a:stretch>
          <a:fillRect/>
        </a:stretch>
      </xdr:blipFill>
      <xdr:spPr bwMode="auto">
        <a:xfrm>
          <a:off x="10001249" y="394608"/>
          <a:ext cx="1619251" cy="5442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290286</xdr:colOff>
      <xdr:row>8</xdr:row>
      <xdr:rowOff>108856</xdr:rowOff>
    </xdr:from>
    <xdr:to>
      <xdr:col>11</xdr:col>
      <xdr:colOff>867224</xdr:colOff>
      <xdr:row>43</xdr:row>
      <xdr:rowOff>-1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5ADCB2-544E-2D14-5EE2-70E225CB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3286" y="1796142"/>
          <a:ext cx="5802081" cy="5606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</xdr:row>
      <xdr:rowOff>38100</xdr:rowOff>
    </xdr:from>
    <xdr:to>
      <xdr:col>10</xdr:col>
      <xdr:colOff>1703</xdr:colOff>
      <xdr:row>5</xdr:row>
      <xdr:rowOff>17689</xdr:rowOff>
    </xdr:to>
    <xdr:pic>
      <xdr:nvPicPr>
        <xdr:cNvPr id="3" name="25 Imagen" descr="firmas-0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351"/>
        <a:stretch/>
      </xdr:blipFill>
      <xdr:spPr bwMode="auto">
        <a:xfrm>
          <a:off x="12420600" y="247650"/>
          <a:ext cx="1659053" cy="741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350761</xdr:colOff>
      <xdr:row>2</xdr:row>
      <xdr:rowOff>39310</xdr:rowOff>
    </xdr:from>
    <xdr:to>
      <xdr:col>13</xdr:col>
      <xdr:colOff>844247</xdr:colOff>
      <xdr:row>3</xdr:row>
      <xdr:rowOff>555021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057"/>
        <a:stretch>
          <a:fillRect/>
        </a:stretch>
      </xdr:blipFill>
      <xdr:spPr bwMode="auto">
        <a:xfrm>
          <a:off x="18263809" y="377977"/>
          <a:ext cx="1763486" cy="6729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40822</xdr:colOff>
      <xdr:row>3</xdr:row>
      <xdr:rowOff>122465</xdr:rowOff>
    </xdr:from>
    <xdr:to>
      <xdr:col>32</xdr:col>
      <xdr:colOff>646912</xdr:colOff>
      <xdr:row>43</xdr:row>
      <xdr:rowOff>8901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4072" y="605065"/>
          <a:ext cx="10397790" cy="6941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E.02081.PE-FO.03%20Ficha%20tecn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a Técnica"/>
      <sheetName val="Hoja1"/>
      <sheetName val="Beneficios"/>
      <sheetName val="Diagrama Actual"/>
      <sheetName val="Diagrama Futuro"/>
      <sheetName val="Diagrama Operativo"/>
      <sheetName val="Anexos"/>
      <sheetName val="Anexos MT"/>
      <sheetName val="Anexo AT"/>
    </sheetNames>
    <sheetDataSet>
      <sheetData sheetId="0">
        <row r="37">
          <cell r="J3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0"/>
  <sheetViews>
    <sheetView showGridLines="0" tabSelected="1" view="pageBreakPreview" topLeftCell="A7" zoomScaleNormal="70" zoomScaleSheetLayoutView="100" workbookViewId="0">
      <selection activeCell="I37" sqref="I37"/>
    </sheetView>
  </sheetViews>
  <sheetFormatPr baseColWidth="10" defaultColWidth="11.5" defaultRowHeight="13"/>
  <cols>
    <col min="1" max="1" width="2.6640625" style="5" customWidth="1"/>
    <col min="2" max="2" width="18" style="5" customWidth="1"/>
    <col min="3" max="3" width="13.6640625" style="5" customWidth="1"/>
    <col min="4" max="4" width="85.6640625" style="5" customWidth="1"/>
    <col min="5" max="5" width="2.6640625" style="5" customWidth="1"/>
    <col min="6" max="6" width="17.6640625" style="5" customWidth="1"/>
    <col min="7" max="7" width="2.6640625" style="5" customWidth="1"/>
    <col min="8" max="8" width="10.6640625" style="5" customWidth="1"/>
    <col min="9" max="9" width="20.83203125" style="5" bestFit="1" customWidth="1"/>
    <col min="10" max="10" width="19.33203125" style="5" bestFit="1" customWidth="1"/>
    <col min="11" max="11" width="11.6640625" style="5" customWidth="1"/>
    <col min="12" max="13" width="2.6640625" style="5" customWidth="1"/>
    <col min="14" max="40" width="4.6640625" style="5" customWidth="1"/>
    <col min="41" max="16384" width="11.5" style="5"/>
  </cols>
  <sheetData>
    <row r="1" spans="1:40" ht="14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.75" customHeight="1" thickBot="1">
      <c r="A2" s="6"/>
      <c r="B2" s="7"/>
      <c r="C2" s="8"/>
      <c r="D2" s="8"/>
      <c r="E2" s="8"/>
      <c r="F2" s="8"/>
      <c r="G2" s="8"/>
      <c r="H2" s="9"/>
      <c r="I2" s="10"/>
      <c r="J2" s="10"/>
      <c r="K2" s="10"/>
      <c r="L2" s="11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0" ht="12.75" customHeight="1">
      <c r="A3" s="6"/>
      <c r="B3" s="296" t="s">
        <v>0</v>
      </c>
      <c r="C3" s="297"/>
      <c r="D3" s="297"/>
      <c r="E3" s="297"/>
      <c r="F3" s="297"/>
      <c r="G3" s="297"/>
      <c r="H3" s="297"/>
      <c r="I3" s="297"/>
      <c r="J3" s="297"/>
      <c r="K3" s="297"/>
      <c r="L3" s="298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spans="1:40" ht="48.75" customHeight="1" thickBot="1">
      <c r="A4" s="6"/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spans="1:40" ht="21.75" customHeight="1" thickBot="1">
      <c r="A5" s="6"/>
      <c r="B5" s="14"/>
      <c r="C5" s="15"/>
      <c r="D5" s="16"/>
      <c r="E5" s="17"/>
      <c r="F5" s="15"/>
      <c r="G5" s="15"/>
      <c r="H5" s="13"/>
      <c r="I5" s="13"/>
      <c r="J5" s="13"/>
      <c r="K5" s="13"/>
      <c r="L5" s="18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spans="1:40" ht="22.5" customHeight="1" thickBot="1">
      <c r="A6" s="6"/>
      <c r="B6" s="302"/>
      <c r="C6" s="303"/>
      <c r="D6" s="303"/>
      <c r="E6" s="303"/>
      <c r="F6" s="303"/>
      <c r="G6" s="303"/>
      <c r="H6" s="303"/>
      <c r="I6" s="303"/>
      <c r="J6" s="303"/>
      <c r="K6" s="303"/>
      <c r="L6" s="304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 ht="18" customHeight="1">
      <c r="A7" s="6"/>
      <c r="B7" s="21"/>
      <c r="C7" s="22"/>
      <c r="D7" s="22"/>
      <c r="E7" s="22"/>
      <c r="F7" s="22"/>
      <c r="G7" s="22"/>
      <c r="H7" s="22"/>
      <c r="I7" s="22"/>
      <c r="J7" s="22"/>
      <c r="K7" s="22"/>
      <c r="L7" s="23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</row>
    <row r="8" spans="1:40">
      <c r="A8" s="6"/>
      <c r="B8" s="282" t="s">
        <v>1</v>
      </c>
      <c r="C8" s="295"/>
      <c r="D8" s="24"/>
      <c r="E8" s="25"/>
      <c r="F8" s="283" t="s">
        <v>2</v>
      </c>
      <c r="G8" s="283"/>
      <c r="H8" s="305"/>
      <c r="I8" s="306"/>
      <c r="J8" s="306"/>
      <c r="K8" s="307"/>
      <c r="L8" s="26"/>
      <c r="M8" s="27"/>
      <c r="N8" s="28"/>
      <c r="O8" s="28"/>
      <c r="P8" s="28"/>
      <c r="Q8" s="28"/>
      <c r="R8" s="28"/>
      <c r="S8" s="28"/>
      <c r="T8" s="28"/>
      <c r="U8" s="28"/>
      <c r="V8" s="28"/>
    </row>
    <row r="9" spans="1:40">
      <c r="A9" s="6"/>
      <c r="B9" s="282" t="s">
        <v>3</v>
      </c>
      <c r="C9" s="295"/>
      <c r="D9" s="218"/>
      <c r="E9" s="25"/>
      <c r="F9" s="283" t="s">
        <v>4</v>
      </c>
      <c r="G9" s="283"/>
      <c r="H9" s="308"/>
      <c r="I9" s="309"/>
      <c r="J9" s="309"/>
      <c r="K9" s="310"/>
      <c r="L9" s="29"/>
      <c r="M9" s="30"/>
    </row>
    <row r="10" spans="1:40" ht="14" thickBot="1">
      <c r="A10" s="6"/>
      <c r="B10" s="31"/>
      <c r="C10" s="28"/>
      <c r="D10" s="28"/>
      <c r="E10" s="28"/>
      <c r="F10" s="32"/>
      <c r="G10" s="32"/>
      <c r="H10" s="32"/>
      <c r="I10" s="32"/>
      <c r="J10" s="32"/>
      <c r="K10" s="32"/>
      <c r="L10" s="33"/>
      <c r="M10" s="34"/>
      <c r="N10" s="32"/>
      <c r="O10" s="32"/>
      <c r="P10" s="32"/>
      <c r="Q10" s="32"/>
      <c r="R10" s="32"/>
      <c r="S10" s="32"/>
      <c r="T10" s="32"/>
      <c r="U10" s="32"/>
      <c r="W10" s="32"/>
      <c r="X10" s="32"/>
      <c r="Y10" s="32"/>
    </row>
    <row r="11" spans="1:40" ht="18" customHeight="1" thickBot="1">
      <c r="A11" s="6"/>
      <c r="B11" s="275" t="s">
        <v>6</v>
      </c>
      <c r="C11" s="264"/>
      <c r="D11" s="264"/>
      <c r="E11" s="264"/>
      <c r="F11" s="264"/>
      <c r="G11" s="264"/>
      <c r="H11" s="264"/>
      <c r="I11" s="264"/>
      <c r="J11" s="264"/>
      <c r="K11" s="264"/>
      <c r="L11" s="265"/>
      <c r="M11" s="35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>
      <c r="A12" s="6"/>
      <c r="B12" s="37"/>
      <c r="L12" s="29"/>
      <c r="M12" s="30"/>
    </row>
    <row r="13" spans="1:40">
      <c r="A13" s="6"/>
      <c r="B13" s="38" t="s">
        <v>7</v>
      </c>
      <c r="C13" s="39"/>
      <c r="D13" s="24"/>
      <c r="F13" s="40" t="s">
        <v>8</v>
      </c>
      <c r="G13" s="40"/>
      <c r="H13" s="285"/>
      <c r="I13" s="286"/>
      <c r="J13" s="286"/>
      <c r="K13" s="287"/>
      <c r="L13" s="41"/>
      <c r="M13" s="30"/>
      <c r="T13" s="39"/>
      <c r="U13" s="288"/>
      <c r="V13" s="289"/>
      <c r="W13" s="289"/>
      <c r="X13" s="290"/>
    </row>
    <row r="14" spans="1:40">
      <c r="A14" s="6"/>
      <c r="B14" s="38" t="s">
        <v>9</v>
      </c>
      <c r="C14" s="39"/>
      <c r="D14" s="24"/>
      <c r="L14" s="29"/>
      <c r="M14" s="30"/>
      <c r="U14" s="291"/>
      <c r="V14" s="291"/>
      <c r="W14" s="291"/>
      <c r="X14" s="291"/>
    </row>
    <row r="15" spans="1:40" ht="14" thickBot="1">
      <c r="A15" s="6"/>
      <c r="B15" s="37"/>
      <c r="L15" s="29"/>
      <c r="M15" s="30"/>
    </row>
    <row r="16" spans="1:40" ht="15" thickBot="1">
      <c r="A16" s="6"/>
      <c r="B16" s="275" t="s">
        <v>10</v>
      </c>
      <c r="C16" s="264"/>
      <c r="D16" s="264"/>
      <c r="E16" s="264"/>
      <c r="F16" s="264"/>
      <c r="G16" s="264"/>
      <c r="H16" s="264"/>
      <c r="I16" s="264"/>
      <c r="J16" s="264"/>
      <c r="K16" s="264"/>
      <c r="L16" s="265"/>
      <c r="M16" s="35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>
      <c r="A17" s="6"/>
      <c r="B17" s="276"/>
      <c r="C17" s="277"/>
      <c r="D17" s="277"/>
      <c r="E17" s="277"/>
      <c r="F17" s="277"/>
      <c r="G17" s="277"/>
      <c r="H17" s="277"/>
      <c r="I17" s="277"/>
      <c r="J17" s="277"/>
      <c r="K17" s="277"/>
      <c r="L17" s="278"/>
      <c r="M17" s="42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 spans="1:40" ht="21.5" customHeight="1">
      <c r="A18" s="6"/>
      <c r="B18" s="279"/>
      <c r="C18" s="280"/>
      <c r="D18" s="280"/>
      <c r="E18" s="280"/>
      <c r="F18" s="280"/>
      <c r="G18" s="280"/>
      <c r="H18" s="280"/>
      <c r="I18" s="280"/>
      <c r="J18" s="280"/>
      <c r="K18" s="280"/>
      <c r="L18" s="281"/>
      <c r="M18" s="42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</row>
    <row r="19" spans="1:40" ht="18" customHeight="1">
      <c r="A19" s="6"/>
      <c r="B19" s="279"/>
      <c r="C19" s="280"/>
      <c r="D19" s="280"/>
      <c r="E19" s="280"/>
      <c r="F19" s="280"/>
      <c r="G19" s="280"/>
      <c r="H19" s="280"/>
      <c r="I19" s="280"/>
      <c r="J19" s="280"/>
      <c r="K19" s="280"/>
      <c r="L19" s="281"/>
      <c r="M19" s="42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</row>
    <row r="20" spans="1:40" ht="27.5" customHeight="1">
      <c r="A20" s="6"/>
      <c r="B20" s="279"/>
      <c r="C20" s="280"/>
      <c r="D20" s="280"/>
      <c r="E20" s="280"/>
      <c r="F20" s="280"/>
      <c r="G20" s="280"/>
      <c r="H20" s="280"/>
      <c r="I20" s="280"/>
      <c r="J20" s="280"/>
      <c r="K20" s="280"/>
      <c r="L20" s="281"/>
      <c r="M20" s="42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 spans="1:40" ht="14" thickBot="1">
      <c r="A21" s="6"/>
      <c r="B21" s="292"/>
      <c r="C21" s="293"/>
      <c r="D21" s="293"/>
      <c r="E21" s="293"/>
      <c r="F21" s="293"/>
      <c r="G21" s="293"/>
      <c r="H21" s="293"/>
      <c r="I21" s="293"/>
      <c r="J21" s="293"/>
      <c r="K21" s="293"/>
      <c r="L21" s="294"/>
      <c r="M21" s="42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</row>
    <row r="22" spans="1:40" ht="15" thickBot="1">
      <c r="A22" s="6"/>
      <c r="B22" s="275" t="s">
        <v>11</v>
      </c>
      <c r="C22" s="264"/>
      <c r="D22" s="264"/>
      <c r="E22" s="264"/>
      <c r="F22" s="264"/>
      <c r="G22" s="264"/>
      <c r="H22" s="264"/>
      <c r="I22" s="264"/>
      <c r="J22" s="264"/>
      <c r="K22" s="264"/>
      <c r="L22" s="265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>
      <c r="A23" s="6"/>
      <c r="B23" s="276"/>
      <c r="C23" s="277"/>
      <c r="D23" s="277"/>
      <c r="E23" s="277"/>
      <c r="F23" s="277"/>
      <c r="G23" s="277"/>
      <c r="H23" s="277"/>
      <c r="I23" s="277"/>
      <c r="J23" s="277"/>
      <c r="K23" s="277"/>
      <c r="L23" s="278"/>
      <c r="M23" s="30"/>
    </row>
    <row r="24" spans="1:40" ht="24.5" customHeight="1">
      <c r="A24" s="6"/>
      <c r="B24" s="279"/>
      <c r="C24" s="280"/>
      <c r="D24" s="280"/>
      <c r="E24" s="280"/>
      <c r="F24" s="280"/>
      <c r="G24" s="280"/>
      <c r="H24" s="280"/>
      <c r="I24" s="280"/>
      <c r="J24" s="280"/>
      <c r="K24" s="280"/>
      <c r="L24" s="281"/>
      <c r="M24" s="30"/>
    </row>
    <row r="25" spans="1:40" ht="24.5" customHeight="1">
      <c r="A25" s="6"/>
      <c r="B25" s="279"/>
      <c r="C25" s="280"/>
      <c r="D25" s="280"/>
      <c r="E25" s="280"/>
      <c r="F25" s="280"/>
      <c r="G25" s="280"/>
      <c r="H25" s="280"/>
      <c r="I25" s="280"/>
      <c r="J25" s="280"/>
      <c r="K25" s="280"/>
      <c r="L25" s="281"/>
      <c r="M25" s="30"/>
    </row>
    <row r="26" spans="1:40" ht="34" customHeight="1" thickBot="1">
      <c r="A26" s="6"/>
      <c r="B26" s="279"/>
      <c r="C26" s="280"/>
      <c r="D26" s="280"/>
      <c r="E26" s="280"/>
      <c r="F26" s="280"/>
      <c r="G26" s="280"/>
      <c r="H26" s="280"/>
      <c r="I26" s="280"/>
      <c r="J26" s="280"/>
      <c r="K26" s="280"/>
      <c r="L26" s="281"/>
      <c r="M26" s="30"/>
    </row>
    <row r="27" spans="1:40" ht="18" customHeight="1" thickBot="1">
      <c r="A27" s="6"/>
      <c r="B27" s="275" t="s">
        <v>12</v>
      </c>
      <c r="C27" s="264"/>
      <c r="D27" s="264"/>
      <c r="E27" s="264"/>
      <c r="F27" s="264"/>
      <c r="G27" s="264"/>
      <c r="H27" s="264"/>
      <c r="I27" s="264"/>
      <c r="J27" s="264"/>
      <c r="K27" s="264"/>
      <c r="L27" s="265"/>
      <c r="M27" s="35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>
      <c r="A28" s="6"/>
      <c r="B28" s="37"/>
      <c r="L28" s="29"/>
      <c r="M28" s="30"/>
    </row>
    <row r="29" spans="1:40">
      <c r="A29" s="6"/>
      <c r="B29" s="44" t="s">
        <v>13</v>
      </c>
      <c r="C29" s="28"/>
      <c r="D29" s="28"/>
      <c r="E29" s="28"/>
      <c r="F29" s="28"/>
      <c r="G29" s="28"/>
      <c r="H29" s="28"/>
      <c r="I29" s="28"/>
      <c r="J29" s="45"/>
      <c r="K29" s="45"/>
      <c r="L29" s="46" t="s">
        <v>14</v>
      </c>
      <c r="M29" s="27"/>
      <c r="N29" s="28"/>
      <c r="O29" s="28"/>
      <c r="P29" s="28"/>
      <c r="Q29" s="28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</row>
    <row r="30" spans="1:40">
      <c r="A30" s="6"/>
      <c r="B30" s="37"/>
      <c r="L30" s="29"/>
      <c r="M30" s="30"/>
    </row>
    <row r="31" spans="1:40">
      <c r="A31" s="6"/>
      <c r="B31" s="282" t="s">
        <v>15</v>
      </c>
      <c r="C31" s="283"/>
      <c r="D31" s="283"/>
      <c r="E31" s="48"/>
      <c r="F31" s="39"/>
      <c r="G31" s="39"/>
      <c r="H31" s="39"/>
      <c r="I31" s="39"/>
      <c r="J31" s="39"/>
      <c r="K31" s="39"/>
      <c r="L31" s="49"/>
      <c r="M31" s="50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40">
      <c r="A32" s="6"/>
      <c r="B32" s="100"/>
      <c r="C32" s="73"/>
      <c r="D32" s="73"/>
      <c r="E32" s="48"/>
      <c r="F32" s="39"/>
      <c r="G32" s="39"/>
      <c r="H32" s="39"/>
      <c r="I32" s="39"/>
      <c r="J32" s="39"/>
      <c r="K32" s="39"/>
      <c r="L32" s="49"/>
      <c r="M32" s="50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40" s="39" customFormat="1" ht="42">
      <c r="A33" s="51"/>
      <c r="B33" s="154" t="s">
        <v>16</v>
      </c>
      <c r="C33" s="52" t="s">
        <v>17</v>
      </c>
      <c r="D33" s="259" t="s">
        <v>18</v>
      </c>
      <c r="E33" s="259"/>
      <c r="F33" s="260" t="s">
        <v>19</v>
      </c>
      <c r="G33" s="260"/>
      <c r="H33" s="54" t="s">
        <v>20</v>
      </c>
      <c r="I33" s="53" t="s">
        <v>21</v>
      </c>
      <c r="J33" s="53" t="s">
        <v>22</v>
      </c>
      <c r="K33" s="52" t="s">
        <v>23</v>
      </c>
      <c r="L33" s="49"/>
      <c r="M33" s="50"/>
      <c r="AK33" s="284"/>
      <c r="AL33" s="284"/>
      <c r="AM33" s="284"/>
      <c r="AN33" s="284"/>
    </row>
    <row r="34" spans="1:40">
      <c r="A34" s="6"/>
      <c r="B34" s="55"/>
      <c r="C34" s="56"/>
      <c r="D34" s="56"/>
      <c r="E34" s="56"/>
      <c r="F34" s="56"/>
      <c r="G34" s="56"/>
      <c r="H34" s="56"/>
      <c r="I34" s="56"/>
      <c r="J34" s="56"/>
      <c r="K34" s="56"/>
      <c r="L34" s="41"/>
      <c r="M34" s="30"/>
    </row>
    <row r="35" spans="1:40" ht="15">
      <c r="A35" s="6"/>
      <c r="B35" s="55"/>
      <c r="C35" s="75"/>
      <c r="D35" s="75"/>
      <c r="E35" s="56"/>
      <c r="F35" s="155"/>
      <c r="G35" s="32"/>
      <c r="H35" s="156"/>
      <c r="I35" s="157"/>
      <c r="J35" s="157"/>
      <c r="K35" s="72"/>
      <c r="L35" s="41"/>
      <c r="M35" s="30"/>
    </row>
    <row r="36" spans="1:40" ht="15">
      <c r="A36" s="6"/>
      <c r="B36" s="55"/>
      <c r="C36" s="75"/>
      <c r="D36" s="75"/>
      <c r="E36" s="56"/>
      <c r="F36" s="254"/>
      <c r="G36" s="158"/>
      <c r="H36" s="155"/>
      <c r="I36" s="254"/>
      <c r="J36" s="255"/>
      <c r="K36" s="72"/>
      <c r="L36" s="41"/>
      <c r="M36" s="30"/>
    </row>
    <row r="37" spans="1:40" ht="15">
      <c r="A37" s="6"/>
      <c r="B37" s="55"/>
      <c r="C37" s="75"/>
      <c r="D37" s="75"/>
      <c r="E37" s="56"/>
      <c r="F37" s="155"/>
      <c r="G37" s="158"/>
      <c r="H37" s="156"/>
      <c r="I37" s="157"/>
      <c r="J37" s="157"/>
      <c r="K37" s="72"/>
      <c r="L37" s="41"/>
      <c r="M37" s="30"/>
    </row>
    <row r="38" spans="1:40" ht="15">
      <c r="A38" s="6"/>
      <c r="B38" s="55"/>
      <c r="C38" s="75"/>
      <c r="D38" s="75"/>
      <c r="E38" s="56"/>
      <c r="F38" s="155"/>
      <c r="G38" s="32"/>
      <c r="H38" s="156"/>
      <c r="I38" s="157"/>
      <c r="J38" s="157"/>
      <c r="K38" s="72"/>
      <c r="L38" s="41"/>
      <c r="M38" s="30"/>
    </row>
    <row r="39" spans="1:40" ht="15">
      <c r="A39" s="6"/>
      <c r="B39" s="55"/>
      <c r="C39" s="75"/>
      <c r="D39" s="75"/>
      <c r="E39" s="56"/>
      <c r="F39" s="155"/>
      <c r="G39" s="32"/>
      <c r="H39" s="156"/>
      <c r="I39" s="157"/>
      <c r="J39" s="157"/>
      <c r="K39" s="72"/>
      <c r="L39" s="41"/>
      <c r="M39" s="30"/>
    </row>
    <row r="40" spans="1:40" ht="15">
      <c r="A40" s="6"/>
      <c r="B40" s="55"/>
      <c r="C40" s="75"/>
      <c r="D40" s="75"/>
      <c r="E40" s="56"/>
      <c r="F40" s="155"/>
      <c r="G40" s="32"/>
      <c r="H40" s="156"/>
      <c r="I40" s="157"/>
      <c r="J40" s="157"/>
      <c r="K40" s="72"/>
      <c r="L40" s="41"/>
      <c r="M40" s="30"/>
    </row>
    <row r="41" spans="1:40" ht="15">
      <c r="A41" s="6"/>
      <c r="B41" s="55"/>
      <c r="C41" s="75"/>
      <c r="D41" s="75"/>
      <c r="E41" s="56"/>
      <c r="F41" s="155"/>
      <c r="G41" s="32"/>
      <c r="H41" s="156"/>
      <c r="I41" s="157"/>
      <c r="J41" s="157"/>
      <c r="K41" s="72"/>
      <c r="L41" s="41"/>
      <c r="M41" s="30"/>
    </row>
    <row r="42" spans="1:40" ht="15">
      <c r="A42" s="6"/>
      <c r="B42" s="55"/>
      <c r="C42" s="75"/>
      <c r="D42" s="75"/>
      <c r="E42" s="56"/>
      <c r="F42" s="155"/>
      <c r="G42" s="32"/>
      <c r="H42" s="156"/>
      <c r="I42" s="157"/>
      <c r="J42" s="157"/>
      <c r="K42" s="72"/>
      <c r="L42" s="41"/>
      <c r="M42" s="30"/>
    </row>
    <row r="43" spans="1:40" ht="15">
      <c r="A43" s="6"/>
      <c r="B43" s="55"/>
      <c r="C43" s="75"/>
      <c r="D43" s="75"/>
      <c r="E43" s="56"/>
      <c r="F43" s="155"/>
      <c r="G43" s="159"/>
      <c r="H43" s="156"/>
      <c r="I43" s="157"/>
      <c r="J43" s="157"/>
      <c r="K43" s="72"/>
      <c r="L43" s="41"/>
      <c r="M43" s="30"/>
    </row>
    <row r="44" spans="1:40" ht="15">
      <c r="A44" s="6"/>
      <c r="B44" s="55"/>
      <c r="C44" s="75"/>
      <c r="D44" s="75"/>
      <c r="E44" s="56"/>
      <c r="F44" s="155"/>
      <c r="G44" s="32"/>
      <c r="H44" s="156"/>
      <c r="I44" s="157"/>
      <c r="J44" s="157"/>
      <c r="K44" s="72"/>
      <c r="L44" s="41"/>
      <c r="M44" s="30"/>
    </row>
    <row r="45" spans="1:40" ht="15">
      <c r="A45" s="6"/>
      <c r="B45" s="55"/>
      <c r="C45" s="75"/>
      <c r="D45" s="75"/>
      <c r="E45" s="56"/>
      <c r="F45" s="155"/>
      <c r="G45" s="160"/>
      <c r="H45" s="156"/>
      <c r="I45" s="157"/>
      <c r="J45" s="157"/>
      <c r="K45" s="72"/>
      <c r="L45" s="41"/>
      <c r="M45" s="30"/>
    </row>
    <row r="46" spans="1:40" ht="15">
      <c r="A46" s="6"/>
      <c r="B46" s="55"/>
      <c r="C46" s="75"/>
      <c r="D46" s="75"/>
      <c r="E46" s="56"/>
      <c r="F46" s="155"/>
      <c r="G46" s="160"/>
      <c r="H46" s="156"/>
      <c r="I46" s="157"/>
      <c r="J46" s="157"/>
      <c r="K46" s="72"/>
      <c r="L46" s="41"/>
      <c r="M46" s="30"/>
    </row>
    <row r="47" spans="1:40" ht="15">
      <c r="A47" s="6"/>
      <c r="B47" s="55"/>
      <c r="C47" s="75"/>
      <c r="D47" s="75"/>
      <c r="E47" s="56"/>
      <c r="F47" s="155"/>
      <c r="G47" s="160"/>
      <c r="H47" s="156"/>
      <c r="I47" s="157"/>
      <c r="J47" s="157"/>
      <c r="K47" s="72"/>
      <c r="L47" s="41"/>
      <c r="M47" s="30"/>
    </row>
    <row r="48" spans="1:40" ht="15">
      <c r="A48" s="6"/>
      <c r="B48" s="55"/>
      <c r="C48" s="75"/>
      <c r="D48" s="75"/>
      <c r="E48" s="56"/>
      <c r="F48" s="155"/>
      <c r="G48" s="160"/>
      <c r="H48" s="156"/>
      <c r="I48" s="157"/>
      <c r="J48" s="157"/>
      <c r="K48" s="72"/>
      <c r="L48" s="41"/>
      <c r="M48" s="30"/>
    </row>
    <row r="49" spans="1:13" ht="15">
      <c r="A49" s="6"/>
      <c r="B49" s="55"/>
      <c r="C49" s="75"/>
      <c r="D49" s="75"/>
      <c r="E49" s="56"/>
      <c r="F49" s="155"/>
      <c r="G49" s="159"/>
      <c r="H49" s="156"/>
      <c r="I49" s="157"/>
      <c r="J49" s="157"/>
      <c r="K49" s="72"/>
      <c r="L49" s="41"/>
      <c r="M49" s="30"/>
    </row>
    <row r="50" spans="1:13" ht="15">
      <c r="A50" s="6"/>
      <c r="B50" s="55"/>
      <c r="C50" s="75"/>
      <c r="D50" s="161"/>
      <c r="E50" s="56"/>
      <c r="F50" s="155"/>
      <c r="G50" s="32"/>
      <c r="H50" s="156"/>
      <c r="I50" s="157"/>
      <c r="J50" s="157"/>
      <c r="K50" s="72"/>
      <c r="L50" s="41"/>
      <c r="M50" s="30"/>
    </row>
    <row r="51" spans="1:13" ht="15">
      <c r="A51" s="6"/>
      <c r="B51" s="55"/>
      <c r="C51" s="75"/>
      <c r="D51" s="75"/>
      <c r="E51" s="56"/>
      <c r="F51" s="155"/>
      <c r="G51" s="32"/>
      <c r="H51" s="155"/>
      <c r="I51" s="157"/>
      <c r="J51" s="157"/>
      <c r="K51" s="72"/>
      <c r="L51" s="41"/>
      <c r="M51" s="30"/>
    </row>
    <row r="52" spans="1:13" ht="15">
      <c r="A52" s="6"/>
      <c r="B52" s="55"/>
      <c r="C52" s="75"/>
      <c r="D52" s="75"/>
      <c r="E52" s="56"/>
      <c r="F52" s="155"/>
      <c r="G52" s="32"/>
      <c r="H52" s="155"/>
      <c r="I52" s="157"/>
      <c r="J52" s="157"/>
      <c r="K52" s="72"/>
      <c r="L52" s="41"/>
      <c r="M52" s="30"/>
    </row>
    <row r="53" spans="1:13" ht="15">
      <c r="A53" s="6"/>
      <c r="B53" s="55"/>
      <c r="C53" s="75"/>
      <c r="D53" s="75"/>
      <c r="E53" s="56"/>
      <c r="F53" s="155"/>
      <c r="G53" s="159"/>
      <c r="H53" s="155"/>
      <c r="I53" s="157"/>
      <c r="J53" s="157"/>
      <c r="K53" s="72"/>
      <c r="L53" s="41"/>
      <c r="M53" s="30"/>
    </row>
    <row r="54" spans="1:13" ht="15">
      <c r="A54" s="6"/>
      <c r="B54" s="55"/>
      <c r="C54" s="161"/>
      <c r="D54" s="75"/>
      <c r="E54" s="56"/>
      <c r="F54" s="155"/>
      <c r="G54" s="159"/>
      <c r="H54" s="155"/>
      <c r="I54" s="157"/>
      <c r="J54" s="157"/>
      <c r="K54" s="72"/>
      <c r="L54" s="41"/>
      <c r="M54" s="30"/>
    </row>
    <row r="55" spans="1:13" ht="15">
      <c r="A55" s="6"/>
      <c r="B55" s="55"/>
      <c r="C55" s="75"/>
      <c r="D55" s="75"/>
      <c r="E55" s="56"/>
      <c r="F55" s="155"/>
      <c r="G55" s="32"/>
      <c r="H55" s="155"/>
      <c r="I55" s="157"/>
      <c r="J55" s="157"/>
      <c r="K55" s="72"/>
      <c r="L55" s="41"/>
      <c r="M55" s="30"/>
    </row>
    <row r="56" spans="1:13" ht="15">
      <c r="A56" s="6"/>
      <c r="B56" s="55"/>
      <c r="C56" s="75"/>
      <c r="D56" s="75"/>
      <c r="E56" s="56"/>
      <c r="F56" s="155"/>
      <c r="G56" s="159"/>
      <c r="H56" s="155"/>
      <c r="I56" s="157"/>
      <c r="J56" s="157"/>
      <c r="K56" s="72"/>
      <c r="L56" s="41"/>
      <c r="M56" s="30"/>
    </row>
    <row r="57" spans="1:13" ht="15">
      <c r="A57" s="6"/>
      <c r="B57" s="55"/>
      <c r="C57" s="75"/>
      <c r="D57" s="75"/>
      <c r="E57" s="56"/>
      <c r="F57" s="155"/>
      <c r="G57" s="162"/>
      <c r="H57" s="155"/>
      <c r="I57" s="157"/>
      <c r="J57" s="157"/>
      <c r="K57" s="72"/>
      <c r="L57" s="41"/>
      <c r="M57" s="30"/>
    </row>
    <row r="58" spans="1:13" ht="15">
      <c r="A58" s="6"/>
      <c r="B58" s="55"/>
      <c r="C58" s="75"/>
      <c r="D58" s="75"/>
      <c r="E58" s="56"/>
      <c r="F58" s="155"/>
      <c r="G58" s="162"/>
      <c r="H58" s="155"/>
      <c r="I58" s="157"/>
      <c r="J58" s="157"/>
      <c r="K58" s="72"/>
      <c r="L58" s="41"/>
      <c r="M58" s="30"/>
    </row>
    <row r="59" spans="1:13" ht="15">
      <c r="A59" s="6"/>
      <c r="B59" s="55"/>
      <c r="C59" s="75"/>
      <c r="D59" s="75"/>
      <c r="E59" s="56"/>
      <c r="F59" s="155"/>
      <c r="G59" s="162"/>
      <c r="H59" s="155"/>
      <c r="I59" s="157"/>
      <c r="J59" s="157"/>
      <c r="K59" s="72"/>
      <c r="L59" s="41"/>
      <c r="M59" s="30"/>
    </row>
    <row r="60" spans="1:13" ht="15">
      <c r="A60" s="6"/>
      <c r="B60" s="55"/>
      <c r="C60" s="75"/>
      <c r="D60" s="75"/>
      <c r="E60" s="56"/>
      <c r="F60" s="155"/>
      <c r="G60" s="159"/>
      <c r="H60" s="155"/>
      <c r="I60" s="157"/>
      <c r="J60" s="157"/>
      <c r="K60" s="72"/>
      <c r="L60" s="41"/>
      <c r="M60" s="30"/>
    </row>
    <row r="61" spans="1:13" ht="15">
      <c r="A61" s="6"/>
      <c r="B61" s="55"/>
      <c r="C61" s="75"/>
      <c r="D61" s="75"/>
      <c r="E61" s="56"/>
      <c r="F61" s="155"/>
      <c r="G61" s="159"/>
      <c r="H61" s="156"/>
      <c r="I61" s="157"/>
      <c r="J61" s="157"/>
      <c r="K61" s="72"/>
      <c r="L61" s="41"/>
      <c r="M61" s="30"/>
    </row>
    <row r="62" spans="1:13" ht="15">
      <c r="A62" s="6"/>
      <c r="B62" s="55"/>
      <c r="C62" s="75"/>
      <c r="D62" s="75"/>
      <c r="E62" s="56"/>
      <c r="F62" s="155"/>
      <c r="G62" s="159"/>
      <c r="H62" s="156"/>
      <c r="I62" s="157"/>
      <c r="J62" s="157"/>
      <c r="K62" s="72"/>
      <c r="L62" s="41"/>
      <c r="M62" s="30"/>
    </row>
    <row r="63" spans="1:13" ht="15">
      <c r="A63" s="6"/>
      <c r="B63" s="55"/>
      <c r="C63" s="75"/>
      <c r="D63" s="75"/>
      <c r="E63" s="56"/>
      <c r="F63" s="155"/>
      <c r="G63" s="159"/>
      <c r="H63" s="156"/>
      <c r="I63" s="157"/>
      <c r="J63" s="157"/>
      <c r="K63" s="72"/>
      <c r="L63" s="41"/>
      <c r="M63" s="30"/>
    </row>
    <row r="64" spans="1:13" ht="15">
      <c r="A64" s="6"/>
      <c r="B64" s="55"/>
      <c r="C64" s="75"/>
      <c r="D64" s="75"/>
      <c r="E64" s="56"/>
      <c r="F64" s="155"/>
      <c r="G64" s="159"/>
      <c r="H64" s="156"/>
      <c r="I64" s="157"/>
      <c r="J64" s="157"/>
      <c r="K64" s="72"/>
      <c r="L64" s="41"/>
      <c r="M64" s="30"/>
    </row>
    <row r="65" spans="1:38" ht="15">
      <c r="A65" s="6"/>
      <c r="B65" s="55"/>
      <c r="C65" s="75"/>
      <c r="D65" s="75"/>
      <c r="E65" s="56"/>
      <c r="F65" s="155"/>
      <c r="G65" s="159"/>
      <c r="H65" s="156"/>
      <c r="I65" s="157"/>
      <c r="J65" s="157"/>
      <c r="K65" s="72"/>
      <c r="L65" s="41"/>
      <c r="M65" s="30"/>
    </row>
    <row r="66" spans="1:38">
      <c r="A66" s="6"/>
      <c r="B66" s="55"/>
      <c r="C66" s="56"/>
      <c r="D66" s="56"/>
      <c r="E66" s="56"/>
      <c r="F66" s="56"/>
      <c r="G66" s="56"/>
      <c r="H66" s="56"/>
      <c r="K66" s="56"/>
      <c r="L66" s="41"/>
      <c r="M66" s="30"/>
    </row>
    <row r="67" spans="1:38">
      <c r="A67" s="6"/>
      <c r="B67" s="55"/>
      <c r="C67" s="56"/>
      <c r="K67" s="56"/>
      <c r="L67" s="41"/>
      <c r="M67" s="30"/>
    </row>
    <row r="68" spans="1:38">
      <c r="A68" s="6"/>
      <c r="B68" s="55"/>
      <c r="C68" s="56"/>
      <c r="D68" s="56"/>
      <c r="E68" s="56"/>
      <c r="F68" s="56"/>
      <c r="G68" s="56"/>
      <c r="H68" s="56"/>
      <c r="I68" s="56"/>
      <c r="J68" s="56"/>
      <c r="K68" s="56"/>
      <c r="L68" s="41"/>
      <c r="M68" s="30"/>
    </row>
    <row r="69" spans="1:38">
      <c r="A69" s="6"/>
      <c r="B69" s="101"/>
      <c r="C69" s="102"/>
      <c r="D69" s="102"/>
      <c r="E69" s="102"/>
      <c r="F69" s="102"/>
      <c r="G69" s="102"/>
      <c r="H69" s="102"/>
      <c r="I69" s="102"/>
      <c r="J69" s="102"/>
      <c r="K69" s="102"/>
      <c r="L69" s="103"/>
      <c r="M69" s="30"/>
    </row>
    <row r="70" spans="1:38">
      <c r="A70" s="6"/>
      <c r="B70" s="101"/>
      <c r="C70" s="102"/>
      <c r="D70" s="102"/>
      <c r="E70" s="102"/>
      <c r="F70" s="102"/>
      <c r="G70" s="102"/>
      <c r="H70" s="102"/>
      <c r="I70" s="102"/>
      <c r="J70" s="102"/>
      <c r="K70" s="102"/>
      <c r="L70" s="103"/>
      <c r="M70" s="30"/>
    </row>
    <row r="71" spans="1:38">
      <c r="A71" s="6"/>
      <c r="B71" s="101"/>
      <c r="C71" s="102"/>
      <c r="D71" s="102"/>
      <c r="E71" s="102"/>
      <c r="F71" s="102"/>
      <c r="G71" s="102"/>
      <c r="H71" s="102"/>
      <c r="I71" s="102"/>
      <c r="J71" s="102"/>
      <c r="K71" s="102"/>
      <c r="L71" s="103"/>
      <c r="M71" s="30"/>
    </row>
    <row r="72" spans="1:38">
      <c r="A72" s="6"/>
      <c r="B72" s="101"/>
      <c r="C72" s="102"/>
      <c r="D72" s="102"/>
      <c r="E72" s="102"/>
      <c r="F72" s="102"/>
      <c r="G72" s="102"/>
      <c r="H72" s="102"/>
      <c r="I72" s="102"/>
      <c r="J72" s="102"/>
      <c r="K72" s="102"/>
      <c r="L72" s="103"/>
      <c r="M72" s="30"/>
    </row>
    <row r="73" spans="1:38">
      <c r="A73" s="6"/>
      <c r="B73" s="101"/>
      <c r="C73" s="102"/>
      <c r="D73" s="102"/>
      <c r="E73" s="102"/>
      <c r="F73" s="102"/>
      <c r="G73" s="102"/>
      <c r="H73" s="102"/>
      <c r="I73" s="102"/>
      <c r="J73" s="102"/>
      <c r="K73" s="102"/>
      <c r="L73" s="103"/>
      <c r="M73" s="30"/>
    </row>
    <row r="74" spans="1:38">
      <c r="A74" s="6"/>
      <c r="B74" s="101"/>
      <c r="C74" s="102"/>
      <c r="D74" s="102"/>
      <c r="E74" s="102"/>
      <c r="F74" s="102"/>
      <c r="G74" s="102"/>
      <c r="H74" s="102"/>
      <c r="I74" s="102"/>
      <c r="J74" s="102"/>
      <c r="K74" s="102"/>
      <c r="L74" s="103"/>
      <c r="M74" s="30"/>
    </row>
    <row r="75" spans="1:38">
      <c r="A75" s="6"/>
      <c r="B75" s="101"/>
      <c r="C75" s="102"/>
      <c r="D75" s="102"/>
      <c r="E75" s="102"/>
      <c r="F75" s="102"/>
      <c r="G75" s="102"/>
      <c r="H75" s="102"/>
      <c r="I75" s="102"/>
      <c r="J75" s="102"/>
      <c r="K75" s="102"/>
      <c r="L75" s="103"/>
      <c r="M75" s="30"/>
    </row>
    <row r="76" spans="1:38">
      <c r="A76" s="6"/>
      <c r="B76" s="101"/>
      <c r="C76" s="102"/>
      <c r="D76" s="102"/>
      <c r="E76" s="102"/>
      <c r="F76" s="102"/>
      <c r="G76" s="102"/>
      <c r="H76" s="102"/>
      <c r="I76" s="102"/>
      <c r="J76" s="102"/>
      <c r="K76" s="102"/>
      <c r="L76" s="103"/>
      <c r="M76" s="30"/>
    </row>
    <row r="77" spans="1:38">
      <c r="A77" s="6"/>
      <c r="B77" s="55"/>
      <c r="C77" s="56"/>
      <c r="D77" s="56"/>
      <c r="E77" s="56"/>
      <c r="F77" s="56"/>
      <c r="G77" s="56"/>
      <c r="H77" s="56"/>
      <c r="I77" s="56"/>
      <c r="J77" s="56"/>
      <c r="K77" s="56"/>
      <c r="L77" s="41"/>
      <c r="M77" s="30"/>
    </row>
    <row r="78" spans="1:38">
      <c r="A78" s="6"/>
      <c r="B78" s="55"/>
      <c r="C78" s="56"/>
      <c r="D78" s="57" t="s">
        <v>24</v>
      </c>
      <c r="E78" s="56"/>
      <c r="F78" s="56"/>
      <c r="G78" s="56"/>
      <c r="H78" s="56"/>
      <c r="I78" s="58">
        <f>SUM(I34:I66)</f>
      </c>
      <c r="J78" s="58">
        <f>SUM(J34:J66)</f>
      </c>
      <c r="K78" s="56"/>
      <c r="L78" s="41"/>
      <c r="M78" s="30"/>
      <c r="S78" s="32"/>
      <c r="T78" s="32"/>
      <c r="U78" s="32"/>
    </row>
    <row r="79" spans="1:38" s="39" customFormat="1">
      <c r="A79" s="51"/>
      <c r="B79" s="59"/>
      <c r="C79" s="40"/>
      <c r="D79" s="40"/>
      <c r="E79" s="40"/>
      <c r="F79" s="40"/>
      <c r="G79" s="40"/>
      <c r="H79" s="40"/>
      <c r="I79" s="60"/>
      <c r="J79" s="61"/>
      <c r="K79" s="40"/>
      <c r="L79" s="62"/>
      <c r="M79" s="50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</row>
    <row r="80" spans="1:38" ht="14" thickBot="1">
      <c r="A80" s="6"/>
      <c r="B80" s="37"/>
      <c r="L80" s="29"/>
      <c r="M80" s="30"/>
    </row>
    <row r="81" spans="1:40" ht="14" thickBot="1">
      <c r="A81" s="6"/>
      <c r="B81" s="263" t="s">
        <v>25</v>
      </c>
      <c r="C81" s="264"/>
      <c r="D81" s="264"/>
      <c r="E81" s="264"/>
      <c r="F81" s="264"/>
      <c r="G81" s="264"/>
      <c r="H81" s="264"/>
      <c r="I81" s="264"/>
      <c r="J81" s="264"/>
      <c r="K81" s="264"/>
      <c r="L81" s="265"/>
      <c r="M81" s="35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1:40" ht="14" thickBot="1">
      <c r="A82" s="6"/>
      <c r="B82" s="37"/>
      <c r="L82" s="29"/>
      <c r="M82" s="30"/>
    </row>
    <row r="83" spans="1:40">
      <c r="A83" s="6"/>
      <c r="B83" s="64" t="s">
        <v>26</v>
      </c>
      <c r="C83" s="64" t="s">
        <v>27</v>
      </c>
      <c r="D83" s="266" t="s">
        <v>28</v>
      </c>
      <c r="E83" s="267"/>
      <c r="F83" s="268"/>
      <c r="G83" s="268"/>
      <c r="H83" s="268"/>
      <c r="I83" s="268"/>
      <c r="J83" s="268"/>
      <c r="K83" s="269"/>
      <c r="L83" s="270"/>
      <c r="M83" s="50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</row>
    <row r="84" spans="1:40">
      <c r="A84" s="6"/>
      <c r="B84" s="222"/>
      <c r="C84" s="65"/>
      <c r="D84" s="271"/>
      <c r="E84" s="271"/>
      <c r="F84" s="271"/>
      <c r="G84" s="271"/>
      <c r="H84" s="271"/>
      <c r="I84" s="271"/>
      <c r="J84" s="271"/>
      <c r="K84" s="271"/>
      <c r="L84" s="271"/>
      <c r="M84" s="30"/>
    </row>
    <row r="85" spans="1:40">
      <c r="A85" s="6"/>
      <c r="B85" s="66"/>
      <c r="C85" s="65"/>
      <c r="D85" s="271"/>
      <c r="E85" s="271"/>
      <c r="F85" s="271"/>
      <c r="G85" s="271"/>
      <c r="H85" s="271"/>
      <c r="I85" s="271"/>
      <c r="J85" s="271"/>
      <c r="K85" s="271"/>
      <c r="L85" s="271"/>
      <c r="M85" s="30"/>
    </row>
    <row r="86" spans="1:40">
      <c r="A86" s="6"/>
      <c r="B86" s="66"/>
      <c r="C86" s="65"/>
      <c r="D86" s="272"/>
      <c r="E86" s="273"/>
      <c r="F86" s="273"/>
      <c r="G86" s="273"/>
      <c r="H86" s="273"/>
      <c r="I86" s="273"/>
      <c r="J86" s="273"/>
      <c r="K86" s="273"/>
      <c r="L86" s="274"/>
      <c r="M86" s="30"/>
    </row>
    <row r="87" spans="1:40">
      <c r="A87" s="6"/>
      <c r="B87" s="66"/>
      <c r="C87" s="65"/>
      <c r="D87" s="272"/>
      <c r="E87" s="273"/>
      <c r="F87" s="273"/>
      <c r="G87" s="273"/>
      <c r="H87" s="273"/>
      <c r="I87" s="273"/>
      <c r="J87" s="273"/>
      <c r="K87" s="273"/>
      <c r="L87" s="274"/>
      <c r="M87" s="30"/>
    </row>
    <row r="88" spans="1:40">
      <c r="A88" s="6"/>
      <c r="B88" s="66"/>
      <c r="C88" s="65"/>
      <c r="D88" s="272"/>
      <c r="E88" s="273"/>
      <c r="F88" s="273"/>
      <c r="G88" s="273"/>
      <c r="H88" s="273"/>
      <c r="I88" s="273"/>
      <c r="J88" s="273"/>
      <c r="K88" s="273"/>
      <c r="L88" s="274"/>
      <c r="M88" s="30"/>
    </row>
    <row r="89" spans="1:40">
      <c r="A89" s="6"/>
      <c r="B89" s="67"/>
      <c r="C89" s="67"/>
      <c r="D89" s="261"/>
      <c r="E89" s="261"/>
      <c r="F89" s="261"/>
      <c r="G89" s="261"/>
      <c r="H89" s="261"/>
      <c r="I89" s="261"/>
      <c r="J89" s="261"/>
      <c r="K89" s="261"/>
      <c r="L89" s="261"/>
      <c r="M89" s="30"/>
    </row>
    <row r="90" spans="1:40">
      <c r="A90" s="6"/>
      <c r="B90" s="67"/>
      <c r="C90" s="67"/>
      <c r="D90" s="261"/>
      <c r="E90" s="261"/>
      <c r="F90" s="261"/>
      <c r="G90" s="261"/>
      <c r="H90" s="261"/>
      <c r="I90" s="261"/>
      <c r="J90" s="261"/>
      <c r="K90" s="261"/>
      <c r="L90" s="261"/>
      <c r="M90" s="30"/>
    </row>
    <row r="91" spans="1:40">
      <c r="A91" s="6"/>
      <c r="B91" s="67"/>
      <c r="C91" s="67"/>
      <c r="D91" s="261"/>
      <c r="E91" s="261"/>
      <c r="F91" s="261"/>
      <c r="G91" s="261"/>
      <c r="H91" s="261"/>
      <c r="I91" s="261"/>
      <c r="J91" s="261"/>
      <c r="K91" s="261"/>
      <c r="L91" s="261"/>
      <c r="M91" s="30"/>
    </row>
    <row r="92" spans="1:40">
      <c r="A92" s="6"/>
      <c r="B92" s="67"/>
      <c r="C92" s="67"/>
      <c r="D92" s="261"/>
      <c r="E92" s="261"/>
      <c r="F92" s="261"/>
      <c r="G92" s="261"/>
      <c r="H92" s="261"/>
      <c r="I92" s="261"/>
      <c r="J92" s="261"/>
      <c r="K92" s="261"/>
      <c r="L92" s="261"/>
      <c r="M92" s="30"/>
    </row>
    <row r="93" spans="1:40" ht="14" thickBot="1">
      <c r="A93" s="6"/>
      <c r="B93" s="68"/>
      <c r="C93" s="68"/>
      <c r="D93" s="262"/>
      <c r="E93" s="262"/>
      <c r="F93" s="262"/>
      <c r="G93" s="262"/>
      <c r="H93" s="262"/>
      <c r="I93" s="262"/>
      <c r="J93" s="262"/>
      <c r="K93" s="262"/>
      <c r="L93" s="262"/>
      <c r="M93" s="30"/>
    </row>
    <row r="94" spans="1:40" ht="14" thickBot="1">
      <c r="A94" s="6"/>
      <c r="B94" s="37"/>
      <c r="L94" s="29"/>
      <c r="M94" s="30"/>
    </row>
    <row r="95" spans="1:40" ht="18" customHeight="1" thickBot="1">
      <c r="A95" s="6"/>
      <c r="B95" s="263" t="s">
        <v>29</v>
      </c>
      <c r="C95" s="264"/>
      <c r="D95" s="264"/>
      <c r="E95" s="264"/>
      <c r="F95" s="264"/>
      <c r="G95" s="264"/>
      <c r="H95" s="264"/>
      <c r="I95" s="264"/>
      <c r="J95" s="264"/>
      <c r="K95" s="264"/>
      <c r="L95" s="265"/>
      <c r="M95" s="35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1:40">
      <c r="A96" s="6"/>
      <c r="B96" s="69"/>
      <c r="C96" s="9"/>
      <c r="D96" s="9"/>
      <c r="E96" s="9"/>
      <c r="F96" s="9"/>
      <c r="G96" s="9"/>
      <c r="H96" s="9"/>
      <c r="I96" s="9"/>
      <c r="J96" s="9"/>
      <c r="K96" s="9"/>
      <c r="L96" s="70"/>
      <c r="M96" s="30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</row>
    <row r="97" spans="1:40">
      <c r="A97" s="6"/>
      <c r="B97" s="44"/>
      <c r="C97" s="71"/>
      <c r="D97" s="72"/>
      <c r="E97" s="72"/>
      <c r="F97" s="73"/>
      <c r="G97" s="74"/>
      <c r="H97" s="75"/>
      <c r="I97" s="71"/>
      <c r="K97" s="71"/>
      <c r="L97" s="41"/>
      <c r="M97" s="30"/>
      <c r="N97" s="48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</row>
    <row r="98" spans="1:40">
      <c r="A98" s="6"/>
      <c r="B98" s="76"/>
      <c r="C98" s="75"/>
      <c r="D98" s="75"/>
      <c r="E98" s="75"/>
      <c r="F98" s="75"/>
      <c r="G98" s="75"/>
      <c r="H98" s="75"/>
      <c r="I98" s="75"/>
      <c r="J98" s="75"/>
      <c r="K98" s="75"/>
      <c r="L98" s="41"/>
      <c r="M98" s="30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</row>
    <row r="99" spans="1:40" ht="14" thickBot="1">
      <c r="A99" s="6"/>
      <c r="B99" s="44"/>
      <c r="C99" s="75"/>
      <c r="D99" s="75"/>
      <c r="E99" s="75"/>
      <c r="F99" s="40"/>
      <c r="G99" s="75"/>
      <c r="H99" s="75"/>
      <c r="I99" s="75"/>
      <c r="J99" s="75"/>
      <c r="K99" s="75"/>
      <c r="L99" s="41"/>
      <c r="M99" s="30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</row>
    <row r="100" spans="1:40" ht="16">
      <c r="A100" s="6"/>
      <c r="B100" s="77"/>
      <c r="C100" s="78"/>
      <c r="D100" s="78"/>
      <c r="E100" s="79"/>
      <c r="F100" s="78"/>
      <c r="G100" s="78"/>
      <c r="H100" s="78"/>
      <c r="I100" s="78"/>
      <c r="J100" s="78"/>
      <c r="K100" s="78"/>
      <c r="L100" s="80"/>
      <c r="M100" s="81"/>
      <c r="N100" s="82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</row>
    <row r="101" spans="1:40">
      <c r="A101" s="6"/>
      <c r="B101" s="37"/>
      <c r="C101" s="256"/>
      <c r="D101" s="256"/>
      <c r="E101" s="83"/>
      <c r="F101" s="84"/>
      <c r="G101" s="84"/>
      <c r="H101" s="84"/>
      <c r="I101" s="84"/>
      <c r="J101" s="84"/>
      <c r="K101" s="84"/>
      <c r="L101" s="85"/>
      <c r="M101" s="81"/>
      <c r="N101" s="82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</row>
    <row r="102" spans="1:40">
      <c r="A102" s="6"/>
      <c r="B102" s="86"/>
      <c r="C102" s="257"/>
      <c r="D102" s="257"/>
      <c r="E102" s="87"/>
      <c r="F102" s="71"/>
      <c r="G102" s="71"/>
      <c r="H102" s="75"/>
      <c r="I102" s="75"/>
      <c r="J102" s="75"/>
      <c r="K102" s="75"/>
      <c r="L102" s="41"/>
      <c r="M102" s="30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</row>
    <row r="103" spans="1:40">
      <c r="A103" s="6"/>
      <c r="B103" s="88"/>
      <c r="C103" s="75"/>
      <c r="D103" s="75"/>
      <c r="E103" s="75"/>
      <c r="F103" s="71"/>
      <c r="G103" s="71"/>
      <c r="H103" s="75"/>
      <c r="I103" s="75"/>
      <c r="J103" s="75"/>
      <c r="K103" s="75"/>
      <c r="L103" s="41"/>
      <c r="M103" s="30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</row>
    <row r="104" spans="1:40">
      <c r="A104" s="6"/>
      <c r="B104" s="88"/>
      <c r="C104" s="75"/>
      <c r="D104" s="75"/>
      <c r="E104" s="75"/>
      <c r="F104" s="75"/>
      <c r="G104" s="75"/>
      <c r="H104" s="75"/>
      <c r="I104" s="75"/>
      <c r="J104" s="75"/>
      <c r="K104" s="75"/>
      <c r="L104" s="41"/>
      <c r="M104" s="30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</row>
    <row r="105" spans="1:40">
      <c r="A105" s="6"/>
      <c r="B105" s="44"/>
      <c r="C105" s="75"/>
      <c r="D105" s="75"/>
      <c r="E105" s="75"/>
      <c r="F105" s="40"/>
      <c r="G105" s="75"/>
      <c r="H105" s="75"/>
      <c r="I105" s="75"/>
      <c r="J105" s="75"/>
      <c r="K105" s="75"/>
      <c r="L105" s="41"/>
      <c r="M105" s="30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</row>
    <row r="106" spans="1:40">
      <c r="A106" s="6"/>
      <c r="B106" s="86"/>
      <c r="C106" s="84"/>
      <c r="D106" s="84"/>
      <c r="E106" s="84"/>
      <c r="F106" s="84"/>
      <c r="G106" s="84"/>
      <c r="H106" s="84"/>
      <c r="I106" s="84"/>
      <c r="J106" s="84"/>
      <c r="K106" s="84"/>
      <c r="L106" s="85"/>
      <c r="M106" s="81"/>
      <c r="N106" s="82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</row>
    <row r="107" spans="1:40">
      <c r="A107" s="6"/>
      <c r="B107" s="86"/>
      <c r="C107" s="84"/>
      <c r="D107" s="84"/>
      <c r="E107" s="84"/>
      <c r="F107" s="84"/>
      <c r="G107" s="84"/>
      <c r="H107" s="84"/>
      <c r="I107" s="84"/>
      <c r="J107" s="84"/>
      <c r="K107" s="84"/>
      <c r="L107" s="85"/>
      <c r="M107" s="81"/>
      <c r="N107" s="82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</row>
    <row r="108" spans="1:40">
      <c r="A108" s="6"/>
      <c r="B108" s="89"/>
      <c r="C108" s="84"/>
      <c r="D108" s="84"/>
      <c r="E108" s="84"/>
      <c r="F108" s="71"/>
      <c r="G108" s="71"/>
      <c r="H108" s="84"/>
      <c r="I108" s="84"/>
      <c r="J108" s="84"/>
      <c r="K108" s="84"/>
      <c r="L108" s="85"/>
      <c r="M108" s="81"/>
      <c r="N108" s="82"/>
      <c r="O108" s="90"/>
      <c r="P108" s="90"/>
      <c r="Q108" s="90"/>
      <c r="R108" s="90"/>
      <c r="S108" s="90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0"/>
      <c r="AJ108" s="90"/>
      <c r="AK108" s="90"/>
      <c r="AL108" s="90"/>
      <c r="AM108" s="90"/>
    </row>
    <row r="109" spans="1:40" ht="14" thickBot="1">
      <c r="A109" s="6"/>
      <c r="B109" s="92"/>
      <c r="C109" s="93"/>
      <c r="D109" s="93"/>
      <c r="E109" s="93"/>
      <c r="F109" s="94"/>
      <c r="G109" s="94"/>
      <c r="H109" s="93"/>
      <c r="I109" s="93"/>
      <c r="J109" s="93"/>
      <c r="K109" s="93"/>
      <c r="L109" s="95"/>
      <c r="M109" s="30"/>
      <c r="AN109" s="96"/>
    </row>
    <row r="110" spans="1:40" ht="20.25" customHeight="1">
      <c r="A110" s="97"/>
      <c r="B110" s="98" t="s">
        <v>30</v>
      </c>
      <c r="C110" s="98"/>
      <c r="D110" s="98"/>
      <c r="E110" s="98"/>
      <c r="F110" s="98"/>
      <c r="G110" s="98"/>
      <c r="H110" s="98"/>
      <c r="I110" s="258" t="s">
        <v>31</v>
      </c>
      <c r="J110" s="258"/>
      <c r="K110" s="258"/>
      <c r="L110" s="258"/>
      <c r="M110" s="99"/>
    </row>
  </sheetData>
  <sheetProtection formatCells="0" insertHyperlinks="0"/>
  <mergeCells count="38">
    <mergeCell ref="B9:C9"/>
    <mergeCell ref="B3:L4"/>
    <mergeCell ref="B6:L6"/>
    <mergeCell ref="B8:C8"/>
    <mergeCell ref="F8:G8"/>
    <mergeCell ref="H8:K8"/>
    <mergeCell ref="F9:G9"/>
    <mergeCell ref="H9:K9"/>
    <mergeCell ref="AK33:AL33"/>
    <mergeCell ref="AM33:AN33"/>
    <mergeCell ref="B11:L11"/>
    <mergeCell ref="H13:K13"/>
    <mergeCell ref="U13:X13"/>
    <mergeCell ref="U14:X14"/>
    <mergeCell ref="B16:L16"/>
    <mergeCell ref="B17:L21"/>
    <mergeCell ref="D88:L88"/>
    <mergeCell ref="B81:L81"/>
    <mergeCell ref="B22:L22"/>
    <mergeCell ref="B23:L26"/>
    <mergeCell ref="B27:L27"/>
    <mergeCell ref="B31:D31"/>
    <mergeCell ref="C101:D101"/>
    <mergeCell ref="C102:D102"/>
    <mergeCell ref="I110:L110"/>
    <mergeCell ref="D33:E33"/>
    <mergeCell ref="F33:G33"/>
    <mergeCell ref="D89:L89"/>
    <mergeCell ref="D90:L90"/>
    <mergeCell ref="D91:L91"/>
    <mergeCell ref="D92:L92"/>
    <mergeCell ref="D93:L93"/>
    <mergeCell ref="B95:L95"/>
    <mergeCell ref="D83:L83"/>
    <mergeCell ref="D84:L84"/>
    <mergeCell ref="D85:L85"/>
    <mergeCell ref="D86:L86"/>
    <mergeCell ref="D87:L87"/>
  </mergeCells>
  <conditionalFormatting sqref="B100 F100:G100 B106:C106 F106:G106">
    <cfRule type="cellIs" dxfId="1" priority="1" stopIfTrue="1" operator="notEqual">
      <formula>"Nombre"</formula>
    </cfRule>
  </conditionalFormatting>
  <conditionalFormatting sqref="C101 F101:G101 B102 B107 F107:G107 C107:C108 X108:Y108">
    <cfRule type="cellIs" dxfId="0" priority="2" stopIfTrue="1" operator="notEqual">
      <formula>"Ocupación"</formula>
    </cfRule>
  </conditionalFormatting>
  <printOptions horizontalCentered="1"/>
  <pageMargins left="0.39370078740157483" right="0.39370078740157483" top="0.39370078740157483" bottom="0.39370078740157483" header="0" footer="0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50"/>
  <sheetViews>
    <sheetView showGridLines="0" view="pageBreakPreview" zoomScale="125" zoomScaleNormal="70" zoomScaleSheetLayoutView="70" workbookViewId="0">
      <selection activeCell="D25" sqref="D25"/>
    </sheetView>
  </sheetViews>
  <sheetFormatPr baseColWidth="10" defaultColWidth="11.5" defaultRowHeight="13"/>
  <cols>
    <col min="1" max="1" width="2.5" style="75" customWidth="1"/>
    <col min="2" max="3" width="15.5" style="75" customWidth="1"/>
    <col min="4" max="4" width="23.5" style="75" bestFit="1" customWidth="1"/>
    <col min="5" max="5" width="12.5" style="75" customWidth="1"/>
    <col min="6" max="6" width="17.5" style="75" bestFit="1" customWidth="1"/>
    <col min="7" max="8" width="11.5" style="75" customWidth="1"/>
    <col min="9" max="9" width="11.5" style="75"/>
    <col min="10" max="10" width="13.83203125" style="75" customWidth="1"/>
    <col min="11" max="11" width="15.5" style="75" bestFit="1" customWidth="1"/>
    <col min="12" max="15" width="11.5" style="75"/>
    <col min="16" max="17" width="12.1640625" style="75" customWidth="1"/>
    <col min="18" max="19" width="11.5" style="75"/>
    <col min="20" max="20" width="2.5" style="75" customWidth="1"/>
    <col min="21" max="16384" width="11.5" style="75"/>
  </cols>
  <sheetData>
    <row r="1" spans="2:19" ht="14" thickBot="1"/>
    <row r="2" spans="2:19" ht="12.75" customHeight="1" thickBot="1">
      <c r="B2" s="104"/>
      <c r="C2" s="105"/>
      <c r="D2" s="105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2:19" ht="12.75" customHeight="1">
      <c r="B3" s="321" t="s">
        <v>11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</row>
    <row r="4" spans="2:19" ht="42.75" customHeight="1" thickBot="1">
      <c r="B4" s="323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</row>
    <row r="5" spans="2:19" ht="23">
      <c r="B5" s="76"/>
      <c r="D5" s="16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2:19">
      <c r="B6" s="76"/>
    </row>
    <row r="7" spans="2:19">
      <c r="B7" s="282" t="s">
        <v>32</v>
      </c>
      <c r="C7" s="295"/>
      <c r="D7" s="325"/>
      <c r="E7" s="326"/>
      <c r="F7" s="326"/>
      <c r="G7" s="326"/>
      <c r="H7" s="326"/>
      <c r="I7" s="326"/>
      <c r="J7" s="327"/>
    </row>
    <row r="8" spans="2:19">
      <c r="B8" s="76"/>
    </row>
    <row r="9" spans="2:19">
      <c r="B9" s="76"/>
    </row>
    <row r="10" spans="2:19">
      <c r="B10" s="328" t="s">
        <v>33</v>
      </c>
      <c r="C10" s="329"/>
      <c r="D10" s="329"/>
      <c r="E10" s="106" t="s">
        <v>34</v>
      </c>
      <c r="F10" s="107" t="s">
        <v>35</v>
      </c>
      <c r="G10" s="107" t="s">
        <v>36</v>
      </c>
      <c r="J10" s="135"/>
      <c r="K10" s="134" t="s">
        <v>37</v>
      </c>
      <c r="P10" s="134" t="s">
        <v>38</v>
      </c>
      <c r="Q10" s="134" t="s">
        <v>39</v>
      </c>
    </row>
    <row r="11" spans="2:19">
      <c r="B11" s="330" t="s">
        <v>40</v>
      </c>
      <c r="C11" s="331"/>
      <c r="D11" s="331"/>
      <c r="E11" s="224">
        <v>44927</v>
      </c>
      <c r="F11" s="225">
        <v>1549</v>
      </c>
      <c r="G11" s="220" t="s">
        <v>42</v>
      </c>
      <c r="I11" s="334" t="s">
        <v>43</v>
      </c>
      <c r="J11" s="335"/>
      <c r="K11" s="136">
        <f>'[1]Ficha Técnica'!J37/1000000</f>
      </c>
      <c r="M11" s="215"/>
      <c r="N11" s="332" t="s">
        <v>44</v>
      </c>
      <c r="O11" s="333"/>
      <c r="P11" s="136"/>
      <c r="Q11" s="136"/>
    </row>
    <row r="12" spans="2:19">
      <c r="B12" s="311" t="s">
        <v>45</v>
      </c>
      <c r="C12" s="312"/>
      <c r="D12" s="312"/>
      <c r="E12" s="109" t="s">
        <v>41</v>
      </c>
      <c r="F12" s="108"/>
      <c r="G12" s="108" t="s">
        <v>42</v>
      </c>
      <c r="I12" s="334" t="s">
        <v>46</v>
      </c>
      <c r="J12" s="335"/>
      <c r="K12" s="136">
        <f>F20</f>
      </c>
      <c r="N12" s="332" t="s">
        <v>44</v>
      </c>
      <c r="O12" s="333"/>
      <c r="P12" s="136"/>
      <c r="Q12" s="136"/>
    </row>
    <row r="13" spans="2:19">
      <c r="B13" s="311" t="s">
        <v>47</v>
      </c>
      <c r="C13" s="312"/>
      <c r="D13" s="312"/>
      <c r="E13" s="109" t="s">
        <v>41</v>
      </c>
      <c r="F13" s="108"/>
      <c r="G13" s="108" t="s">
        <v>42</v>
      </c>
      <c r="I13" s="74"/>
      <c r="J13" s="74"/>
      <c r="N13" s="332" t="s">
        <v>44</v>
      </c>
      <c r="O13" s="333"/>
      <c r="P13" s="136"/>
      <c r="Q13" s="136"/>
    </row>
    <row r="14" spans="2:19">
      <c r="B14" s="311" t="s">
        <v>48</v>
      </c>
      <c r="C14" s="312"/>
      <c r="D14" s="312"/>
      <c r="E14" s="109" t="s">
        <v>41</v>
      </c>
      <c r="F14" s="108"/>
      <c r="G14" s="108" t="s">
        <v>42</v>
      </c>
      <c r="I14" s="334" t="s">
        <v>49</v>
      </c>
      <c r="J14" s="335"/>
      <c r="K14" s="219">
        <f>+K12/K11</f>
      </c>
      <c r="L14" s="75" t="s">
        <v>94</v>
      </c>
      <c r="N14" s="332" t="s">
        <v>44</v>
      </c>
      <c r="O14" s="333"/>
      <c r="P14" s="136"/>
      <c r="Q14" s="136"/>
    </row>
    <row r="15" spans="2:19">
      <c r="B15" s="311" t="s">
        <v>50</v>
      </c>
      <c r="C15" s="312"/>
      <c r="D15" s="312"/>
      <c r="E15" s="109" t="s">
        <v>41</v>
      </c>
      <c r="F15" s="108"/>
      <c r="G15" s="108" t="s">
        <v>42</v>
      </c>
    </row>
    <row r="16" spans="2:19">
      <c r="B16" s="110"/>
      <c r="C16" s="111"/>
      <c r="D16" s="111"/>
      <c r="E16" s="87"/>
      <c r="F16" s="112"/>
      <c r="G16" s="112"/>
    </row>
    <row r="17" spans="2:19">
      <c r="B17" s="76"/>
    </row>
    <row r="18" spans="2:19" ht="12.75" customHeight="1">
      <c r="B18" s="313" t="s">
        <v>51</v>
      </c>
      <c r="C18" s="314" t="s">
        <v>52</v>
      </c>
      <c r="D18" s="315"/>
      <c r="E18" s="315"/>
      <c r="F18" s="315"/>
      <c r="G18" s="316" t="s">
        <v>53</v>
      </c>
      <c r="H18" s="317"/>
      <c r="I18" s="317"/>
      <c r="J18" s="316" t="s">
        <v>54</v>
      </c>
      <c r="K18" s="317"/>
      <c r="L18" s="320"/>
      <c r="M18" s="316" t="s">
        <v>55</v>
      </c>
      <c r="N18" s="317"/>
      <c r="O18" s="317"/>
      <c r="P18" s="320"/>
      <c r="Q18" s="318" t="s">
        <v>56</v>
      </c>
      <c r="R18" s="319"/>
      <c r="S18" s="319"/>
    </row>
    <row r="19" spans="2:19">
      <c r="B19" s="313"/>
      <c r="C19" s="113" t="s">
        <v>57</v>
      </c>
      <c r="D19" s="113" t="s">
        <v>58</v>
      </c>
      <c r="E19" s="114" t="s">
        <v>59</v>
      </c>
      <c r="F19" s="114" t="s">
        <v>60</v>
      </c>
      <c r="G19" s="114" t="s">
        <v>57</v>
      </c>
      <c r="H19" s="114" t="s">
        <v>59</v>
      </c>
      <c r="I19" s="114" t="s">
        <v>60</v>
      </c>
      <c r="J19" s="114" t="s">
        <v>57</v>
      </c>
      <c r="K19" s="114" t="s">
        <v>59</v>
      </c>
      <c r="L19" s="114" t="s">
        <v>60</v>
      </c>
      <c r="M19" s="114" t="s">
        <v>57</v>
      </c>
      <c r="N19" s="114" t="s">
        <v>59</v>
      </c>
      <c r="O19" s="114" t="s">
        <v>61</v>
      </c>
      <c r="P19" s="114" t="s">
        <v>60</v>
      </c>
      <c r="Q19" s="114" t="s">
        <v>57</v>
      </c>
      <c r="R19" s="114" t="s">
        <v>59</v>
      </c>
      <c r="S19" s="115" t="s">
        <v>60</v>
      </c>
    </row>
    <row r="20" spans="2:19">
      <c r="B20" s="116"/>
      <c r="C20" s="163"/>
      <c r="D20" s="226"/>
      <c r="E20" s="117">
        <f t="shared" ref="E20" si="0">C20*D20/1000</f>
      </c>
      <c r="F20" s="227">
        <f t="shared" ref="F20" si="1">E20*$F$11</f>
      </c>
      <c r="G20" s="24"/>
      <c r="H20" s="24"/>
      <c r="I20" s="24"/>
      <c r="J20" s="24"/>
      <c r="K20" s="24"/>
      <c r="L20" s="24"/>
      <c r="M20" s="24"/>
      <c r="N20" s="118"/>
      <c r="O20" s="24"/>
      <c r="P20" s="119"/>
      <c r="Q20" s="24"/>
      <c r="R20" s="24"/>
      <c r="S20" s="120"/>
    </row>
    <row r="21" spans="2:19" ht="15">
      <c r="B21" s="116"/>
      <c r="C21" s="24"/>
      <c r="D21" s="24"/>
      <c r="E21" s="117"/>
      <c r="F21" s="121"/>
      <c r="G21" s="24"/>
      <c r="H21" s="24"/>
      <c r="I21" s="24"/>
      <c r="J21" s="24"/>
      <c r="K21" s="24"/>
      <c r="L21" s="24"/>
      <c r="M21" s="24"/>
      <c r="N21" s="118"/>
      <c r="O21" s="24"/>
      <c r="P21" s="119"/>
      <c r="Q21" s="24"/>
      <c r="R21" s="24"/>
      <c r="S21" s="120"/>
    </row>
    <row r="22" spans="2:19" ht="15">
      <c r="B22" s="116"/>
      <c r="C22" s="24"/>
      <c r="D22" s="24"/>
      <c r="E22" s="117"/>
      <c r="F22" s="121"/>
      <c r="G22" s="24"/>
      <c r="H22" s="117"/>
      <c r="I22" s="122"/>
      <c r="J22" s="24"/>
      <c r="K22" s="24"/>
      <c r="L22" s="24"/>
      <c r="M22" s="24"/>
      <c r="N22" s="123"/>
      <c r="O22" s="124"/>
      <c r="P22" s="125"/>
      <c r="Q22" s="24"/>
      <c r="R22" s="24"/>
      <c r="S22" s="120"/>
    </row>
    <row r="23" spans="2:19" ht="15">
      <c r="B23" s="116"/>
      <c r="C23" s="24"/>
      <c r="D23" s="24"/>
      <c r="E23" s="117"/>
      <c r="F23" s="121"/>
      <c r="G23" s="24"/>
      <c r="H23" s="117"/>
      <c r="I23" s="122"/>
      <c r="J23" s="24"/>
      <c r="K23" s="24"/>
      <c r="L23" s="24"/>
      <c r="M23" s="24"/>
      <c r="N23" s="123"/>
      <c r="O23" s="124"/>
      <c r="P23" s="125"/>
      <c r="Q23" s="24"/>
      <c r="R23" s="24"/>
      <c r="S23" s="120"/>
    </row>
    <row r="24" spans="2:19" ht="15">
      <c r="B24" s="116"/>
      <c r="C24" s="24"/>
      <c r="D24" s="24"/>
      <c r="E24" s="117"/>
      <c r="F24" s="121"/>
      <c r="G24" s="24"/>
      <c r="H24" s="117"/>
      <c r="I24" s="122"/>
      <c r="J24" s="24"/>
      <c r="K24" s="24"/>
      <c r="L24" s="24"/>
      <c r="M24" s="24"/>
      <c r="N24" s="123"/>
      <c r="O24" s="124"/>
      <c r="P24" s="125"/>
      <c r="Q24" s="24"/>
      <c r="R24" s="24"/>
      <c r="S24" s="120"/>
    </row>
    <row r="25" spans="2:19" ht="15">
      <c r="B25" s="116"/>
      <c r="C25" s="24"/>
      <c r="D25" s="24"/>
      <c r="E25" s="117"/>
      <c r="F25" s="121"/>
      <c r="G25" s="24"/>
      <c r="H25" s="117"/>
      <c r="I25" s="122"/>
      <c r="J25" s="24"/>
      <c r="K25" s="24"/>
      <c r="L25" s="24"/>
      <c r="M25" s="24"/>
      <c r="N25" s="126"/>
      <c r="O25" s="124"/>
      <c r="P25" s="125"/>
      <c r="Q25" s="24"/>
      <c r="R25" s="24"/>
      <c r="S25" s="120"/>
    </row>
    <row r="26" spans="2:19" ht="15">
      <c r="B26" s="116"/>
      <c r="C26" s="24"/>
      <c r="D26" s="24"/>
      <c r="E26" s="117"/>
      <c r="F26" s="121"/>
      <c r="G26" s="24"/>
      <c r="H26" s="117"/>
      <c r="I26" s="122"/>
      <c r="J26" s="24"/>
      <c r="K26" s="24"/>
      <c r="L26" s="24"/>
      <c r="M26" s="24"/>
      <c r="N26" s="126"/>
      <c r="O26" s="124"/>
      <c r="P26" s="125"/>
      <c r="Q26" s="24"/>
      <c r="R26" s="24"/>
      <c r="S26" s="120"/>
    </row>
    <row r="27" spans="2:19" ht="15">
      <c r="B27" s="116"/>
      <c r="C27" s="24"/>
      <c r="D27" s="24"/>
      <c r="E27" s="117"/>
      <c r="F27" s="121"/>
      <c r="G27" s="24"/>
      <c r="H27" s="117"/>
      <c r="I27" s="122"/>
      <c r="J27" s="24"/>
      <c r="K27" s="24"/>
      <c r="L27" s="24"/>
      <c r="M27" s="24"/>
      <c r="N27" s="126"/>
      <c r="O27" s="124"/>
      <c r="P27" s="125"/>
      <c r="Q27" s="24"/>
      <c r="R27" s="24"/>
      <c r="S27" s="120"/>
    </row>
    <row r="28" spans="2:19" ht="15">
      <c r="B28" s="116"/>
      <c r="C28" s="24"/>
      <c r="D28" s="24"/>
      <c r="E28" s="117"/>
      <c r="F28" s="121"/>
      <c r="G28" s="24"/>
      <c r="H28" s="117"/>
      <c r="I28" s="122"/>
      <c r="J28" s="24"/>
      <c r="K28" s="24"/>
      <c r="L28" s="24"/>
      <c r="M28" s="24"/>
      <c r="N28" s="126"/>
      <c r="O28" s="124"/>
      <c r="P28" s="125"/>
      <c r="Q28" s="24"/>
      <c r="R28" s="24"/>
      <c r="S28" s="120"/>
    </row>
    <row r="29" spans="2:19" ht="15">
      <c r="B29" s="116"/>
      <c r="C29" s="24"/>
      <c r="D29" s="24"/>
      <c r="E29" s="117"/>
      <c r="F29" s="121"/>
      <c r="G29" s="24"/>
      <c r="H29" s="117"/>
      <c r="I29" s="122"/>
      <c r="J29" s="24"/>
      <c r="K29" s="24"/>
      <c r="L29" s="24"/>
      <c r="M29" s="24"/>
      <c r="N29" s="126"/>
      <c r="O29" s="124"/>
      <c r="P29" s="125"/>
      <c r="Q29" s="24"/>
      <c r="R29" s="24"/>
      <c r="S29" s="120"/>
    </row>
    <row r="30" spans="2:19" ht="15">
      <c r="B30" s="116"/>
      <c r="C30" s="24"/>
      <c r="D30" s="24"/>
      <c r="E30" s="117"/>
      <c r="F30" s="121"/>
      <c r="G30" s="24"/>
      <c r="H30" s="117"/>
      <c r="I30" s="122"/>
      <c r="J30" s="24"/>
      <c r="K30" s="24"/>
      <c r="L30" s="24"/>
      <c r="M30" s="24"/>
      <c r="N30" s="127"/>
      <c r="O30" s="124"/>
      <c r="P30" s="125"/>
      <c r="Q30" s="24"/>
      <c r="R30" s="24"/>
      <c r="S30" s="120"/>
    </row>
    <row r="31" spans="2:19">
      <c r="B31" s="128"/>
      <c r="C31" s="24"/>
      <c r="D31" s="24"/>
      <c r="E31" s="24"/>
      <c r="F31" s="24"/>
      <c r="G31" s="24"/>
      <c r="H31" s="24"/>
      <c r="I31" s="24"/>
      <c r="J31" s="24"/>
      <c r="K31" s="24"/>
      <c r="L31" s="129"/>
      <c r="M31" s="24"/>
      <c r="N31" s="24"/>
      <c r="O31" s="24"/>
      <c r="P31" s="24"/>
      <c r="Q31" s="24"/>
      <c r="R31" s="24"/>
      <c r="S31" s="120"/>
    </row>
    <row r="32" spans="2:19">
      <c r="B32" s="128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120"/>
    </row>
    <row r="33" spans="2:19">
      <c r="B33" s="128"/>
      <c r="C33" s="24"/>
      <c r="D33" s="24"/>
      <c r="E33" s="24"/>
      <c r="F33" s="221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120"/>
    </row>
    <row r="34" spans="2:19">
      <c r="B34" s="128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120"/>
    </row>
    <row r="35" spans="2:19">
      <c r="B35" s="128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120"/>
    </row>
    <row r="36" spans="2:19">
      <c r="B36" s="128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120"/>
    </row>
    <row r="37" spans="2:19">
      <c r="B37" s="128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120"/>
    </row>
    <row r="38" spans="2:19">
      <c r="B38" s="128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0"/>
    </row>
    <row r="39" spans="2:19">
      <c r="B39" s="128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120"/>
    </row>
    <row r="40" spans="2:19">
      <c r="B40" s="128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120"/>
    </row>
    <row r="41" spans="2:19">
      <c r="B41" s="128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120"/>
    </row>
    <row r="42" spans="2:19">
      <c r="B42" s="128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120"/>
    </row>
    <row r="43" spans="2:19">
      <c r="B43" s="128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120"/>
    </row>
    <row r="44" spans="2:19">
      <c r="B44" s="128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20"/>
    </row>
    <row r="45" spans="2:19">
      <c r="B45" s="128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20"/>
    </row>
    <row r="46" spans="2:19">
      <c r="B46" s="128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120"/>
    </row>
    <row r="47" spans="2:19">
      <c r="B47" s="128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120"/>
    </row>
    <row r="48" spans="2:19">
      <c r="B48" s="128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120"/>
    </row>
    <row r="49" spans="2:19" ht="14" thickBot="1">
      <c r="B49" s="130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2"/>
    </row>
    <row r="50" spans="2:19">
      <c r="B50" s="133" t="s">
        <v>62</v>
      </c>
      <c r="P50" s="258" t="s">
        <v>63</v>
      </c>
      <c r="Q50" s="258"/>
      <c r="R50" s="258"/>
      <c r="S50" s="258"/>
    </row>
  </sheetData>
  <sheetProtection formatCells="0"/>
  <mergeCells count="23">
    <mergeCell ref="N12:O12"/>
    <mergeCell ref="N13:O13"/>
    <mergeCell ref="N14:O14"/>
    <mergeCell ref="B12:D12"/>
    <mergeCell ref="I11:J11"/>
    <mergeCell ref="I12:J12"/>
    <mergeCell ref="I14:J14"/>
    <mergeCell ref="B13:D13"/>
    <mergeCell ref="N11:O11"/>
    <mergeCell ref="B14:D14"/>
    <mergeCell ref="B3:S4"/>
    <mergeCell ref="B7:C7"/>
    <mergeCell ref="D7:J7"/>
    <mergeCell ref="B10:D10"/>
    <mergeCell ref="B11:D11"/>
    <mergeCell ref="B15:D15"/>
    <mergeCell ref="B18:B19"/>
    <mergeCell ref="C18:F18"/>
    <mergeCell ref="G18:I18"/>
    <mergeCell ref="P50:S50"/>
    <mergeCell ref="Q18:S18"/>
    <mergeCell ref="M18:P18"/>
    <mergeCell ref="J18:L18"/>
  </mergeCells>
  <pageMargins left="0.23622047244094491" right="0.23622047244094491" top="0.74803149606299213" bottom="0.74803149606299213" header="0.31496062992125984" footer="0.31496062992125984"/>
  <pageSetup scale="5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R57"/>
  <sheetViews>
    <sheetView showGridLines="0" view="pageBreakPreview" zoomScale="70" zoomScaleNormal="85" zoomScaleSheetLayoutView="70" workbookViewId="0">
      <selection activeCell="P30" sqref="P30"/>
    </sheetView>
  </sheetViews>
  <sheetFormatPr baseColWidth="10" defaultColWidth="11.5" defaultRowHeight="13"/>
  <cols>
    <col min="1" max="1" width="2.6640625" style="137" customWidth="1"/>
    <col min="2" max="6" width="11.5" style="137"/>
    <col min="7" max="7" width="11.5" style="137" customWidth="1"/>
    <col min="8" max="13" width="11.5" style="137"/>
    <col min="14" max="14" width="7" style="137" customWidth="1"/>
    <col min="15" max="15" width="8.5" style="137" customWidth="1"/>
    <col min="16" max="16" width="7.33203125" style="137" customWidth="1"/>
    <col min="17" max="17" width="6.6640625" style="137" customWidth="1"/>
    <col min="18" max="16384" width="11.5" style="137"/>
  </cols>
  <sheetData>
    <row r="1" spans="2:18" ht="14" thickBot="1"/>
    <row r="2" spans="2:18" ht="12.75" customHeight="1" thickBot="1">
      <c r="B2" s="138"/>
      <c r="C2" s="139"/>
      <c r="D2" s="139"/>
      <c r="E2" s="139"/>
      <c r="F2" s="139"/>
      <c r="G2" s="140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2"/>
    </row>
    <row r="3" spans="2:18" ht="12.75" customHeight="1">
      <c r="B3" s="336" t="s">
        <v>64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8"/>
    </row>
    <row r="4" spans="2:18" ht="35.25" customHeight="1" thickBot="1">
      <c r="B4" s="339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1"/>
    </row>
    <row r="5" spans="2:18" ht="14" thickBot="1"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</row>
    <row r="6" spans="2:18">
      <c r="B6" s="138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44"/>
    </row>
    <row r="7" spans="2:18">
      <c r="B7" s="145"/>
      <c r="R7" s="146"/>
    </row>
    <row r="8" spans="2:18" ht="20">
      <c r="B8" s="342"/>
      <c r="C8" s="343"/>
      <c r="D8" s="343"/>
      <c r="E8" s="343"/>
      <c r="F8" s="343"/>
      <c r="G8" s="343"/>
      <c r="H8" s="343"/>
      <c r="I8" s="343"/>
      <c r="J8" s="343"/>
      <c r="K8" s="343"/>
      <c r="L8" s="343"/>
      <c r="M8" s="343"/>
      <c r="N8" s="343"/>
      <c r="O8" s="343"/>
      <c r="P8" s="343"/>
      <c r="Q8" s="343"/>
      <c r="R8" s="344"/>
    </row>
    <row r="9" spans="2:18">
      <c r="B9" s="145"/>
      <c r="R9" s="146"/>
    </row>
    <row r="10" spans="2:18">
      <c r="B10" s="145"/>
      <c r="R10" s="146"/>
    </row>
    <row r="11" spans="2:18">
      <c r="B11" s="145"/>
      <c r="R11" s="146"/>
    </row>
    <row r="12" spans="2:18">
      <c r="B12" s="145"/>
      <c r="R12" s="146"/>
    </row>
    <row r="13" spans="2:18">
      <c r="B13" s="145"/>
      <c r="R13" s="146"/>
    </row>
    <row r="14" spans="2:18">
      <c r="B14" s="145"/>
      <c r="R14" s="146"/>
    </row>
    <row r="15" spans="2:18">
      <c r="B15" s="145"/>
      <c r="R15" s="146"/>
    </row>
    <row r="16" spans="2:18">
      <c r="B16" s="145"/>
      <c r="R16" s="146"/>
    </row>
    <row r="17" spans="2:18">
      <c r="B17" s="145"/>
      <c r="R17" s="146"/>
    </row>
    <row r="18" spans="2:18">
      <c r="B18" s="145"/>
      <c r="R18" s="146"/>
    </row>
    <row r="19" spans="2:18">
      <c r="B19" s="145"/>
      <c r="D19" s="147"/>
      <c r="N19" s="147"/>
      <c r="O19" s="147"/>
      <c r="P19" s="147"/>
      <c r="R19" s="146"/>
    </row>
    <row r="20" spans="2:18">
      <c r="B20" s="145"/>
      <c r="R20" s="146"/>
    </row>
    <row r="21" spans="2:18">
      <c r="B21" s="145"/>
      <c r="R21" s="146"/>
    </row>
    <row r="22" spans="2:18">
      <c r="B22" s="145"/>
      <c r="E22" s="147"/>
      <c r="F22" s="147"/>
      <c r="R22" s="146"/>
    </row>
    <row r="23" spans="2:18">
      <c r="B23" s="145"/>
      <c r="R23" s="146"/>
    </row>
    <row r="24" spans="2:18">
      <c r="B24" s="145"/>
      <c r="R24" s="146"/>
    </row>
    <row r="25" spans="2:18">
      <c r="B25" s="145"/>
      <c r="R25" s="146"/>
    </row>
    <row r="26" spans="2:18">
      <c r="B26" s="145"/>
      <c r="R26" s="146"/>
    </row>
    <row r="27" spans="2:18">
      <c r="B27" s="145"/>
      <c r="R27" s="146"/>
    </row>
    <row r="28" spans="2:18">
      <c r="B28" s="145"/>
      <c r="R28" s="146"/>
    </row>
    <row r="29" spans="2:18">
      <c r="B29" s="145"/>
      <c r="R29" s="146"/>
    </row>
    <row r="30" spans="2:18">
      <c r="B30" s="145"/>
      <c r="R30" s="146"/>
    </row>
    <row r="31" spans="2:18">
      <c r="B31" s="145"/>
      <c r="R31" s="146"/>
    </row>
    <row r="32" spans="2:18">
      <c r="B32" s="145"/>
      <c r="R32" s="146"/>
    </row>
    <row r="33" spans="2:18">
      <c r="B33" s="145"/>
      <c r="R33" s="146"/>
    </row>
    <row r="34" spans="2:18">
      <c r="B34" s="145"/>
      <c r="R34" s="146"/>
    </row>
    <row r="35" spans="2:18">
      <c r="B35" s="145"/>
      <c r="H35" s="345"/>
      <c r="I35" s="345"/>
      <c r="J35" s="345"/>
      <c r="K35" s="345"/>
      <c r="R35" s="146"/>
    </row>
    <row r="36" spans="2:18">
      <c r="B36" s="145"/>
      <c r="R36" s="146"/>
    </row>
    <row r="37" spans="2:18">
      <c r="B37" s="145"/>
      <c r="R37" s="146"/>
    </row>
    <row r="38" spans="2:18">
      <c r="B38" s="145"/>
      <c r="R38" s="146"/>
    </row>
    <row r="39" spans="2:18">
      <c r="B39" s="145"/>
      <c r="R39" s="146"/>
    </row>
    <row r="40" spans="2:18">
      <c r="B40" s="145"/>
      <c r="R40" s="146"/>
    </row>
    <row r="41" spans="2:18">
      <c r="B41" s="145"/>
      <c r="R41" s="146"/>
    </row>
    <row r="42" spans="2:18">
      <c r="B42" s="145"/>
      <c r="R42" s="146"/>
    </row>
    <row r="43" spans="2:18">
      <c r="B43" s="145"/>
      <c r="R43" s="146"/>
    </row>
    <row r="44" spans="2:18">
      <c r="B44" s="145"/>
      <c r="R44" s="146"/>
    </row>
    <row r="45" spans="2:18" ht="14" thickBot="1">
      <c r="B45" s="148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50"/>
    </row>
    <row r="47" spans="2:18" ht="14" thickBot="1"/>
    <row r="48" spans="2:18" ht="16">
      <c r="B48" s="151" t="s">
        <v>65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44"/>
    </row>
    <row r="49" spans="2:18">
      <c r="B49" s="346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8"/>
    </row>
    <row r="50" spans="2:18">
      <c r="B50" s="346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R50" s="146"/>
    </row>
    <row r="51" spans="2:18">
      <c r="B51" s="349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R51" s="146"/>
    </row>
    <row r="52" spans="2:18">
      <c r="B52" s="349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R52" s="146"/>
    </row>
    <row r="53" spans="2:18">
      <c r="B53" s="349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R53" s="146"/>
    </row>
    <row r="54" spans="2:18">
      <c r="B54" s="349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R54" s="146"/>
    </row>
    <row r="55" spans="2:18" ht="14" thickBot="1">
      <c r="B55" s="351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149"/>
      <c r="P55" s="149"/>
      <c r="Q55" s="149"/>
      <c r="R55" s="150"/>
    </row>
    <row r="56" spans="2:18">
      <c r="B56" s="152" t="s">
        <v>66</v>
      </c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217" t="s">
        <v>63</v>
      </c>
      <c r="N56" s="216"/>
      <c r="O56" s="216"/>
      <c r="P56" s="216"/>
    </row>
    <row r="57" spans="2:18" ht="9.75" customHeight="1">
      <c r="B57" s="152"/>
    </row>
  </sheetData>
  <mergeCells count="10">
    <mergeCell ref="B52:N52"/>
    <mergeCell ref="B53:N53"/>
    <mergeCell ref="B54:N54"/>
    <mergeCell ref="B55:N55"/>
    <mergeCell ref="B51:N51"/>
    <mergeCell ref="B3:R4"/>
    <mergeCell ref="B8:R8"/>
    <mergeCell ref="H35:K35"/>
    <mergeCell ref="B49:R49"/>
    <mergeCell ref="B50:N50"/>
  </mergeCells>
  <printOptions horizontalCentered="1" verticalCentered="1"/>
  <pageMargins left="0.19685039370078741" right="0.19685039370078741" top="0.19685039370078741" bottom="0.19685039370078741" header="0" footer="0"/>
  <pageSetup scale="7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R57"/>
  <sheetViews>
    <sheetView showGridLines="0" view="pageBreakPreview" topLeftCell="A3" zoomScale="70" zoomScaleNormal="85" zoomScaleSheetLayoutView="70" workbookViewId="0">
      <selection activeCell="T25" sqref="T25"/>
    </sheetView>
  </sheetViews>
  <sheetFormatPr baseColWidth="10" defaultColWidth="11.5" defaultRowHeight="13"/>
  <cols>
    <col min="1" max="1" width="2.6640625" style="137" customWidth="1"/>
    <col min="2" max="6" width="11.5" style="137"/>
    <col min="7" max="7" width="11.5" style="137" customWidth="1"/>
    <col min="8" max="13" width="11.5" style="137"/>
    <col min="14" max="14" width="7" style="137" customWidth="1"/>
    <col min="15" max="15" width="8.5" style="137" customWidth="1"/>
    <col min="16" max="16" width="7.33203125" style="137" customWidth="1"/>
    <col min="17" max="17" width="6.6640625" style="137" customWidth="1"/>
    <col min="18" max="16384" width="11.5" style="137"/>
  </cols>
  <sheetData>
    <row r="1" spans="2:18" ht="14" thickBot="1"/>
    <row r="2" spans="2:18" ht="12.75" customHeight="1" thickBot="1">
      <c r="B2" s="138"/>
      <c r="C2" s="139"/>
      <c r="D2" s="139"/>
      <c r="E2" s="139"/>
      <c r="F2" s="139"/>
      <c r="G2" s="140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2"/>
    </row>
    <row r="3" spans="2:18" ht="12.75" customHeight="1">
      <c r="B3" s="336" t="s">
        <v>67</v>
      </c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8"/>
    </row>
    <row r="4" spans="2:18" ht="35.25" customHeight="1" thickBot="1">
      <c r="B4" s="339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1"/>
    </row>
    <row r="5" spans="2:18" ht="14" thickBot="1"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</row>
    <row r="6" spans="2:18">
      <c r="B6" s="138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44"/>
    </row>
    <row r="7" spans="2:18">
      <c r="B7" s="145"/>
      <c r="R7" s="146"/>
    </row>
    <row r="8" spans="2:18" ht="20">
      <c r="B8" s="342"/>
      <c r="C8" s="343"/>
      <c r="D8" s="343"/>
      <c r="E8" s="343"/>
      <c r="F8" s="343"/>
      <c r="G8" s="343"/>
      <c r="H8" s="343"/>
      <c r="I8" s="343"/>
      <c r="J8" s="343"/>
      <c r="K8" s="343"/>
      <c r="L8" s="343"/>
      <c r="M8" s="343"/>
      <c r="N8" s="343"/>
      <c r="O8" s="343"/>
      <c r="P8" s="343"/>
      <c r="Q8" s="343"/>
      <c r="R8" s="344"/>
    </row>
    <row r="9" spans="2:18">
      <c r="B9" s="145"/>
      <c r="R9" s="146"/>
    </row>
    <row r="10" spans="2:18">
      <c r="B10" s="145"/>
      <c r="R10" s="146"/>
    </row>
    <row r="11" spans="2:18">
      <c r="B11" s="145"/>
      <c r="R11" s="146"/>
    </row>
    <row r="12" spans="2:18">
      <c r="B12" s="145"/>
      <c r="R12" s="146"/>
    </row>
    <row r="13" spans="2:18">
      <c r="B13" s="145"/>
      <c r="R13" s="146"/>
    </row>
    <row r="14" spans="2:18">
      <c r="B14" s="145"/>
      <c r="R14" s="146"/>
    </row>
    <row r="15" spans="2:18">
      <c r="B15" s="145"/>
      <c r="R15" s="146"/>
    </row>
    <row r="16" spans="2:18">
      <c r="B16" s="145"/>
      <c r="R16" s="146"/>
    </row>
    <row r="17" spans="2:18">
      <c r="B17" s="145"/>
      <c r="R17" s="146"/>
    </row>
    <row r="18" spans="2:18">
      <c r="B18" s="145"/>
      <c r="R18" s="146"/>
    </row>
    <row r="19" spans="2:18">
      <c r="B19" s="145"/>
      <c r="D19" s="147"/>
      <c r="N19" s="147"/>
      <c r="O19" s="147"/>
      <c r="P19" s="147"/>
      <c r="R19" s="146"/>
    </row>
    <row r="20" spans="2:18">
      <c r="B20" s="145"/>
      <c r="R20" s="146"/>
    </row>
    <row r="21" spans="2:18">
      <c r="B21" s="145"/>
      <c r="R21" s="146"/>
    </row>
    <row r="22" spans="2:18">
      <c r="B22" s="145"/>
      <c r="E22" s="147"/>
      <c r="F22" s="147"/>
      <c r="R22" s="146"/>
    </row>
    <row r="23" spans="2:18">
      <c r="B23" s="145"/>
      <c r="R23" s="146"/>
    </row>
    <row r="24" spans="2:18">
      <c r="B24" s="145"/>
      <c r="R24" s="146"/>
    </row>
    <row r="25" spans="2:18">
      <c r="B25" s="145"/>
      <c r="R25" s="146"/>
    </row>
    <row r="26" spans="2:18">
      <c r="B26" s="145"/>
      <c r="R26" s="146"/>
    </row>
    <row r="27" spans="2:18">
      <c r="B27" s="145"/>
      <c r="R27" s="146"/>
    </row>
    <row r="28" spans="2:18">
      <c r="B28" s="145"/>
      <c r="R28" s="146"/>
    </row>
    <row r="29" spans="2:18">
      <c r="B29" s="145"/>
      <c r="R29" s="146"/>
    </row>
    <row r="30" spans="2:18">
      <c r="B30" s="145"/>
      <c r="R30" s="146"/>
    </row>
    <row r="31" spans="2:18">
      <c r="B31" s="145"/>
      <c r="R31" s="146"/>
    </row>
    <row r="32" spans="2:18">
      <c r="B32" s="145"/>
      <c r="R32" s="146"/>
    </row>
    <row r="33" spans="2:18">
      <c r="B33" s="145"/>
      <c r="R33" s="146"/>
    </row>
    <row r="34" spans="2:18">
      <c r="B34" s="145"/>
      <c r="R34" s="146"/>
    </row>
    <row r="35" spans="2:18">
      <c r="B35" s="145"/>
      <c r="H35" s="345"/>
      <c r="I35" s="345"/>
      <c r="J35" s="345"/>
      <c r="K35" s="345"/>
      <c r="R35" s="146"/>
    </row>
    <row r="36" spans="2:18">
      <c r="B36" s="145"/>
      <c r="R36" s="146"/>
    </row>
    <row r="37" spans="2:18">
      <c r="B37" s="145"/>
      <c r="R37" s="146"/>
    </row>
    <row r="38" spans="2:18">
      <c r="B38" s="145"/>
      <c r="R38" s="146"/>
    </row>
    <row r="39" spans="2:18">
      <c r="B39" s="145"/>
      <c r="R39" s="146"/>
    </row>
    <row r="40" spans="2:18">
      <c r="B40" s="145"/>
      <c r="R40" s="146"/>
    </row>
    <row r="41" spans="2:18">
      <c r="B41" s="145"/>
      <c r="I41" s="223"/>
      <c r="R41" s="146"/>
    </row>
    <row r="42" spans="2:18">
      <c r="B42" s="145"/>
      <c r="R42" s="146"/>
    </row>
    <row r="43" spans="2:18">
      <c r="B43" s="145"/>
      <c r="R43" s="146"/>
    </row>
    <row r="44" spans="2:18">
      <c r="B44" s="145"/>
      <c r="R44" s="146"/>
    </row>
    <row r="45" spans="2:18" ht="14" thickBot="1">
      <c r="B45" s="148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50"/>
    </row>
    <row r="47" spans="2:18" ht="14" thickBot="1"/>
    <row r="48" spans="2:18" ht="16">
      <c r="B48" s="151" t="s">
        <v>65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44"/>
    </row>
    <row r="49" spans="2:18">
      <c r="B49" s="346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  <c r="N49" s="347"/>
      <c r="O49" s="347"/>
      <c r="P49" s="347"/>
      <c r="Q49" s="347"/>
      <c r="R49" s="348"/>
    </row>
    <row r="50" spans="2:18">
      <c r="B50" s="346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R50" s="146"/>
    </row>
    <row r="51" spans="2:18">
      <c r="B51" s="349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R51" s="146"/>
    </row>
    <row r="52" spans="2:18">
      <c r="B52" s="349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R52" s="146"/>
    </row>
    <row r="53" spans="2:18">
      <c r="B53" s="349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R53" s="146"/>
    </row>
    <row r="54" spans="2:18">
      <c r="B54" s="349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R54" s="146"/>
    </row>
    <row r="55" spans="2:18" ht="14" thickBot="1">
      <c r="B55" s="351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149"/>
      <c r="P55" s="149"/>
      <c r="Q55" s="149"/>
      <c r="R55" s="150"/>
    </row>
    <row r="56" spans="2:18">
      <c r="B56" s="152" t="s">
        <v>68</v>
      </c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217" t="s">
        <v>63</v>
      </c>
      <c r="N56" s="216"/>
      <c r="O56" s="216"/>
      <c r="P56" s="216"/>
    </row>
    <row r="57" spans="2:18" ht="9.75" customHeight="1">
      <c r="B57" s="152"/>
    </row>
  </sheetData>
  <mergeCells count="10">
    <mergeCell ref="B52:N52"/>
    <mergeCell ref="B53:N53"/>
    <mergeCell ref="B54:N54"/>
    <mergeCell ref="B55:N55"/>
    <mergeCell ref="B51:N51"/>
    <mergeCell ref="B3:R4"/>
    <mergeCell ref="B8:R8"/>
    <mergeCell ref="H35:K35"/>
    <mergeCell ref="B49:R49"/>
    <mergeCell ref="B50:N50"/>
  </mergeCells>
  <printOptions horizontalCentered="1" verticalCentered="1"/>
  <pageMargins left="0.19685039370078741" right="0.19685039370078741" top="0.19685039370078741" bottom="0.19685039370078741" header="0" footer="0"/>
  <pageSetup scale="7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Y58"/>
  <sheetViews>
    <sheetView showGridLines="0" view="pageBreakPreview" topLeftCell="A2" zoomScale="105" zoomScaleNormal="40" zoomScaleSheetLayoutView="40" workbookViewId="0">
      <selection activeCell="B12" sqref="B12"/>
    </sheetView>
  </sheetViews>
  <sheetFormatPr baseColWidth="10" defaultColWidth="11.5" defaultRowHeight="13"/>
  <cols>
    <col min="1" max="1" width="2.6640625" style="75" customWidth="1"/>
    <col min="2" max="2" width="27.33203125" style="75" customWidth="1"/>
    <col min="3" max="3" width="23.6640625" style="75" customWidth="1"/>
    <col min="4" max="4" width="27.1640625" style="75" customWidth="1"/>
    <col min="5" max="5" width="25.33203125" style="75" customWidth="1"/>
    <col min="6" max="6" width="15.1640625" style="75" customWidth="1"/>
    <col min="7" max="7" width="24" style="75" bestFit="1" customWidth="1"/>
    <col min="8" max="8" width="20.6640625" style="75" customWidth="1"/>
    <col min="9" max="9" width="13.5" style="75" customWidth="1"/>
    <col min="10" max="10" width="14.5" style="75" customWidth="1"/>
    <col min="11" max="11" width="27" style="75" customWidth="1"/>
    <col min="12" max="12" width="18.5" style="75" customWidth="1"/>
    <col min="13" max="13" width="16.6640625" style="75" customWidth="1"/>
    <col min="14" max="14" width="15.5" style="75" customWidth="1"/>
    <col min="15" max="15" width="16.5" style="75" customWidth="1"/>
    <col min="16" max="16" width="4.5" style="75" customWidth="1"/>
    <col min="17" max="25" width="11.5" style="75"/>
    <col min="26" max="26" width="2.6640625" style="75" customWidth="1"/>
    <col min="27" max="16384" width="11.5" style="75"/>
  </cols>
  <sheetData>
    <row r="1" spans="2:25" ht="14" thickBot="1"/>
    <row r="2" spans="2:25" ht="12.75" customHeight="1" thickBot="1">
      <c r="B2" s="104"/>
      <c r="C2" s="105"/>
      <c r="D2" s="105"/>
      <c r="E2" s="228"/>
      <c r="F2" s="10"/>
      <c r="G2" s="10"/>
      <c r="H2" s="10"/>
      <c r="I2" s="10"/>
      <c r="J2" s="10"/>
      <c r="K2" s="10"/>
      <c r="L2" s="10"/>
      <c r="M2" s="10"/>
      <c r="N2" s="10"/>
      <c r="O2" s="11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2:25" ht="12.75" customHeight="1">
      <c r="B3" s="321" t="s">
        <v>69</v>
      </c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57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2:25" ht="48" customHeight="1" thickBot="1">
      <c r="B4" s="323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58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2:25" ht="24" thickBot="1">
      <c r="B5" s="104"/>
      <c r="C5" s="105"/>
      <c r="D5" s="229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2:25" ht="12.75" customHeight="1" thickBot="1">
      <c r="B6" s="359" t="s">
        <v>95</v>
      </c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1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spans="2:25" ht="12.75" customHeight="1">
      <c r="B7" s="230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2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spans="2:25" ht="12.75" customHeight="1">
      <c r="B8" s="230"/>
      <c r="C8" s="231"/>
      <c r="D8" s="23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2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spans="2:25" ht="12.75" customHeight="1">
      <c r="B9" s="362" t="s">
        <v>96</v>
      </c>
      <c r="C9" s="364" t="s">
        <v>97</v>
      </c>
      <c r="D9" s="364"/>
      <c r="E9" s="364" t="s">
        <v>98</v>
      </c>
      <c r="F9" s="364" t="s">
        <v>99</v>
      </c>
      <c r="G9" s="364" t="s">
        <v>100</v>
      </c>
      <c r="H9" s="364" t="s">
        <v>101</v>
      </c>
      <c r="I9" s="365" t="s">
        <v>102</v>
      </c>
      <c r="J9" s="365"/>
      <c r="K9" s="366" t="s">
        <v>103</v>
      </c>
      <c r="L9" s="366" t="s">
        <v>104</v>
      </c>
      <c r="M9" s="365" t="s">
        <v>105</v>
      </c>
      <c r="N9" s="365"/>
      <c r="O9" s="367" t="s">
        <v>106</v>
      </c>
    </row>
    <row r="10" spans="2:25" ht="14">
      <c r="B10" s="363"/>
      <c r="C10" s="233" t="s">
        <v>107</v>
      </c>
      <c r="D10" s="233" t="s">
        <v>108</v>
      </c>
      <c r="E10" s="364"/>
      <c r="F10" s="364"/>
      <c r="G10" s="364"/>
      <c r="H10" s="364"/>
      <c r="I10" s="234" t="s">
        <v>109</v>
      </c>
      <c r="J10" s="234" t="s">
        <v>110</v>
      </c>
      <c r="K10" s="366"/>
      <c r="L10" s="366"/>
      <c r="M10" s="234" t="s">
        <v>111</v>
      </c>
      <c r="N10" s="234" t="s">
        <v>112</v>
      </c>
      <c r="O10" s="367"/>
    </row>
    <row r="11" spans="2:25">
      <c r="B11" s="235"/>
      <c r="C11" s="108"/>
      <c r="D11" s="108"/>
      <c r="E11" s="108"/>
      <c r="F11" s="108"/>
      <c r="G11" s="108"/>
      <c r="H11" s="163"/>
      <c r="I11" s="163"/>
      <c r="J11" s="163"/>
      <c r="K11" s="163"/>
      <c r="L11" s="163"/>
      <c r="M11" s="163"/>
      <c r="N11" s="163"/>
      <c r="O11" s="236"/>
    </row>
    <row r="12" spans="2:25">
      <c r="B12" s="235"/>
      <c r="C12" s="108"/>
      <c r="D12" s="108"/>
      <c r="E12" s="108"/>
      <c r="F12" s="108"/>
      <c r="G12" s="108"/>
      <c r="H12" s="163"/>
      <c r="I12" s="163"/>
      <c r="J12" s="163"/>
      <c r="K12" s="163"/>
      <c r="L12" s="163"/>
      <c r="M12" s="163"/>
      <c r="N12" s="163"/>
      <c r="O12" s="236"/>
    </row>
    <row r="13" spans="2:25">
      <c r="B13" s="235"/>
      <c r="C13" s="108"/>
      <c r="D13" s="108"/>
      <c r="E13" s="108"/>
      <c r="F13" s="108"/>
      <c r="G13" s="108"/>
      <c r="H13" s="163"/>
      <c r="I13" s="163"/>
      <c r="J13" s="163"/>
      <c r="K13" s="163"/>
      <c r="L13" s="163"/>
      <c r="M13" s="163"/>
      <c r="N13" s="163"/>
      <c r="O13" s="236"/>
    </row>
    <row r="14" spans="2:25">
      <c r="B14" s="235"/>
      <c r="C14" s="108"/>
      <c r="D14" s="108"/>
      <c r="E14" s="108"/>
      <c r="F14" s="108"/>
      <c r="G14" s="108"/>
      <c r="H14" s="163"/>
      <c r="I14" s="163"/>
      <c r="J14" s="163"/>
      <c r="K14" s="163"/>
      <c r="L14" s="163"/>
      <c r="M14" s="163"/>
      <c r="N14" s="163"/>
      <c r="O14" s="236"/>
    </row>
    <row r="15" spans="2:25">
      <c r="B15" s="235"/>
      <c r="C15" s="108"/>
      <c r="D15" s="108"/>
      <c r="E15" s="108"/>
      <c r="F15" s="108"/>
      <c r="G15" s="108"/>
      <c r="H15" s="163"/>
      <c r="I15" s="163"/>
      <c r="J15" s="163"/>
      <c r="K15" s="163"/>
      <c r="L15" s="163"/>
      <c r="M15" s="163"/>
      <c r="N15" s="163"/>
      <c r="O15" s="236"/>
    </row>
    <row r="16" spans="2:25">
      <c r="B16" s="235"/>
      <c r="C16" s="108"/>
      <c r="D16" s="108"/>
      <c r="E16" s="108"/>
      <c r="F16" s="108"/>
      <c r="G16" s="108"/>
      <c r="H16" s="163"/>
      <c r="I16" s="163"/>
      <c r="J16" s="163"/>
      <c r="K16" s="163"/>
      <c r="L16" s="163"/>
      <c r="M16" s="163"/>
      <c r="N16" s="163"/>
      <c r="O16" s="236"/>
    </row>
    <row r="17" spans="2:25">
      <c r="B17" s="235"/>
      <c r="C17" s="108"/>
      <c r="D17" s="108"/>
      <c r="E17" s="108"/>
      <c r="F17" s="108"/>
      <c r="G17" s="108"/>
      <c r="H17" s="163"/>
      <c r="I17" s="163"/>
      <c r="J17" s="163"/>
      <c r="K17" s="163"/>
      <c r="L17" s="163"/>
      <c r="M17" s="163"/>
      <c r="N17" s="163"/>
      <c r="O17" s="236"/>
    </row>
    <row r="18" spans="2:25">
      <c r="B18" s="235"/>
      <c r="C18" s="108"/>
      <c r="D18" s="108"/>
      <c r="E18" s="108"/>
      <c r="F18" s="108"/>
      <c r="G18" s="108"/>
      <c r="H18" s="163"/>
      <c r="I18" s="163"/>
      <c r="J18" s="163"/>
      <c r="K18" s="163"/>
      <c r="L18" s="163"/>
      <c r="M18" s="163"/>
      <c r="N18" s="163"/>
      <c r="O18" s="236"/>
    </row>
    <row r="19" spans="2:25">
      <c r="B19" s="235"/>
      <c r="C19" s="108"/>
      <c r="D19" s="108"/>
      <c r="E19" s="108"/>
      <c r="F19" s="108"/>
      <c r="G19" s="108"/>
      <c r="H19" s="163"/>
      <c r="I19" s="163"/>
      <c r="J19" s="163"/>
      <c r="K19" s="163"/>
      <c r="L19" s="163"/>
      <c r="M19" s="163"/>
      <c r="N19" s="163"/>
      <c r="O19" s="236"/>
    </row>
    <row r="20" spans="2:25">
      <c r="B20" s="235"/>
      <c r="C20" s="108"/>
      <c r="D20" s="108"/>
      <c r="E20" s="108"/>
      <c r="F20" s="108"/>
      <c r="G20" s="108"/>
      <c r="H20" s="163"/>
      <c r="I20" s="163"/>
      <c r="J20" s="163"/>
      <c r="K20" s="163"/>
      <c r="L20" s="163"/>
      <c r="M20" s="163"/>
      <c r="N20" s="163"/>
      <c r="O20" s="236"/>
    </row>
    <row r="21" spans="2:25">
      <c r="B21" s="237"/>
      <c r="C21" s="238"/>
      <c r="D21" s="238"/>
      <c r="E21" s="87"/>
      <c r="F21" s="112"/>
      <c r="G21" s="112"/>
      <c r="O21" s="41"/>
    </row>
    <row r="22" spans="2:25">
      <c r="B22" s="237"/>
      <c r="C22" s="238"/>
      <c r="D22" s="238"/>
      <c r="E22" s="87"/>
      <c r="F22" s="112"/>
      <c r="G22" s="112"/>
      <c r="O22" s="41"/>
    </row>
    <row r="23" spans="2:25">
      <c r="B23" s="370" t="s">
        <v>114</v>
      </c>
      <c r="C23" s="239" t="s">
        <v>115</v>
      </c>
      <c r="D23" s="240" t="s">
        <v>116</v>
      </c>
      <c r="E23" s="87"/>
      <c r="F23" s="112"/>
      <c r="G23" s="372" t="s">
        <v>117</v>
      </c>
      <c r="H23" s="239" t="s">
        <v>118</v>
      </c>
      <c r="I23" s="241"/>
      <c r="O23" s="41"/>
    </row>
    <row r="24" spans="2:25">
      <c r="B24" s="371"/>
      <c r="C24" s="242" t="s">
        <v>119</v>
      </c>
      <c r="D24" s="243" t="s">
        <v>120</v>
      </c>
      <c r="E24" s="87"/>
      <c r="F24" s="112"/>
      <c r="G24" s="373"/>
      <c r="H24" s="242" t="s">
        <v>121</v>
      </c>
      <c r="I24" s="241"/>
      <c r="O24" s="41"/>
    </row>
    <row r="25" spans="2:25">
      <c r="B25" s="116"/>
      <c r="C25" s="163"/>
      <c r="D25" s="163"/>
      <c r="G25" s="163"/>
      <c r="H25" s="163"/>
      <c r="O25" s="41"/>
    </row>
    <row r="26" spans="2:25">
      <c r="B26" s="244"/>
      <c r="C26" s="245"/>
      <c r="D26" s="245"/>
      <c r="E26" s="246"/>
      <c r="F26" s="246"/>
      <c r="G26" s="245"/>
      <c r="H26" s="245"/>
      <c r="I26" s="374"/>
      <c r="J26" s="374"/>
      <c r="K26" s="374"/>
      <c r="L26" s="374"/>
      <c r="M26" s="246"/>
      <c r="N26" s="246"/>
      <c r="O26" s="247"/>
      <c r="P26" s="246"/>
      <c r="Q26" s="374"/>
      <c r="R26" s="374"/>
      <c r="S26" s="374"/>
      <c r="T26" s="374"/>
      <c r="U26" s="374"/>
      <c r="V26" s="374"/>
      <c r="W26" s="374"/>
      <c r="X26" s="374"/>
      <c r="Y26" s="374"/>
    </row>
    <row r="27" spans="2:25">
      <c r="B27" s="244"/>
      <c r="C27" s="248"/>
      <c r="D27" s="248"/>
      <c r="E27" s="249"/>
      <c r="F27" s="250"/>
      <c r="G27" s="251"/>
      <c r="H27" s="251"/>
      <c r="I27" s="250"/>
      <c r="J27" s="250"/>
      <c r="K27" s="250"/>
      <c r="L27" s="250"/>
      <c r="M27" s="250"/>
      <c r="N27" s="250"/>
      <c r="O27" s="252"/>
      <c r="P27" s="250"/>
      <c r="Q27" s="250"/>
      <c r="R27" s="250"/>
      <c r="S27" s="250"/>
      <c r="T27" s="250"/>
      <c r="U27" s="250"/>
      <c r="V27" s="250"/>
      <c r="W27" s="250"/>
      <c r="X27" s="250"/>
      <c r="Y27" s="250"/>
    </row>
    <row r="28" spans="2:25">
      <c r="B28" s="116"/>
      <c r="C28" s="163"/>
      <c r="D28" s="163"/>
      <c r="G28" s="163"/>
      <c r="H28" s="163"/>
      <c r="O28" s="41"/>
    </row>
    <row r="29" spans="2:25">
      <c r="B29" s="116"/>
      <c r="C29" s="163"/>
      <c r="D29" s="163"/>
      <c r="G29" s="163"/>
      <c r="H29" s="163"/>
      <c r="O29" s="41"/>
    </row>
    <row r="30" spans="2:25">
      <c r="B30" s="116"/>
      <c r="C30" s="163"/>
      <c r="D30" s="163"/>
      <c r="G30" s="163"/>
      <c r="H30" s="163"/>
      <c r="O30" s="41"/>
    </row>
    <row r="31" spans="2:25">
      <c r="B31" s="116"/>
      <c r="C31" s="163"/>
      <c r="D31" s="163"/>
      <c r="G31" s="163"/>
      <c r="H31" s="163"/>
      <c r="O31" s="41"/>
    </row>
    <row r="32" spans="2:25">
      <c r="B32" s="116"/>
      <c r="C32" s="163"/>
      <c r="D32" s="163"/>
      <c r="G32" s="163"/>
      <c r="H32" s="163"/>
      <c r="O32" s="41"/>
    </row>
    <row r="33" spans="2:15">
      <c r="B33" s="116"/>
      <c r="C33" s="163"/>
      <c r="D33" s="163"/>
      <c r="G33" s="163"/>
      <c r="H33" s="163"/>
      <c r="O33" s="41"/>
    </row>
    <row r="34" spans="2:15">
      <c r="B34" s="116"/>
      <c r="C34" s="163"/>
      <c r="D34" s="163"/>
      <c r="G34" s="163"/>
      <c r="H34" s="163"/>
      <c r="O34" s="41"/>
    </row>
    <row r="35" spans="2:15">
      <c r="B35" s="116"/>
      <c r="C35" s="163"/>
      <c r="D35" s="163"/>
      <c r="G35" s="163"/>
      <c r="H35" s="163"/>
      <c r="O35" s="41"/>
    </row>
    <row r="36" spans="2:15">
      <c r="B36" s="116"/>
      <c r="C36" s="163"/>
      <c r="D36" s="163"/>
      <c r="G36" s="163"/>
      <c r="H36" s="163"/>
      <c r="O36" s="41"/>
    </row>
    <row r="37" spans="2:15">
      <c r="B37" s="116"/>
      <c r="C37" s="163"/>
      <c r="D37" s="163"/>
      <c r="G37" s="163"/>
      <c r="H37" s="163"/>
      <c r="O37" s="41"/>
    </row>
    <row r="38" spans="2:15">
      <c r="B38" s="116"/>
      <c r="C38" s="163"/>
      <c r="D38" s="163"/>
      <c r="G38" s="163"/>
      <c r="H38" s="163"/>
      <c r="O38" s="41"/>
    </row>
    <row r="39" spans="2:15">
      <c r="B39" s="116"/>
      <c r="C39" s="163"/>
      <c r="D39" s="163"/>
      <c r="G39" s="163"/>
      <c r="H39" s="163"/>
      <c r="O39" s="41"/>
    </row>
    <row r="40" spans="2:15" ht="14" thickBot="1">
      <c r="B40" s="25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5"/>
    </row>
    <row r="41" spans="2:15">
      <c r="B41" s="133" t="s">
        <v>70</v>
      </c>
      <c r="M41" s="368" t="s">
        <v>122</v>
      </c>
      <c r="N41" s="368"/>
      <c r="O41" s="368"/>
    </row>
    <row r="58" spans="22:25">
      <c r="V58" s="369"/>
      <c r="W58" s="369"/>
      <c r="X58" s="369"/>
      <c r="Y58" s="369"/>
    </row>
  </sheetData>
  <sheetProtection formatCells="0"/>
  <mergeCells count="20">
    <mergeCell ref="M41:O41"/>
    <mergeCell ref="V58:Y58"/>
    <mergeCell ref="B23:B24"/>
    <mergeCell ref="G23:G24"/>
    <mergeCell ref="I26:L26"/>
    <mergeCell ref="Q26:U26"/>
    <mergeCell ref="V26:Y26"/>
    <mergeCell ref="B3:O4"/>
    <mergeCell ref="B6:O6"/>
    <mergeCell ref="B9:B10"/>
    <mergeCell ref="C9:D9"/>
    <mergeCell ref="E9:E10"/>
    <mergeCell ref="F9:F10"/>
    <mergeCell ref="G9:G10"/>
    <mergeCell ref="H9:H10"/>
    <mergeCell ref="I9:J9"/>
    <mergeCell ref="K9:K10"/>
    <mergeCell ref="L9:L10"/>
    <mergeCell ref="M9:N9"/>
    <mergeCell ref="O9:O10"/>
  </mergeCells>
  <pageMargins left="0.48" right="0.27" top="0.75" bottom="0.75" header="0.3" footer="0.3"/>
  <pageSetup scale="45" orientation="landscape" r:id="rId1"/>
  <colBreaks count="1" manualBreakCount="1">
    <brk id="16" max="5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91536-cb6a-48c8-a1c9-f59bb520eba1" xsi:nil="true"/>
    <lcf76f155ced4ddcb4097134ff3c332f xmlns="830f2e04-23a2-46ea-a849-1ccf8160d60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287BFC66661C45B4C96AEA0CEECC87" ma:contentTypeVersion="12" ma:contentTypeDescription="Crear nuevo documento." ma:contentTypeScope="" ma:versionID="94db76ecc340b8c2e6f4c026589078ef">
  <xsd:schema xmlns:xsd="http://www.w3.org/2001/XMLSchema" xmlns:xs="http://www.w3.org/2001/XMLSchema" xmlns:p="http://schemas.microsoft.com/office/2006/metadata/properties" xmlns:ns2="830f2e04-23a2-46ea-a849-1ccf8160d60c" xmlns:ns3="2f9bc711-161c-4cfe-8a3f-1bd1587d5b0a" xmlns:ns4="fde91536-cb6a-48c8-a1c9-f59bb520eba1" targetNamespace="http://schemas.microsoft.com/office/2006/metadata/properties" ma:root="true" ma:fieldsID="b912e357291e971417bf27073350716a" ns2:_="" ns3:_="" ns4:_="">
    <xsd:import namespace="830f2e04-23a2-46ea-a849-1ccf8160d60c"/>
    <xsd:import namespace="2f9bc711-161c-4cfe-8a3f-1bd1587d5b0a"/>
    <xsd:import namespace="fde91536-cb6a-48c8-a1c9-f59bb520e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f2e04-23a2-46ea-a849-1ccf8160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ca7b523-58f5-4d52-b53c-05f253e3d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bc711-161c-4cfe-8a3f-1bd1587d5b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91536-cb6a-48c8-a1c9-f59bb520eba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2a06f4-1796-47a0-b964-15939d23907a}" ma:internalName="TaxCatchAll" ma:showField="CatchAllData" ma:web="2f9bc711-161c-4cfe-8a3f-1bd1587d5b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E34678-6E20-4939-87A4-7AFF97CB5173}">
  <ds:schemaRefs>
    <ds:schemaRef ds:uri="http://schemas.microsoft.com/office/2006/metadata/properties"/>
    <ds:schemaRef ds:uri="http://www.w3.org/XML/1998/namespace"/>
    <ds:schemaRef ds:uri="http://purl.org/dc/dcmitype/"/>
    <ds:schemaRef ds:uri="830f2e04-23a2-46ea-a849-1ccf8160d60c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fde91536-cb6a-48c8-a1c9-f59bb520eba1"/>
    <ds:schemaRef ds:uri="2f9bc711-161c-4cfe-8a3f-1bd1587d5b0a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914E6B4-7E6E-4780-B72D-816DE333A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14696D-D278-4442-B46D-B5A9DF88C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f2e04-23a2-46ea-a849-1ccf8160d60c"/>
    <ds:schemaRef ds:uri="2f9bc711-161c-4cfe-8a3f-1bd1587d5b0a"/>
    <ds:schemaRef ds:uri="fde91536-cb6a-48c8-a1c9-f59bb520e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0000000-0000-0000-0000-000000000000}" enabled="1" method="Standard" siteId="{00000000-0000-0000-0000-00000000000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Ficha Técnica</vt:lpstr>
      <vt:lpstr>Beneficios</vt:lpstr>
      <vt:lpstr>Diagrama Actual</vt:lpstr>
      <vt:lpstr>Diagrama Futuro</vt:lpstr>
      <vt:lpstr>Anexos MT</vt:lpstr>
      <vt:lpstr>Anexo AT</vt:lpstr>
      <vt:lpstr>'Anexo AT'!Área_de_impresión</vt:lpstr>
      <vt:lpstr>'Anexos MT'!Área_de_impresión</vt:lpstr>
      <vt:lpstr>Beneficios!Área_de_impresión</vt:lpstr>
      <vt:lpstr>'Diagrama Actual'!Área_de_impresión</vt:lpstr>
      <vt:lpstr>'Diagrama Futuro'!Área_de_impresión</vt:lpstr>
      <vt:lpstr>'Ficha Técnica'!Área_de_impresión</vt:lpstr>
      <vt:lpstr>'Anexos MT'!Títulos_a_imprimir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2023-02-16T21:57:48Z</cp:lastPrinted>
  <dcterms:created xsi:type="dcterms:W3CDTF">2018-09-06T13:34:07Z</dcterms:created>
  <dcterms:modified xsi:type="dcterms:W3CDTF">2026-07-15T15:41:57Z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0x010100EF287BFC66661C45B4C96AEA0CEECC87</vt:lpwstr>
  </property>
  <property fmtid="{D5CDD505-2E9C-101B-9397-08002B2CF9AE}" pid="3" name="MSIP_Label_00000000-0000-0000-0000-000000000000_Enabled">
    <vt:lpwstr>true</vt:lpwstr>
  </property>
  <property fmtid="{D5CDD505-2E9C-101B-9397-08002B2CF9AE}" pid="4" name="MSIP_Label_00000000-0000-0000-0000-000000000000_SetDate">
    <vt:lpwstr>2022-05-23T13:57:29Z</vt:lpwstr>
  </property>
  <property fmtid="{D5CDD505-2E9C-101B-9397-08002B2CF9AE}" pid="5" name="MSIP_Label_00000000-0000-0000-0000-000000000000_Method">
    <vt:lpwstr>Standard</vt:lpwstr>
  </property>
  <property fmtid="{D5CDD505-2E9C-101B-9397-08002B2CF9AE}" pid="6" name="MSIP_Label_00000000-0000-0000-0000-000000000000_Name">
    <vt:lpwstr>00000000-0000-0000-0000-000000000000</vt:lpwstr>
  </property>
  <property fmtid="{D5CDD505-2E9C-101B-9397-08002B2CF9AE}" pid="7" name="MSIP_Label_00000000-0000-0000-0000-000000000000_SiteId">
    <vt:lpwstr>00000000-0000-0000-0000-000000000000</vt:lpwstr>
  </property>
  <property fmtid="{D5CDD505-2E9C-101B-9397-08002B2CF9AE}" pid="8" name="MSIP_Label_00000000-0000-0000-0000-000000000000_ActionId">
    <vt:lpwstr>f73d670c-79c6-4985-94fd-0d3abcc2c61f</vt:lpwstr>
  </property>
  <property fmtid="{D5CDD505-2E9C-101B-9397-08002B2CF9AE}" pid="9" name="MSIP_Label_00000000-0000-0000-0000-000000000000_ContentBits">
    <vt:lpwstr>0</vt:lpwstr>
  </property>
</Properties>
</file>