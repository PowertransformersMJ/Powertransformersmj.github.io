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8"/>
  <workbookPr codeName="ThisWorkbook" defaultThemeVersion="166925"/>
  <mc:AlternateContent xmlns:mc="http://schemas.openxmlformats.org/markup-compatibility/2006">
    <mc:Choice Requires="x15">
      <x15ac:absPath xmlns:x15ac="http://schemas.microsoft.com/office/spreadsheetml/2010/11/ac" url="/Users/migueljimenez/Documents/2026/PSM 2026/"/>
    </mc:Choice>
  </mc:AlternateContent>
  <xr:revisionPtr revIDLastSave="0" documentId="13_ncr:1_{6DD3B77A-CFE9-B347-AEB2-47DA96C9DA17}" xr6:coauthVersionLast="47" xr6:coauthVersionMax="47" xr10:uidLastSave="{00000000-0000-0000-0000-000000000000}"/>
  <bookViews>
    <workbookView xWindow="0" yWindow="660" windowWidth="30240" windowHeight="18980" activeTab="1" xr2:uid="{00000000-000D-0000-FFFF-FFFF00000000}"/>
  </bookViews>
  <sheets>
    <sheet name="CONTRAMUESTRAS" sheetId="14" r:id="rId1"/>
    <sheet name="TX_Potencia" sheetId="1" r:id="rId2"/>
    <sheet name="TPT_Servicio" sheetId="10" r:id="rId3"/>
    <sheet name="Hoja1" sheetId="2" r:id="rId4"/>
    <sheet name="TX_Respaldo" sheetId="11" r:id="rId5"/>
    <sheet name="Hoja3" sheetId="4" r:id="rId6"/>
    <sheet name="Hoja2" sheetId="3" r:id="rId7"/>
    <sheet name="FALLADOS" sheetId="8" r:id="rId8"/>
  </sheets>
  <definedNames>
    <definedName name="_xlnm._FilterDatabase" localSheetId="7" hidden="1">FALLADOS!$A$1:$BB$2</definedName>
    <definedName name="_xlnm._FilterDatabase" localSheetId="3" hidden="1">Hoja1!$A$2:$BK$206</definedName>
    <definedName name="_xlnm._FilterDatabase" localSheetId="5" hidden="1">Hoja3!$B$1:$W$1</definedName>
    <definedName name="_xlnm._FilterDatabase" localSheetId="2" hidden="1">TPT_Servicio!$A$2:$BG$31</definedName>
    <definedName name="_xlnm._FilterDatabase" localSheetId="1" hidden="1">TX_Potencia!$A$1:$BN$210</definedName>
    <definedName name="_xlnm._FilterDatabase" localSheetId="4" hidden="1">TX_Respaldo!$A$2:$CM$18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3" i="10" l="1"/>
  <c r="BA80" i="1" l="1"/>
  <c r="AI31" i="10" l="1"/>
  <c r="AE31" i="10"/>
  <c r="AD31" i="10"/>
  <c r="AF31" i="10" s="1"/>
  <c r="AD30" i="10"/>
  <c r="AA31" i="10"/>
  <c r="AA30" i="10"/>
  <c r="W31" i="10"/>
  <c r="U31" i="10"/>
  <c r="V31" i="10" s="1"/>
  <c r="X31" i="10" l="1"/>
  <c r="AG31" i="10"/>
  <c r="CG27" i="11"/>
  <c r="CH27" i="11" s="1"/>
  <c r="S27" i="11"/>
  <c r="T27" i="11" s="1"/>
  <c r="U27" i="11"/>
  <c r="V27" i="11"/>
  <c r="W27" i="11"/>
  <c r="AE27" i="11"/>
  <c r="AH27" i="11"/>
  <c r="AC26" i="11"/>
  <c r="AC27" i="11"/>
  <c r="AF27" i="11" s="1"/>
  <c r="X27" i="11" l="1"/>
  <c r="AG27" i="11"/>
  <c r="AT2" i="1"/>
  <c r="W46" i="1"/>
  <c r="W34" i="1"/>
  <c r="CK27" i="11" l="1"/>
  <c r="AG81" i="1"/>
  <c r="AB90" i="1" l="1"/>
  <c r="AF15" i="14"/>
  <c r="AF14" i="14" l="1"/>
  <c r="AF13" i="14"/>
  <c r="AF12" i="14"/>
  <c r="AF11" i="14"/>
  <c r="AF10" i="14"/>
  <c r="AF9" i="14"/>
  <c r="AF8" i="14"/>
  <c r="AF7" i="14"/>
  <c r="K39" i="14"/>
  <c r="K38" i="14"/>
  <c r="K37" i="14"/>
  <c r="K36" i="14"/>
  <c r="K35" i="14"/>
  <c r="K34" i="14"/>
  <c r="K33" i="14"/>
  <c r="K32" i="14"/>
  <c r="K31" i="14"/>
  <c r="K30" i="14"/>
  <c r="K29" i="14"/>
  <c r="K28" i="14"/>
  <c r="K27" i="14"/>
  <c r="K26" i="14"/>
  <c r="K25" i="14"/>
  <c r="K24" i="14"/>
  <c r="K23" i="14"/>
  <c r="K22" i="14"/>
  <c r="K21" i="14"/>
  <c r="K20" i="14"/>
  <c r="K19" i="14"/>
  <c r="K18" i="14"/>
  <c r="K17" i="14"/>
  <c r="K16" i="14"/>
  <c r="K15" i="14"/>
  <c r="K14" i="14"/>
  <c r="K13" i="14"/>
  <c r="K12" i="14"/>
  <c r="K11" i="14"/>
  <c r="K10" i="14"/>
  <c r="K9" i="14"/>
  <c r="K8" i="14"/>
  <c r="K7" i="14"/>
  <c r="AA4" i="10" l="1"/>
  <c r="AA5" i="10"/>
  <c r="AA6" i="10"/>
  <c r="AA7" i="10"/>
  <c r="AA8" i="10"/>
  <c r="AA9" i="10"/>
  <c r="AA11" i="10"/>
  <c r="AA10" i="10"/>
  <c r="AA12" i="10"/>
  <c r="AA13" i="10"/>
  <c r="AA14" i="10"/>
  <c r="AA15" i="10"/>
  <c r="AA16" i="10"/>
  <c r="AA17" i="10"/>
  <c r="AA19" i="10"/>
  <c r="AA18" i="10"/>
  <c r="AA20" i="10"/>
  <c r="AA21" i="10"/>
  <c r="AA22" i="10"/>
  <c r="AA23" i="10"/>
  <c r="AA24" i="10"/>
  <c r="AA25" i="10"/>
  <c r="AA26" i="10"/>
  <c r="AA27" i="10"/>
  <c r="AA28" i="10"/>
  <c r="AA29" i="10"/>
  <c r="AA3" i="10"/>
  <c r="BA12" i="10"/>
  <c r="BB12" i="10" s="1"/>
  <c r="BA17" i="10"/>
  <c r="BB17" i="10" s="1"/>
  <c r="BA30" i="10"/>
  <c r="BB30" i="10" s="1"/>
  <c r="BA18" i="10" l="1"/>
  <c r="BB18" i="10" s="1"/>
  <c r="AE12" i="10"/>
  <c r="AE17" i="10"/>
  <c r="AE30" i="10"/>
  <c r="AD12" i="10"/>
  <c r="AF12" i="10" s="1"/>
  <c r="AD17" i="10"/>
  <c r="AF17" i="10" s="1"/>
  <c r="AF30" i="10"/>
  <c r="W22" i="10"/>
  <c r="W12" i="10"/>
  <c r="W17" i="10"/>
  <c r="W30" i="10"/>
  <c r="W23" i="10"/>
  <c r="W21" i="10"/>
  <c r="W7" i="10"/>
  <c r="W28" i="10"/>
  <c r="W13" i="10"/>
  <c r="W8" i="10"/>
  <c r="W14" i="10"/>
  <c r="W9" i="10"/>
  <c r="W11" i="10"/>
  <c r="W24" i="10"/>
  <c r="W20" i="10"/>
  <c r="W19" i="10"/>
  <c r="W27" i="10"/>
  <c r="W15" i="10"/>
  <c r="W10" i="10"/>
  <c r="W16" i="10"/>
  <c r="W29" i="10"/>
  <c r="W26" i="10"/>
  <c r="W25" i="10"/>
  <c r="W5" i="10"/>
  <c r="W4" i="10"/>
  <c r="W6" i="10"/>
  <c r="W18" i="10"/>
  <c r="CG26" i="11"/>
  <c r="CH26" i="11" s="1"/>
  <c r="BY26" i="11"/>
  <c r="BZ26" i="11" s="1"/>
  <c r="BE26" i="11"/>
  <c r="BD26" i="11"/>
  <c r="BF26" i="11" s="1"/>
  <c r="AX26" i="11"/>
  <c r="AV26" i="11"/>
  <c r="AW26" i="11" s="1"/>
  <c r="AH26" i="11"/>
  <c r="AE26" i="11"/>
  <c r="AF26" i="11"/>
  <c r="W26" i="11"/>
  <c r="V26" i="11"/>
  <c r="U26" i="11"/>
  <c r="S26" i="11"/>
  <c r="T26" i="11" s="1"/>
  <c r="CG25" i="11"/>
  <c r="CH25" i="11" s="1"/>
  <c r="BY25" i="11"/>
  <c r="BZ25" i="11" s="1"/>
  <c r="BE25" i="11"/>
  <c r="BD25" i="11"/>
  <c r="BF25" i="11" s="1"/>
  <c r="AX25" i="11"/>
  <c r="AV25" i="11"/>
  <c r="AW25" i="11" s="1"/>
  <c r="AH25" i="11"/>
  <c r="AE25" i="11"/>
  <c r="AC25" i="11"/>
  <c r="AF25" i="11" s="1"/>
  <c r="W25" i="11"/>
  <c r="V25" i="11"/>
  <c r="U25" i="11"/>
  <c r="S25" i="11"/>
  <c r="T25" i="11" s="1"/>
  <c r="CG24" i="11"/>
  <c r="CH24" i="11" s="1"/>
  <c r="BY24" i="11"/>
  <c r="BZ24" i="11" s="1"/>
  <c r="BE24" i="11"/>
  <c r="BD24" i="11"/>
  <c r="BF24" i="11" s="1"/>
  <c r="AX24" i="11"/>
  <c r="AV24" i="11"/>
  <c r="AW24" i="11" s="1"/>
  <c r="AH24" i="11"/>
  <c r="AE24" i="11"/>
  <c r="AC24" i="11"/>
  <c r="AF24" i="11" s="1"/>
  <c r="W24" i="11"/>
  <c r="V24" i="11"/>
  <c r="U24" i="11"/>
  <c r="S24" i="11"/>
  <c r="T24" i="11" s="1"/>
  <c r="CG23" i="11"/>
  <c r="CH23" i="11" s="1"/>
  <c r="BY23" i="11"/>
  <c r="BZ23" i="11" s="1"/>
  <c r="BE23" i="11"/>
  <c r="BD23" i="11"/>
  <c r="BF23" i="11" s="1"/>
  <c r="AX23" i="11"/>
  <c r="AV23" i="11"/>
  <c r="AW23" i="11" s="1"/>
  <c r="AH23" i="11"/>
  <c r="AE23" i="11"/>
  <c r="AC23" i="11"/>
  <c r="AF23" i="11" s="1"/>
  <c r="W23" i="11"/>
  <c r="V23" i="11"/>
  <c r="U23" i="11"/>
  <c r="S23" i="11"/>
  <c r="T23" i="11" s="1"/>
  <c r="CG22" i="11"/>
  <c r="CH22" i="11" s="1"/>
  <c r="BY22" i="11"/>
  <c r="BZ22" i="11" s="1"/>
  <c r="BE22" i="11"/>
  <c r="BD22" i="11"/>
  <c r="BF22" i="11" s="1"/>
  <c r="AX22" i="11"/>
  <c r="AV22" i="11"/>
  <c r="AW22" i="11" s="1"/>
  <c r="AH22" i="11"/>
  <c r="AE22" i="11"/>
  <c r="AC22" i="11"/>
  <c r="AF22" i="11" s="1"/>
  <c r="W22" i="11"/>
  <c r="V22" i="11"/>
  <c r="U22" i="11"/>
  <c r="S22" i="11"/>
  <c r="T22" i="11" s="1"/>
  <c r="CG21" i="11"/>
  <c r="CH21" i="11" s="1"/>
  <c r="BY21" i="11"/>
  <c r="BZ21" i="11" s="1"/>
  <c r="BE21" i="11"/>
  <c r="BD21" i="11"/>
  <c r="BF21" i="11" s="1"/>
  <c r="AX21" i="11"/>
  <c r="AV21" i="11"/>
  <c r="AW21" i="11" s="1"/>
  <c r="AH21" i="11"/>
  <c r="AE21" i="11"/>
  <c r="AC21" i="11"/>
  <c r="AF21" i="11" s="1"/>
  <c r="W21" i="11"/>
  <c r="V21" i="11"/>
  <c r="U21" i="11"/>
  <c r="S21" i="11"/>
  <c r="T21" i="11" s="1"/>
  <c r="CG20" i="11"/>
  <c r="CH20" i="11" s="1"/>
  <c r="BY20" i="11"/>
  <c r="BZ20" i="11" s="1"/>
  <c r="BE20" i="11"/>
  <c r="BD20" i="11"/>
  <c r="BF20" i="11" s="1"/>
  <c r="AX20" i="11"/>
  <c r="AV20" i="11"/>
  <c r="AW20" i="11" s="1"/>
  <c r="AH20" i="11"/>
  <c r="AE20" i="11"/>
  <c r="AC20" i="11"/>
  <c r="AF20" i="11" s="1"/>
  <c r="W20" i="11"/>
  <c r="V20" i="11"/>
  <c r="U20" i="11"/>
  <c r="S20" i="11"/>
  <c r="T20" i="11" s="1"/>
  <c r="S4" i="11"/>
  <c r="T4" i="11" s="1"/>
  <c r="S5" i="11"/>
  <c r="T5" i="11" s="1"/>
  <c r="S6" i="11"/>
  <c r="T6" i="11" s="1"/>
  <c r="S7" i="11"/>
  <c r="T7" i="11" s="1"/>
  <c r="S8" i="11"/>
  <c r="T8" i="11" s="1"/>
  <c r="S9" i="11"/>
  <c r="T9" i="11" s="1"/>
  <c r="S10" i="11"/>
  <c r="T10" i="11" s="1"/>
  <c r="S11" i="11"/>
  <c r="T11" i="11" s="1"/>
  <c r="S12" i="11"/>
  <c r="T12" i="11" s="1"/>
  <c r="S13" i="11"/>
  <c r="T13" i="11" s="1"/>
  <c r="S14" i="11"/>
  <c r="T14" i="11" s="1"/>
  <c r="S15" i="11"/>
  <c r="T15" i="11" s="1"/>
  <c r="S16" i="11"/>
  <c r="T16" i="11" s="1"/>
  <c r="S17" i="11"/>
  <c r="T17" i="11" s="1"/>
  <c r="S18" i="11"/>
  <c r="T18" i="11" s="1"/>
  <c r="S19" i="11"/>
  <c r="T19" i="11" s="1"/>
  <c r="S3" i="11"/>
  <c r="T3" i="11" s="1"/>
  <c r="CG4" i="11"/>
  <c r="CH4" i="11" s="1"/>
  <c r="CG5" i="11"/>
  <c r="CH5" i="11" s="1"/>
  <c r="CG6" i="11"/>
  <c r="CH6" i="11" s="1"/>
  <c r="CG7" i="11"/>
  <c r="CH7" i="11" s="1"/>
  <c r="CG8" i="11"/>
  <c r="CH8" i="11" s="1"/>
  <c r="CG9" i="11"/>
  <c r="CH9" i="11" s="1"/>
  <c r="CG10" i="11"/>
  <c r="CH10" i="11" s="1"/>
  <c r="CG11" i="11"/>
  <c r="CH11" i="11" s="1"/>
  <c r="CG12" i="11"/>
  <c r="CH12" i="11" s="1"/>
  <c r="CG13" i="11"/>
  <c r="CH13" i="11" s="1"/>
  <c r="CG14" i="11"/>
  <c r="CH14" i="11" s="1"/>
  <c r="CG15" i="11"/>
  <c r="CH15" i="11" s="1"/>
  <c r="CG16" i="11"/>
  <c r="CH16" i="11" s="1"/>
  <c r="CG17" i="11"/>
  <c r="CH17" i="11" s="1"/>
  <c r="CG18" i="11"/>
  <c r="CH18" i="11" s="1"/>
  <c r="CG19" i="11"/>
  <c r="CH19" i="11" s="1"/>
  <c r="CG3" i="11"/>
  <c r="CH3" i="11" s="1"/>
  <c r="AH4" i="11"/>
  <c r="AH5" i="11"/>
  <c r="AH6" i="11"/>
  <c r="AH7" i="11"/>
  <c r="AH8" i="11"/>
  <c r="AH9" i="11"/>
  <c r="AH10" i="11"/>
  <c r="AH11" i="11"/>
  <c r="AH12" i="11"/>
  <c r="AH13" i="11"/>
  <c r="AH14" i="11"/>
  <c r="AH15" i="11"/>
  <c r="AH16" i="11"/>
  <c r="AH17" i="11"/>
  <c r="AH18" i="11"/>
  <c r="AH19" i="11"/>
  <c r="AE4" i="11"/>
  <c r="AE5" i="11"/>
  <c r="AE6" i="11"/>
  <c r="AE7" i="11"/>
  <c r="AE8" i="11"/>
  <c r="AE9" i="11"/>
  <c r="AE10" i="11"/>
  <c r="AE11" i="11"/>
  <c r="AE12" i="11"/>
  <c r="AE13" i="11"/>
  <c r="AE14" i="11"/>
  <c r="AE15" i="11"/>
  <c r="AE16" i="11"/>
  <c r="AE17" i="11"/>
  <c r="AE18" i="11"/>
  <c r="AE19" i="11"/>
  <c r="AC4" i="11"/>
  <c r="AF4" i="11" s="1"/>
  <c r="AC5" i="11"/>
  <c r="AF5" i="11" s="1"/>
  <c r="AC6" i="11"/>
  <c r="AF6" i="11" s="1"/>
  <c r="AC7" i="11"/>
  <c r="AF7" i="11" s="1"/>
  <c r="AC8" i="11"/>
  <c r="AF8" i="11" s="1"/>
  <c r="AC9" i="11"/>
  <c r="AF9" i="11" s="1"/>
  <c r="AC10" i="11"/>
  <c r="AF10" i="11" s="1"/>
  <c r="AC11" i="11"/>
  <c r="AF11" i="11" s="1"/>
  <c r="AC12" i="11"/>
  <c r="AF12" i="11" s="1"/>
  <c r="AC13" i="11"/>
  <c r="AF13" i="11" s="1"/>
  <c r="AC14" i="11"/>
  <c r="AF14" i="11" s="1"/>
  <c r="AC15" i="11"/>
  <c r="AF15" i="11" s="1"/>
  <c r="AC16" i="11"/>
  <c r="AF16" i="11" s="1"/>
  <c r="AC17" i="11"/>
  <c r="AF17" i="11" s="1"/>
  <c r="AC18" i="11"/>
  <c r="AF18" i="11" s="1"/>
  <c r="AC19" i="11"/>
  <c r="AF19" i="11" s="1"/>
  <c r="W4" i="11"/>
  <c r="W5" i="11"/>
  <c r="W6" i="11"/>
  <c r="W7" i="11"/>
  <c r="W8" i="11"/>
  <c r="W9" i="11"/>
  <c r="W10" i="11"/>
  <c r="W11" i="11"/>
  <c r="W12" i="11"/>
  <c r="W13" i="11"/>
  <c r="W14" i="11"/>
  <c r="W15" i="11"/>
  <c r="W16" i="11"/>
  <c r="W17" i="11"/>
  <c r="W18" i="11"/>
  <c r="W19" i="11"/>
  <c r="W3" i="11"/>
  <c r="V4" i="11"/>
  <c r="V5" i="11"/>
  <c r="V6" i="11"/>
  <c r="V7" i="11"/>
  <c r="V8" i="11"/>
  <c r="V9" i="11"/>
  <c r="V10" i="11"/>
  <c r="V11" i="11"/>
  <c r="V12" i="11"/>
  <c r="V13" i="11"/>
  <c r="V14" i="11"/>
  <c r="V15" i="11"/>
  <c r="V16" i="11"/>
  <c r="V17" i="11"/>
  <c r="V18" i="11"/>
  <c r="V19" i="11"/>
  <c r="U4" i="11"/>
  <c r="U5" i="11"/>
  <c r="U6" i="11"/>
  <c r="U7" i="11"/>
  <c r="U8" i="11"/>
  <c r="U9" i="11"/>
  <c r="U10" i="11"/>
  <c r="U11" i="11"/>
  <c r="U12" i="11"/>
  <c r="U13" i="11"/>
  <c r="U14" i="11"/>
  <c r="U15" i="11"/>
  <c r="U16" i="11"/>
  <c r="U17" i="11"/>
  <c r="U18" i="11"/>
  <c r="U19" i="11"/>
  <c r="AH3" i="11"/>
  <c r="AE3" i="11"/>
  <c r="AC3" i="11"/>
  <c r="AF3" i="11" s="1"/>
  <c r="V3" i="11"/>
  <c r="U3" i="11"/>
  <c r="AG12" i="10" l="1"/>
  <c r="AG17" i="10"/>
  <c r="AG30" i="10"/>
  <c r="AY25" i="11"/>
  <c r="AY26" i="11"/>
  <c r="BG21" i="11"/>
  <c r="BG25" i="11"/>
  <c r="AY24" i="11"/>
  <c r="AG25" i="11"/>
  <c r="AG26" i="11"/>
  <c r="X26" i="11"/>
  <c r="BG26" i="11"/>
  <c r="X25" i="11"/>
  <c r="BG24" i="11"/>
  <c r="AG13" i="11"/>
  <c r="AG12" i="11"/>
  <c r="AY22" i="11"/>
  <c r="X24" i="11"/>
  <c r="AG24" i="11"/>
  <c r="BG22" i="11"/>
  <c r="AY20" i="11"/>
  <c r="AY23" i="11"/>
  <c r="X23" i="11"/>
  <c r="BG23" i="11"/>
  <c r="AG23" i="11"/>
  <c r="AG22" i="11"/>
  <c r="X22" i="11"/>
  <c r="AY21" i="11"/>
  <c r="AG21" i="11"/>
  <c r="X21" i="11"/>
  <c r="AG20" i="11"/>
  <c r="X20" i="11"/>
  <c r="BG20" i="11"/>
  <c r="X13" i="11"/>
  <c r="X16" i="11"/>
  <c r="X6" i="11"/>
  <c r="X12" i="11"/>
  <c r="X9" i="11"/>
  <c r="X8" i="11"/>
  <c r="X11" i="11"/>
  <c r="X19" i="11"/>
  <c r="X18" i="11"/>
  <c r="X17" i="11"/>
  <c r="X7" i="11"/>
  <c r="X3" i="11"/>
  <c r="X15" i="11"/>
  <c r="X5" i="11"/>
  <c r="X14" i="11"/>
  <c r="X4" i="11"/>
  <c r="X10" i="11"/>
  <c r="AG16" i="11"/>
  <c r="AG6" i="11"/>
  <c r="AG5" i="11"/>
  <c r="AG14" i="11"/>
  <c r="AG4" i="11"/>
  <c r="AG15" i="11"/>
  <c r="AG17" i="11"/>
  <c r="AG7" i="11"/>
  <c r="AG10" i="11"/>
  <c r="AG11" i="11"/>
  <c r="AG3" i="11"/>
  <c r="AG8" i="11"/>
  <c r="AG9" i="11"/>
  <c r="AG19" i="11"/>
  <c r="AG18" i="11"/>
  <c r="BZ19" i="11"/>
  <c r="BH19" i="11"/>
  <c r="BD19" i="11"/>
  <c r="BC19" i="11"/>
  <c r="BE19" i="11" s="1"/>
  <c r="AW19" i="11"/>
  <c r="AU19" i="11"/>
  <c r="AV19" i="11" s="1"/>
  <c r="AD18" i="10"/>
  <c r="AF18" i="10" s="1"/>
  <c r="AE18" i="10"/>
  <c r="BA29" i="10"/>
  <c r="BB29" i="10" s="1"/>
  <c r="AI29" i="10"/>
  <c r="AE29" i="10"/>
  <c r="AD29" i="10"/>
  <c r="AF29" i="10" s="1"/>
  <c r="U29" i="10"/>
  <c r="V29" i="10" s="1"/>
  <c r="U23" i="10"/>
  <c r="V23" i="10" s="1"/>
  <c r="U21" i="10"/>
  <c r="V21" i="10" s="1"/>
  <c r="U7" i="10"/>
  <c r="V7" i="10" s="1"/>
  <c r="U28" i="10"/>
  <c r="V28" i="10" s="1"/>
  <c r="U13" i="10"/>
  <c r="V13" i="10" s="1"/>
  <c r="U8" i="10"/>
  <c r="V8" i="10" s="1"/>
  <c r="U14" i="10"/>
  <c r="V14" i="10" s="1"/>
  <c r="U9" i="10"/>
  <c r="V9" i="10" s="1"/>
  <c r="U11" i="10"/>
  <c r="V11" i="10" s="1"/>
  <c r="U24" i="10"/>
  <c r="V24" i="10" s="1"/>
  <c r="U20" i="10"/>
  <c r="V20" i="10" s="1"/>
  <c r="U19" i="10"/>
  <c r="V19" i="10" s="1"/>
  <c r="U27" i="10"/>
  <c r="V27" i="10" s="1"/>
  <c r="U15" i="10"/>
  <c r="V15" i="10" s="1"/>
  <c r="U10" i="10"/>
  <c r="V10" i="10" s="1"/>
  <c r="U16" i="10"/>
  <c r="V16" i="10" s="1"/>
  <c r="U26" i="10"/>
  <c r="V26" i="10" s="1"/>
  <c r="U25" i="10"/>
  <c r="V25" i="10" s="1"/>
  <c r="U5" i="10"/>
  <c r="V5" i="10" s="1"/>
  <c r="U4" i="10"/>
  <c r="V4" i="10" s="1"/>
  <c r="U6" i="10"/>
  <c r="V6" i="10" s="1"/>
  <c r="U18" i="10"/>
  <c r="V18" i="10" s="1"/>
  <c r="U12" i="10"/>
  <c r="V12" i="10" s="1"/>
  <c r="X12" i="10" s="1"/>
  <c r="U17" i="10"/>
  <c r="V17" i="10" s="1"/>
  <c r="X17" i="10" s="1"/>
  <c r="U30" i="10"/>
  <c r="V30" i="10" s="1"/>
  <c r="X30" i="10" s="1"/>
  <c r="U22" i="10"/>
  <c r="V22" i="10" s="1"/>
  <c r="U3" i="10"/>
  <c r="AI23" i="10"/>
  <c r="AI21" i="10"/>
  <c r="AI7" i="10"/>
  <c r="AI28" i="10"/>
  <c r="AI13" i="10"/>
  <c r="AI8" i="10"/>
  <c r="AI14" i="10"/>
  <c r="AI9" i="10"/>
  <c r="AI11" i="10"/>
  <c r="AI24" i="10"/>
  <c r="AI20" i="10"/>
  <c r="AI19" i="10"/>
  <c r="AI27" i="10"/>
  <c r="AI15" i="10"/>
  <c r="AI10" i="10"/>
  <c r="AI16" i="10"/>
  <c r="AI26" i="10"/>
  <c r="AI25" i="10"/>
  <c r="AI5" i="10"/>
  <c r="AI4" i="10"/>
  <c r="AI6" i="10"/>
  <c r="AI18" i="10"/>
  <c r="AI12" i="10"/>
  <c r="AI17" i="10"/>
  <c r="AI30" i="10"/>
  <c r="AI22" i="10"/>
  <c r="AI3" i="10"/>
  <c r="AL207" i="1"/>
  <c r="BA10" i="10"/>
  <c r="AE10" i="10"/>
  <c r="AD10" i="10"/>
  <c r="AF10" i="10" s="1"/>
  <c r="BY18" i="11"/>
  <c r="BZ18" i="11" s="1"/>
  <c r="BE18" i="11"/>
  <c r="BD18" i="11"/>
  <c r="BF18" i="11" s="1"/>
  <c r="AX18" i="11"/>
  <c r="AV18" i="11"/>
  <c r="AW18" i="11" s="1"/>
  <c r="BY17" i="11"/>
  <c r="BZ17" i="11" s="1"/>
  <c r="BE17" i="11"/>
  <c r="BD17" i="11"/>
  <c r="BF17" i="11" s="1"/>
  <c r="AX17" i="11"/>
  <c r="AV17" i="11"/>
  <c r="AW17" i="11" s="1"/>
  <c r="BY16" i="11"/>
  <c r="BZ16" i="11" s="1"/>
  <c r="BE16" i="11"/>
  <c r="BD16" i="11"/>
  <c r="BF16" i="11" s="1"/>
  <c r="AX16" i="11"/>
  <c r="AV16" i="11"/>
  <c r="AW16" i="11" s="1"/>
  <c r="BY15" i="11"/>
  <c r="BZ15" i="11" s="1"/>
  <c r="BE15" i="11"/>
  <c r="BD15" i="11"/>
  <c r="BF15" i="11" s="1"/>
  <c r="AX15" i="11"/>
  <c r="AV15" i="11"/>
  <c r="AW15" i="11" s="1"/>
  <c r="BY14" i="11"/>
  <c r="BZ14" i="11" s="1"/>
  <c r="BE14" i="11"/>
  <c r="BD14" i="11"/>
  <c r="BF14" i="11" s="1"/>
  <c r="AX14" i="11"/>
  <c r="AV14" i="11"/>
  <c r="AW14" i="11" s="1"/>
  <c r="BY13" i="11"/>
  <c r="BZ13" i="11" s="1"/>
  <c r="BE13" i="11"/>
  <c r="BD13" i="11"/>
  <c r="BF13" i="11" s="1"/>
  <c r="AX13" i="11"/>
  <c r="AV13" i="11"/>
  <c r="AW13" i="11" s="1"/>
  <c r="BY12" i="11"/>
  <c r="BZ12" i="11" s="1"/>
  <c r="BE12" i="11"/>
  <c r="BD12" i="11"/>
  <c r="BF12" i="11" s="1"/>
  <c r="AX12" i="11"/>
  <c r="AV12" i="11"/>
  <c r="AW12" i="11" s="1"/>
  <c r="BY11" i="11"/>
  <c r="BZ11" i="11" s="1"/>
  <c r="BE11" i="11"/>
  <c r="BD11" i="11"/>
  <c r="BF11" i="11" s="1"/>
  <c r="AX11" i="11"/>
  <c r="AW11" i="11"/>
  <c r="BY10" i="11"/>
  <c r="BZ10" i="11" s="1"/>
  <c r="BE10" i="11"/>
  <c r="BD10" i="11"/>
  <c r="BF10" i="11" s="1"/>
  <c r="AX10" i="11"/>
  <c r="AV10" i="11"/>
  <c r="AW10" i="11" s="1"/>
  <c r="BY9" i="11"/>
  <c r="BZ9" i="11" s="1"/>
  <c r="BE9" i="11"/>
  <c r="BD9" i="11"/>
  <c r="BF9" i="11" s="1"/>
  <c r="AX9" i="11"/>
  <c r="AV9" i="11"/>
  <c r="AW9" i="11" s="1"/>
  <c r="BY8" i="11"/>
  <c r="BZ8" i="11" s="1"/>
  <c r="BE8" i="11"/>
  <c r="BD8" i="11"/>
  <c r="BF8" i="11" s="1"/>
  <c r="AX8" i="11"/>
  <c r="AV8" i="11"/>
  <c r="AW8" i="11" s="1"/>
  <c r="BY7" i="11"/>
  <c r="BZ7" i="11" s="1"/>
  <c r="BE7" i="11"/>
  <c r="BD7" i="11"/>
  <c r="BF7" i="11" s="1"/>
  <c r="AX7" i="11"/>
  <c r="AV7" i="11"/>
  <c r="AW7" i="11" s="1"/>
  <c r="BY6" i="11"/>
  <c r="BZ6" i="11" s="1"/>
  <c r="BE6" i="11"/>
  <c r="BD6" i="11"/>
  <c r="BF6" i="11" s="1"/>
  <c r="AX6" i="11"/>
  <c r="AV6" i="11"/>
  <c r="AW6" i="11" s="1"/>
  <c r="BY5" i="11"/>
  <c r="BZ5" i="11" s="1"/>
  <c r="BE5" i="11"/>
  <c r="BD5" i="11"/>
  <c r="BF5" i="11" s="1"/>
  <c r="AX5" i="11"/>
  <c r="AV5" i="11"/>
  <c r="AW5" i="11" s="1"/>
  <c r="BY4" i="11"/>
  <c r="BZ4" i="11" s="1"/>
  <c r="BE4" i="11"/>
  <c r="BD4" i="11"/>
  <c r="BF4" i="11" s="1"/>
  <c r="AX4" i="11"/>
  <c r="AV4" i="11"/>
  <c r="AW4" i="11" s="1"/>
  <c r="BY3" i="11"/>
  <c r="BZ3" i="11" s="1"/>
  <c r="BE3" i="11"/>
  <c r="BD3" i="11"/>
  <c r="BF3" i="11" s="1"/>
  <c r="AX3" i="11"/>
  <c r="AV3" i="11"/>
  <c r="AW3" i="11" s="1"/>
  <c r="C3" i="11"/>
  <c r="BA22" i="10"/>
  <c r="BB22" i="10" s="1"/>
  <c r="AE22" i="10"/>
  <c r="AD22" i="10"/>
  <c r="AF22" i="10" s="1"/>
  <c r="BA6" i="10"/>
  <c r="BB6" i="10" s="1"/>
  <c r="AE6" i="10"/>
  <c r="AD6" i="10"/>
  <c r="AF6" i="10" s="1"/>
  <c r="BA4" i="10"/>
  <c r="BB4" i="10" s="1"/>
  <c r="AE4" i="10"/>
  <c r="AD4" i="10"/>
  <c r="AF4" i="10" s="1"/>
  <c r="BA5" i="10"/>
  <c r="BB5" i="10" s="1"/>
  <c r="AE5" i="10"/>
  <c r="AD5" i="10"/>
  <c r="AF5" i="10" s="1"/>
  <c r="BA25" i="10"/>
  <c r="BB25" i="10" s="1"/>
  <c r="AE25" i="10"/>
  <c r="AD25" i="10"/>
  <c r="AF25" i="10" s="1"/>
  <c r="BA26" i="10"/>
  <c r="BB26" i="10" s="1"/>
  <c r="AE26" i="10"/>
  <c r="AD26" i="10"/>
  <c r="AF26" i="10" s="1"/>
  <c r="BA16" i="10"/>
  <c r="BB16" i="10" s="1"/>
  <c r="AE16" i="10"/>
  <c r="AD16" i="10"/>
  <c r="AF16" i="10" s="1"/>
  <c r="BA15" i="10"/>
  <c r="BB15" i="10" s="1"/>
  <c r="AE15" i="10"/>
  <c r="AD15" i="10"/>
  <c r="AF15" i="10" s="1"/>
  <c r="BA27" i="10"/>
  <c r="BB27" i="10" s="1"/>
  <c r="AE27" i="10"/>
  <c r="AD27" i="10"/>
  <c r="AF27" i="10" s="1"/>
  <c r="BA19" i="10"/>
  <c r="BB19" i="10" s="1"/>
  <c r="AE19" i="10"/>
  <c r="AD19" i="10"/>
  <c r="AF19" i="10" s="1"/>
  <c r="BA20" i="10"/>
  <c r="BB20" i="10" s="1"/>
  <c r="AE20" i="10"/>
  <c r="AD20" i="10"/>
  <c r="AF20" i="10" s="1"/>
  <c r="BA24" i="10"/>
  <c r="BB24" i="10" s="1"/>
  <c r="AE24" i="10"/>
  <c r="AD24" i="10"/>
  <c r="AF24" i="10" s="1"/>
  <c r="BA11" i="10"/>
  <c r="BB11" i="10" s="1"/>
  <c r="AE11" i="10"/>
  <c r="AD11" i="10"/>
  <c r="AF11" i="10" s="1"/>
  <c r="BA9" i="10"/>
  <c r="BB9" i="10" s="1"/>
  <c r="AE9" i="10"/>
  <c r="AD9" i="10"/>
  <c r="AF9" i="10" s="1"/>
  <c r="BA14" i="10"/>
  <c r="BB14" i="10" s="1"/>
  <c r="AE14" i="10"/>
  <c r="AD14" i="10"/>
  <c r="AF14" i="10" s="1"/>
  <c r="BA8" i="10"/>
  <c r="BB8" i="10" s="1"/>
  <c r="AE8" i="10"/>
  <c r="AD8" i="10"/>
  <c r="AF8" i="10" s="1"/>
  <c r="BA13" i="10"/>
  <c r="BB13" i="10" s="1"/>
  <c r="AE13" i="10"/>
  <c r="AD13" i="10"/>
  <c r="AF13" i="10" s="1"/>
  <c r="BA28" i="10"/>
  <c r="BB28" i="10" s="1"/>
  <c r="AE28" i="10"/>
  <c r="AD28" i="10"/>
  <c r="AF28" i="10" s="1"/>
  <c r="BA7" i="10"/>
  <c r="BB7" i="10" s="1"/>
  <c r="AE7" i="10"/>
  <c r="AD7" i="10"/>
  <c r="AF7" i="10" s="1"/>
  <c r="BA21" i="10"/>
  <c r="BB21" i="10" s="1"/>
  <c r="AE21" i="10"/>
  <c r="AD21" i="10"/>
  <c r="AF21" i="10" s="1"/>
  <c r="BA23" i="10"/>
  <c r="BB23" i="10" s="1"/>
  <c r="AE23" i="10"/>
  <c r="AD23" i="10"/>
  <c r="AF23" i="10" s="1"/>
  <c r="BA3" i="10"/>
  <c r="BB3" i="10" s="1"/>
  <c r="AE3" i="10"/>
  <c r="AD3" i="10"/>
  <c r="AF3" i="10" s="1"/>
  <c r="W3" i="10"/>
  <c r="BC30" i="10" l="1"/>
  <c r="BC17" i="10"/>
  <c r="BC12" i="10"/>
  <c r="CK12" i="11"/>
  <c r="CK26" i="11"/>
  <c r="CK25" i="11"/>
  <c r="CK3" i="11"/>
  <c r="CK13" i="11"/>
  <c r="CK24" i="11"/>
  <c r="CK19" i="11"/>
  <c r="CK21" i="11"/>
  <c r="CK23" i="11"/>
  <c r="CK22" i="11"/>
  <c r="CK6" i="11"/>
  <c r="CK16" i="11"/>
  <c r="CK14" i="11"/>
  <c r="CK8" i="11"/>
  <c r="CK5" i="11"/>
  <c r="CK20" i="11"/>
  <c r="CK18" i="11"/>
  <c r="CK4" i="11"/>
  <c r="CK9" i="11"/>
  <c r="CK15" i="11"/>
  <c r="CK7" i="11"/>
  <c r="CK11" i="11"/>
  <c r="CK17" i="11"/>
  <c r="CK10" i="11"/>
  <c r="AY6" i="11"/>
  <c r="AY8" i="11"/>
  <c r="AY10" i="11"/>
  <c r="AY12" i="11"/>
  <c r="AY7" i="11"/>
  <c r="AY13" i="11"/>
  <c r="BF19" i="11"/>
  <c r="AY14" i="11"/>
  <c r="BG9" i="11"/>
  <c r="AY16" i="11"/>
  <c r="BG6" i="11"/>
  <c r="BG12" i="11"/>
  <c r="BG16" i="11"/>
  <c r="AX19" i="11"/>
  <c r="AY11" i="11"/>
  <c r="X18" i="10"/>
  <c r="AG18" i="10"/>
  <c r="X29" i="10"/>
  <c r="AG29" i="10"/>
  <c r="AY9" i="11"/>
  <c r="BG18" i="11"/>
  <c r="BG7" i="11"/>
  <c r="AY4" i="11"/>
  <c r="BG11" i="11"/>
  <c r="AY15" i="11"/>
  <c r="AY17" i="11"/>
  <c r="BG4" i="11"/>
  <c r="BG13" i="11"/>
  <c r="AY3" i="11"/>
  <c r="AY5" i="11"/>
  <c r="AY18" i="11"/>
  <c r="AG6" i="10"/>
  <c r="AG4" i="10"/>
  <c r="X10" i="10"/>
  <c r="AG10" i="10"/>
  <c r="X3" i="10"/>
  <c r="X8" i="10"/>
  <c r="X23" i="10"/>
  <c r="X7" i="10"/>
  <c r="X13" i="10"/>
  <c r="X14" i="10"/>
  <c r="X11" i="10"/>
  <c r="AG7" i="10"/>
  <c r="X20" i="10"/>
  <c r="X6" i="10"/>
  <c r="AG3" i="10"/>
  <c r="AG11" i="10"/>
  <c r="AG25" i="10"/>
  <c r="X28" i="10"/>
  <c r="AG27" i="10"/>
  <c r="X19" i="10"/>
  <c r="X9" i="10"/>
  <c r="X27" i="10"/>
  <c r="X22" i="10"/>
  <c r="AG9" i="10"/>
  <c r="X24" i="10"/>
  <c r="AG20" i="10"/>
  <c r="X26" i="10"/>
  <c r="X5" i="10"/>
  <c r="AG23" i="10"/>
  <c r="AG5" i="10"/>
  <c r="AG22" i="10"/>
  <c r="AG24" i="10"/>
  <c r="X21" i="10"/>
  <c r="X15" i="10"/>
  <c r="X16" i="10"/>
  <c r="X25" i="10"/>
  <c r="X4" i="10"/>
  <c r="BG17" i="11"/>
  <c r="BG3" i="11"/>
  <c r="BG8" i="11"/>
  <c r="BG10" i="11"/>
  <c r="BG14" i="11"/>
  <c r="BG15" i="11"/>
  <c r="BG5" i="11"/>
  <c r="AG26" i="10"/>
  <c r="AG21" i="10"/>
  <c r="AG15" i="10"/>
  <c r="AG19" i="10"/>
  <c r="AG28" i="10"/>
  <c r="AG8" i="10"/>
  <c r="AG16" i="10"/>
  <c r="AG13" i="10"/>
  <c r="AG14" i="10"/>
  <c r="BC15" i="10" l="1"/>
  <c r="BC25" i="10"/>
  <c r="BC28" i="10"/>
  <c r="BC18" i="10"/>
  <c r="BC3" i="10"/>
  <c r="BC27" i="10"/>
  <c r="BC7" i="10"/>
  <c r="BC29" i="10"/>
  <c r="BC14" i="10"/>
  <c r="BC22" i="10"/>
  <c r="BC19" i="10"/>
  <c r="BC21" i="10"/>
  <c r="BC11" i="10"/>
  <c r="BC20" i="10"/>
  <c r="BC16" i="10"/>
  <c r="BC9" i="10"/>
  <c r="BC10" i="10"/>
  <c r="BC8" i="10"/>
  <c r="BC5" i="10"/>
  <c r="BC23" i="10"/>
  <c r="BC13" i="10"/>
  <c r="BC24" i="10"/>
  <c r="BC4" i="10"/>
  <c r="BC26" i="10"/>
  <c r="BC6" i="10"/>
  <c r="Z149" i="1"/>
  <c r="X149" i="1"/>
  <c r="W149" i="1"/>
  <c r="AV2" i="8" l="1"/>
  <c r="AW2" i="8" s="1"/>
  <c r="AL2" i="8"/>
  <c r="AH2" i="8"/>
  <c r="AG2" i="8"/>
  <c r="AI2" i="8" s="1"/>
  <c r="Z2" i="8"/>
  <c r="X2" i="8"/>
  <c r="W2" i="8"/>
  <c r="T2" i="8"/>
  <c r="Y2" i="8" s="1"/>
  <c r="BA90" i="1"/>
  <c r="BB90" i="1" s="1"/>
  <c r="AL90" i="1"/>
  <c r="AB2" i="8" l="1"/>
  <c r="AJ2" i="8"/>
  <c r="T90" i="1"/>
  <c r="BA79" i="1" l="1"/>
  <c r="BA81" i="1"/>
  <c r="BB81" i="1" s="1"/>
  <c r="AT81" i="1"/>
  <c r="AL81" i="1"/>
  <c r="AI81" i="1"/>
  <c r="AH81" i="1"/>
  <c r="Z81" i="1"/>
  <c r="X81" i="1"/>
  <c r="W81" i="1"/>
  <c r="T81" i="1"/>
  <c r="Y81" i="1" s="1"/>
  <c r="AB81" i="1" l="1"/>
  <c r="AJ81" i="1"/>
  <c r="Z148" i="1"/>
  <c r="BA98" i="1"/>
  <c r="BB98" i="1" s="1"/>
  <c r="AT98" i="1"/>
  <c r="AL98" i="1"/>
  <c r="AH98" i="1"/>
  <c r="AG98" i="1"/>
  <c r="AI98" i="1" s="1"/>
  <c r="Z98" i="1"/>
  <c r="X98" i="1"/>
  <c r="W98" i="1"/>
  <c r="T98" i="1"/>
  <c r="Y98" i="1" s="1"/>
  <c r="AB98" i="1" l="1"/>
  <c r="BD81" i="1"/>
  <c r="AJ98" i="1"/>
  <c r="AT90" i="1"/>
  <c r="BD90" i="1" s="1"/>
  <c r="AT95" i="1"/>
  <c r="AT96" i="1"/>
  <c r="AT97" i="1"/>
  <c r="AT99" i="1"/>
  <c r="AT101" i="1"/>
  <c r="AT100" i="1"/>
  <c r="AT103" i="1"/>
  <c r="AT102" i="1"/>
  <c r="AT104" i="1"/>
  <c r="AT105" i="1"/>
  <c r="AT107" i="1"/>
  <c r="AT109" i="1"/>
  <c r="AT108" i="1"/>
  <c r="AT110" i="1"/>
  <c r="AT112" i="1"/>
  <c r="AT111" i="1"/>
  <c r="AT113" i="1"/>
  <c r="AT114" i="1"/>
  <c r="AT115" i="1"/>
  <c r="AT116" i="1"/>
  <c r="AT117" i="1"/>
  <c r="AT118" i="1"/>
  <c r="AT119" i="1"/>
  <c r="AT121" i="1"/>
  <c r="AT120" i="1"/>
  <c r="AT122" i="1"/>
  <c r="AT123" i="1"/>
  <c r="AT124" i="1"/>
  <c r="AT125" i="1"/>
  <c r="AT126" i="1"/>
  <c r="AT127" i="1"/>
  <c r="AT128" i="1"/>
  <c r="AT130" i="1"/>
  <c r="AT131" i="1"/>
  <c r="AT132" i="1"/>
  <c r="AT134" i="1"/>
  <c r="AT133" i="1"/>
  <c r="AT135" i="1"/>
  <c r="AT136" i="1"/>
  <c r="AT137" i="1"/>
  <c r="AT138" i="1"/>
  <c r="AT139" i="1"/>
  <c r="AT140" i="1"/>
  <c r="AT141" i="1"/>
  <c r="AT142" i="1"/>
  <c r="AT143" i="1"/>
  <c r="AT144" i="1"/>
  <c r="AT145" i="1"/>
  <c r="AT146" i="1"/>
  <c r="AT148" i="1"/>
  <c r="AT147" i="1"/>
  <c r="AT150" i="1"/>
  <c r="AT149" i="1"/>
  <c r="AT151" i="1"/>
  <c r="AT152" i="1"/>
  <c r="AT155" i="1"/>
  <c r="AT153" i="1"/>
  <c r="AT154" i="1"/>
  <c r="AT157" i="1"/>
  <c r="AT156" i="1"/>
  <c r="AT159" i="1"/>
  <c r="AT158" i="1"/>
  <c r="AT160" i="1"/>
  <c r="AT161" i="1"/>
  <c r="AT162" i="1"/>
  <c r="AT163" i="1"/>
  <c r="AT164" i="1"/>
  <c r="AT165" i="1"/>
  <c r="AT166" i="1"/>
  <c r="AT167" i="1"/>
  <c r="AT168" i="1"/>
  <c r="AT169" i="1"/>
  <c r="AT170" i="1"/>
  <c r="AT171" i="1"/>
  <c r="AT172" i="1"/>
  <c r="AT173" i="1"/>
  <c r="AT174" i="1"/>
  <c r="AT175" i="1"/>
  <c r="AT176" i="1"/>
  <c r="AT177" i="1"/>
  <c r="AT178" i="1"/>
  <c r="AT179" i="1"/>
  <c r="AT180" i="1"/>
  <c r="AT181" i="1"/>
  <c r="AT182" i="1"/>
  <c r="AT183" i="1"/>
  <c r="AT184" i="1"/>
  <c r="AT185" i="1"/>
  <c r="AT186" i="1"/>
  <c r="AT187" i="1"/>
  <c r="AT188" i="1"/>
  <c r="AT190" i="1"/>
  <c r="AT189" i="1"/>
  <c r="AT191" i="1"/>
  <c r="AT192" i="1"/>
  <c r="AT193" i="1"/>
  <c r="AT194" i="1"/>
  <c r="AT195" i="1"/>
  <c r="AT196" i="1"/>
  <c r="AT197" i="1"/>
  <c r="AT198" i="1"/>
  <c r="AT199" i="1"/>
  <c r="AT201" i="1"/>
  <c r="AT200" i="1"/>
  <c r="AT202" i="1"/>
  <c r="AT203" i="1"/>
  <c r="AT204" i="1"/>
  <c r="AT207" i="1"/>
  <c r="AT206" i="1"/>
  <c r="AT205" i="1"/>
  <c r="AT3" i="1"/>
  <c r="AT4" i="1"/>
  <c r="AT5" i="1"/>
  <c r="AT6" i="1"/>
  <c r="AT7" i="1"/>
  <c r="AT8" i="1"/>
  <c r="AT9" i="1"/>
  <c r="AT10" i="1"/>
  <c r="AT11" i="1"/>
  <c r="AT12" i="1"/>
  <c r="AT14" i="1"/>
  <c r="AT13" i="1"/>
  <c r="AT15" i="1"/>
  <c r="AT16" i="1"/>
  <c r="AT20" i="1"/>
  <c r="AT19" i="1"/>
  <c r="AT18" i="1"/>
  <c r="AT17" i="1"/>
  <c r="AT21" i="1"/>
  <c r="AT22" i="1"/>
  <c r="AT24" i="1"/>
  <c r="AT23" i="1"/>
  <c r="AT26" i="1"/>
  <c r="AT25" i="1"/>
  <c r="AT27" i="1"/>
  <c r="AT28" i="1"/>
  <c r="AT29" i="1"/>
  <c r="AT30" i="1"/>
  <c r="AT31" i="1"/>
  <c r="AT35" i="1"/>
  <c r="AT34" i="1"/>
  <c r="AT33" i="1"/>
  <c r="AT32" i="1"/>
  <c r="AT37" i="1"/>
  <c r="AT36" i="1"/>
  <c r="AT40" i="1"/>
  <c r="AT39" i="1"/>
  <c r="AT38" i="1"/>
  <c r="AT41" i="1"/>
  <c r="AT43" i="1"/>
  <c r="AT42" i="1"/>
  <c r="AT44" i="1"/>
  <c r="AT45" i="1"/>
  <c r="AT46" i="1"/>
  <c r="AT48" i="1"/>
  <c r="AT47" i="1"/>
  <c r="AT49" i="1"/>
  <c r="AT51" i="1"/>
  <c r="AT50" i="1"/>
  <c r="AT52" i="1"/>
  <c r="AT53" i="1"/>
  <c r="AT54" i="1"/>
  <c r="AT55" i="1"/>
  <c r="AT57" i="1"/>
  <c r="AT56" i="1"/>
  <c r="AT58" i="1"/>
  <c r="AT59" i="1"/>
  <c r="AT60" i="1"/>
  <c r="AT61" i="1"/>
  <c r="AT62" i="1"/>
  <c r="AT63" i="1"/>
  <c r="AT65" i="1"/>
  <c r="AT66" i="1"/>
  <c r="AT67" i="1"/>
  <c r="AT68" i="1"/>
  <c r="AT69" i="1"/>
  <c r="AT70" i="1"/>
  <c r="AT71" i="1"/>
  <c r="AT72" i="1"/>
  <c r="AT73" i="1"/>
  <c r="AT75" i="1"/>
  <c r="AT74" i="1"/>
  <c r="AT76" i="1"/>
  <c r="AT77" i="1"/>
  <c r="AT78" i="1"/>
  <c r="AT80" i="1"/>
  <c r="AT79" i="1"/>
  <c r="AT82" i="1"/>
  <c r="AT83" i="1"/>
  <c r="AT84" i="1"/>
  <c r="AT85" i="1"/>
  <c r="AT86" i="1"/>
  <c r="AT87" i="1"/>
  <c r="AT88" i="1"/>
  <c r="AT89" i="1"/>
  <c r="AT92" i="1"/>
  <c r="AT93" i="1"/>
  <c r="AT94" i="1"/>
  <c r="BD98" i="1" l="1"/>
  <c r="W3" i="1"/>
  <c r="W4" i="1"/>
  <c r="W5" i="1"/>
  <c r="W6" i="1"/>
  <c r="W7" i="1"/>
  <c r="W8" i="1"/>
  <c r="W9" i="1"/>
  <c r="W10" i="1"/>
  <c r="W11" i="1"/>
  <c r="W12" i="1"/>
  <c r="W14" i="1"/>
  <c r="W13" i="1"/>
  <c r="W15" i="1"/>
  <c r="W16" i="1"/>
  <c r="W20" i="1"/>
  <c r="W19" i="1"/>
  <c r="W18" i="1"/>
  <c r="W17" i="1"/>
  <c r="W21" i="1"/>
  <c r="W22" i="1"/>
  <c r="W24" i="1"/>
  <c r="W23" i="1"/>
  <c r="W26" i="1"/>
  <c r="W25" i="1"/>
  <c r="W27" i="1"/>
  <c r="W28" i="1"/>
  <c r="W29" i="1"/>
  <c r="W30" i="1"/>
  <c r="W31" i="1"/>
  <c r="W35" i="1"/>
  <c r="W33" i="1"/>
  <c r="W32" i="1"/>
  <c r="W37" i="1"/>
  <c r="W36" i="1"/>
  <c r="W40" i="1"/>
  <c r="W39" i="1"/>
  <c r="W38" i="1"/>
  <c r="W41" i="1"/>
  <c r="W43" i="1"/>
  <c r="W42" i="1"/>
  <c r="W44" i="1"/>
  <c r="W45" i="1"/>
  <c r="W48" i="1"/>
  <c r="W47" i="1"/>
  <c r="W49" i="1"/>
  <c r="W51" i="1"/>
  <c r="W50" i="1"/>
  <c r="W52" i="1"/>
  <c r="W53" i="1"/>
  <c r="W54" i="1"/>
  <c r="W55" i="1"/>
  <c r="W57" i="1"/>
  <c r="W56" i="1"/>
  <c r="W58" i="1"/>
  <c r="W59" i="1"/>
  <c r="W60" i="1"/>
  <c r="W61" i="1"/>
  <c r="W62" i="1"/>
  <c r="W63" i="1"/>
  <c r="W65" i="1"/>
  <c r="W64" i="1"/>
  <c r="W66" i="1"/>
  <c r="W67" i="1"/>
  <c r="W68" i="1"/>
  <c r="W69" i="1"/>
  <c r="W70" i="1"/>
  <c r="W71" i="1"/>
  <c r="W72" i="1"/>
  <c r="W73" i="1"/>
  <c r="W75" i="1"/>
  <c r="W74" i="1"/>
  <c r="W76" i="1"/>
  <c r="W77" i="1"/>
  <c r="W78" i="1"/>
  <c r="W80" i="1"/>
  <c r="W79" i="1"/>
  <c r="W82" i="1"/>
  <c r="W83" i="1"/>
  <c r="W84" i="1"/>
  <c r="W85" i="1"/>
  <c r="W86" i="1"/>
  <c r="W87" i="1"/>
  <c r="W88" i="1"/>
  <c r="W89" i="1"/>
  <c r="W91" i="1"/>
  <c r="W92" i="1"/>
  <c r="W93" i="1"/>
  <c r="W94" i="1"/>
  <c r="W95" i="1"/>
  <c r="W96" i="1"/>
  <c r="W97" i="1"/>
  <c r="W99" i="1"/>
  <c r="W101" i="1"/>
  <c r="W100" i="1"/>
  <c r="W105" i="1"/>
  <c r="W110" i="1"/>
  <c r="W116" i="1"/>
  <c r="W117" i="1"/>
  <c r="W118" i="1"/>
  <c r="W121" i="1"/>
  <c r="W120" i="1"/>
  <c r="W122" i="1"/>
  <c r="W123" i="1"/>
  <c r="W125" i="1"/>
  <c r="W131" i="1"/>
  <c r="W134" i="1"/>
  <c r="W133" i="1"/>
  <c r="W135" i="1"/>
  <c r="W139" i="1"/>
  <c r="W140" i="1"/>
  <c r="W141" i="1"/>
  <c r="W144" i="1"/>
  <c r="W148" i="1"/>
  <c r="W147" i="1"/>
  <c r="W151" i="1"/>
  <c r="W152" i="1"/>
  <c r="W154" i="1"/>
  <c r="W157" i="1"/>
  <c r="W156" i="1"/>
  <c r="W159" i="1"/>
  <c r="W158" i="1"/>
  <c r="W160" i="1"/>
  <c r="W162" i="1"/>
  <c r="W163" i="1"/>
  <c r="W164" i="1"/>
  <c r="W165" i="1"/>
  <c r="W166" i="1"/>
  <c r="W167" i="1"/>
  <c r="W168" i="1"/>
  <c r="W169" i="1"/>
  <c r="W172" i="1"/>
  <c r="W174" i="1"/>
  <c r="W175" i="1"/>
  <c r="W176" i="1"/>
  <c r="W177" i="1"/>
  <c r="W178" i="1"/>
  <c r="W179" i="1"/>
  <c r="W180" i="1"/>
  <c r="W181" i="1"/>
  <c r="W182" i="1"/>
  <c r="W183" i="1"/>
  <c r="W184" i="1"/>
  <c r="W185" i="1"/>
  <c r="W187" i="1"/>
  <c r="W188" i="1"/>
  <c r="W190" i="1"/>
  <c r="W189" i="1"/>
  <c r="W191" i="1"/>
  <c r="W192" i="1"/>
  <c r="W193" i="1"/>
  <c r="W194" i="1"/>
  <c r="W195" i="1"/>
  <c r="W196" i="1"/>
  <c r="W197" i="1"/>
  <c r="W198" i="1"/>
  <c r="W199" i="1"/>
  <c r="W201" i="1"/>
  <c r="W205" i="1"/>
  <c r="W2" i="1"/>
  <c r="AI79" i="1"/>
  <c r="AH3" i="1"/>
  <c r="AH4" i="1"/>
  <c r="AH5" i="1"/>
  <c r="AH6" i="1"/>
  <c r="AH7" i="1"/>
  <c r="AH8" i="1"/>
  <c r="AH9" i="1"/>
  <c r="AH10" i="1"/>
  <c r="AH11" i="1"/>
  <c r="AH12" i="1"/>
  <c r="AH14" i="1"/>
  <c r="AH13" i="1"/>
  <c r="AH15" i="1"/>
  <c r="AH16" i="1"/>
  <c r="AH20" i="1"/>
  <c r="AH19" i="1"/>
  <c r="AH18" i="1"/>
  <c r="AH17" i="1"/>
  <c r="AH21" i="1"/>
  <c r="AH22" i="1"/>
  <c r="AH24" i="1"/>
  <c r="AH23" i="1"/>
  <c r="AH26" i="1"/>
  <c r="AH25" i="1"/>
  <c r="AH27" i="1"/>
  <c r="AH28" i="1"/>
  <c r="AH29" i="1"/>
  <c r="AH30" i="1"/>
  <c r="AH31" i="1"/>
  <c r="AH35" i="1"/>
  <c r="AH34" i="1"/>
  <c r="AH33" i="1"/>
  <c r="AH32" i="1"/>
  <c r="AH37" i="1"/>
  <c r="AH36" i="1"/>
  <c r="AH40" i="1"/>
  <c r="AH39" i="1"/>
  <c r="AH38" i="1"/>
  <c r="AH41" i="1"/>
  <c r="AH43" i="1"/>
  <c r="AH42" i="1"/>
  <c r="AH44" i="1"/>
  <c r="AH45" i="1"/>
  <c r="AH46" i="1"/>
  <c r="AH48" i="1"/>
  <c r="AH47" i="1"/>
  <c r="AH49" i="1"/>
  <c r="AH51" i="1"/>
  <c r="AH50" i="1"/>
  <c r="AH52" i="1"/>
  <c r="AH53" i="1"/>
  <c r="AH54" i="1"/>
  <c r="AH55" i="1"/>
  <c r="AH57" i="1"/>
  <c r="AH56" i="1"/>
  <c r="AH58" i="1"/>
  <c r="AH59" i="1"/>
  <c r="AH60" i="1"/>
  <c r="AH61" i="1"/>
  <c r="AH62" i="1"/>
  <c r="AH63" i="1"/>
  <c r="AH65" i="1"/>
  <c r="AH64" i="1"/>
  <c r="AH66" i="1"/>
  <c r="AH67" i="1"/>
  <c r="AH68" i="1"/>
  <c r="AH69" i="1"/>
  <c r="AH70" i="1"/>
  <c r="AH71" i="1"/>
  <c r="AH72" i="1"/>
  <c r="AH73" i="1"/>
  <c r="AH75" i="1"/>
  <c r="AH74" i="1"/>
  <c r="AH76" i="1"/>
  <c r="AH77" i="1"/>
  <c r="AH78" i="1"/>
  <c r="AH80" i="1"/>
  <c r="AH79" i="1"/>
  <c r="AH82" i="1"/>
  <c r="AH83" i="1"/>
  <c r="AH84" i="1"/>
  <c r="AH85" i="1"/>
  <c r="AH86" i="1"/>
  <c r="AH87" i="1"/>
  <c r="AH88" i="1"/>
  <c r="AH89" i="1"/>
  <c r="AH91" i="1"/>
  <c r="AH92" i="1"/>
  <c r="AH93" i="1"/>
  <c r="AH94" i="1"/>
  <c r="AH95" i="1"/>
  <c r="AH96" i="1"/>
  <c r="AH97" i="1"/>
  <c r="AH99" i="1"/>
  <c r="AH101" i="1"/>
  <c r="AH100" i="1"/>
  <c r="AH105" i="1"/>
  <c r="AH110" i="1"/>
  <c r="AH116" i="1"/>
  <c r="AH117" i="1"/>
  <c r="AH118" i="1"/>
  <c r="AH121" i="1"/>
  <c r="AH120" i="1"/>
  <c r="AH122" i="1"/>
  <c r="AH123" i="1"/>
  <c r="AH125" i="1"/>
  <c r="AH131" i="1"/>
  <c r="AH134" i="1"/>
  <c r="AH133" i="1"/>
  <c r="AH135" i="1"/>
  <c r="AH139" i="1"/>
  <c r="AH140" i="1"/>
  <c r="AH141" i="1"/>
  <c r="AH143" i="1"/>
  <c r="AH144" i="1"/>
  <c r="AH148" i="1"/>
  <c r="AH147" i="1"/>
  <c r="AH151" i="1"/>
  <c r="AH152" i="1"/>
  <c r="AH157" i="1"/>
  <c r="AH156" i="1"/>
  <c r="AH159" i="1"/>
  <c r="AH158" i="1"/>
  <c r="AH160" i="1"/>
  <c r="AH162" i="1"/>
  <c r="AH163" i="1"/>
  <c r="AH164" i="1"/>
  <c r="AH165" i="1"/>
  <c r="AH166" i="1"/>
  <c r="AH167" i="1"/>
  <c r="AH168" i="1"/>
  <c r="AH169" i="1"/>
  <c r="AH172" i="1"/>
  <c r="AH174" i="1"/>
  <c r="AH175" i="1"/>
  <c r="AH176" i="1"/>
  <c r="AH177" i="1"/>
  <c r="AH178" i="1"/>
  <c r="AH179" i="1"/>
  <c r="AH180" i="1"/>
  <c r="AH181" i="1"/>
  <c r="AH182" i="1"/>
  <c r="AH183" i="1"/>
  <c r="AH184" i="1"/>
  <c r="AH185" i="1"/>
  <c r="AH187" i="1"/>
  <c r="AH188" i="1"/>
  <c r="AH191" i="1"/>
  <c r="AH193" i="1"/>
  <c r="AH195" i="1"/>
  <c r="AH196" i="1"/>
  <c r="AH197" i="1"/>
  <c r="AH198" i="1"/>
  <c r="AH199" i="1"/>
  <c r="AH201" i="1"/>
  <c r="AH200" i="1"/>
  <c r="AH205" i="1"/>
  <c r="AH2" i="1"/>
  <c r="X3" i="1"/>
  <c r="X4" i="1"/>
  <c r="X5" i="1"/>
  <c r="X6" i="1"/>
  <c r="X7" i="1"/>
  <c r="X8" i="1"/>
  <c r="X9" i="1"/>
  <c r="X10" i="1"/>
  <c r="X11" i="1"/>
  <c r="X12" i="1"/>
  <c r="X14" i="1"/>
  <c r="X13" i="1"/>
  <c r="X15" i="1"/>
  <c r="X16" i="1"/>
  <c r="X20" i="1"/>
  <c r="X19" i="1"/>
  <c r="X18" i="1"/>
  <c r="X17" i="1"/>
  <c r="X21" i="1"/>
  <c r="X22" i="1"/>
  <c r="X24" i="1"/>
  <c r="X23" i="1"/>
  <c r="X26" i="1"/>
  <c r="X25" i="1"/>
  <c r="X27" i="1"/>
  <c r="X28" i="1"/>
  <c r="X29" i="1"/>
  <c r="X30" i="1"/>
  <c r="X31" i="1"/>
  <c r="X35" i="1"/>
  <c r="X34" i="1"/>
  <c r="X33" i="1"/>
  <c r="X32" i="1"/>
  <c r="X37" i="1"/>
  <c r="X36" i="1"/>
  <c r="X40" i="1"/>
  <c r="X39" i="1"/>
  <c r="X38" i="1"/>
  <c r="X41" i="1"/>
  <c r="X43" i="1"/>
  <c r="X42" i="1"/>
  <c r="X44" i="1"/>
  <c r="X45" i="1"/>
  <c r="X46" i="1"/>
  <c r="X48" i="1"/>
  <c r="X47" i="1"/>
  <c r="X49" i="1"/>
  <c r="X51" i="1"/>
  <c r="X50" i="1"/>
  <c r="X52" i="1"/>
  <c r="X53" i="1"/>
  <c r="X54" i="1"/>
  <c r="X55" i="1"/>
  <c r="X57" i="1"/>
  <c r="X56" i="1"/>
  <c r="X58" i="1"/>
  <c r="X59" i="1"/>
  <c r="X60" i="1"/>
  <c r="X61" i="1"/>
  <c r="X62" i="1"/>
  <c r="X63" i="1"/>
  <c r="X65" i="1"/>
  <c r="X64" i="1"/>
  <c r="X66" i="1"/>
  <c r="X67" i="1"/>
  <c r="X68" i="1"/>
  <c r="X69" i="1"/>
  <c r="X70" i="1"/>
  <c r="X71" i="1"/>
  <c r="X72" i="1"/>
  <c r="X73" i="1"/>
  <c r="X75" i="1"/>
  <c r="X74" i="1"/>
  <c r="X76" i="1"/>
  <c r="X77" i="1"/>
  <c r="X78" i="1"/>
  <c r="X80" i="1"/>
  <c r="X79" i="1"/>
  <c r="X82" i="1"/>
  <c r="X83" i="1"/>
  <c r="X84" i="1"/>
  <c r="X85" i="1"/>
  <c r="X86" i="1"/>
  <c r="X87" i="1"/>
  <c r="X88" i="1"/>
  <c r="X89" i="1"/>
  <c r="X91" i="1"/>
  <c r="X92" i="1"/>
  <c r="X93" i="1"/>
  <c r="X94" i="1"/>
  <c r="X95" i="1"/>
  <c r="X96" i="1"/>
  <c r="X97" i="1"/>
  <c r="X99" i="1"/>
  <c r="X101" i="1"/>
  <c r="X100" i="1"/>
  <c r="X105" i="1"/>
  <c r="X110" i="1"/>
  <c r="X116" i="1"/>
  <c r="X117" i="1"/>
  <c r="X118" i="1"/>
  <c r="X121" i="1"/>
  <c r="X120" i="1"/>
  <c r="X122" i="1"/>
  <c r="X123" i="1"/>
  <c r="X125" i="1"/>
  <c r="X131" i="1"/>
  <c r="X134" i="1"/>
  <c r="X133" i="1"/>
  <c r="X135" i="1"/>
  <c r="X139" i="1"/>
  <c r="X140" i="1"/>
  <c r="X141" i="1"/>
  <c r="X143" i="1"/>
  <c r="X144" i="1"/>
  <c r="X148" i="1"/>
  <c r="X147" i="1"/>
  <c r="X151" i="1"/>
  <c r="X152" i="1"/>
  <c r="X154" i="1"/>
  <c r="X157" i="1"/>
  <c r="X156" i="1"/>
  <c r="X159" i="1"/>
  <c r="X158" i="1"/>
  <c r="X160" i="1"/>
  <c r="X162" i="1"/>
  <c r="X163" i="1"/>
  <c r="X164" i="1"/>
  <c r="X165" i="1"/>
  <c r="X166" i="1"/>
  <c r="X167" i="1"/>
  <c r="X168" i="1"/>
  <c r="X169" i="1"/>
  <c r="X172" i="1"/>
  <c r="X174" i="1"/>
  <c r="X175" i="1"/>
  <c r="X176" i="1"/>
  <c r="X177" i="1"/>
  <c r="X178" i="1"/>
  <c r="X179" i="1"/>
  <c r="X180" i="1"/>
  <c r="X181" i="1"/>
  <c r="X182" i="1"/>
  <c r="X183" i="1"/>
  <c r="X184" i="1"/>
  <c r="X185" i="1"/>
  <c r="X187" i="1"/>
  <c r="X188" i="1"/>
  <c r="X190" i="1"/>
  <c r="X189" i="1"/>
  <c r="X191" i="1"/>
  <c r="X192" i="1"/>
  <c r="X193" i="1"/>
  <c r="X194" i="1"/>
  <c r="X195" i="1"/>
  <c r="X196" i="1"/>
  <c r="X197" i="1"/>
  <c r="X198" i="1"/>
  <c r="X199" i="1"/>
  <c r="X201" i="1"/>
  <c r="X205" i="1"/>
  <c r="X2" i="1"/>
  <c r="AJ79" i="1" l="1"/>
  <c r="Z3" i="1"/>
  <c r="Z4" i="1"/>
  <c r="Z5" i="1"/>
  <c r="Z6" i="1"/>
  <c r="Z7" i="1"/>
  <c r="Z8" i="1"/>
  <c r="Z9" i="1"/>
  <c r="Z10" i="1"/>
  <c r="Z11" i="1"/>
  <c r="Z12" i="1"/>
  <c r="Z14" i="1"/>
  <c r="Z13" i="1"/>
  <c r="Z15" i="1"/>
  <c r="Z16" i="1"/>
  <c r="Z20" i="1"/>
  <c r="Z19" i="1"/>
  <c r="Z18" i="1"/>
  <c r="Z17" i="1"/>
  <c r="Z21" i="1"/>
  <c r="Z22" i="1"/>
  <c r="Z24" i="1"/>
  <c r="Z23" i="1"/>
  <c r="Z26" i="1"/>
  <c r="Z25" i="1"/>
  <c r="Z27" i="1"/>
  <c r="Z28" i="1"/>
  <c r="Z29" i="1"/>
  <c r="Z30" i="1"/>
  <c r="Z31" i="1"/>
  <c r="Z35" i="1"/>
  <c r="Z34" i="1"/>
  <c r="Z33" i="1"/>
  <c r="Z32" i="1"/>
  <c r="Z37" i="1"/>
  <c r="Z36" i="1"/>
  <c r="Z40" i="1"/>
  <c r="Z39" i="1"/>
  <c r="Z38" i="1"/>
  <c r="Z41" i="1"/>
  <c r="Z43" i="1"/>
  <c r="Z42" i="1"/>
  <c r="Z44" i="1"/>
  <c r="Z45" i="1"/>
  <c r="Z46" i="1"/>
  <c r="Z48" i="1"/>
  <c r="Z47" i="1"/>
  <c r="Z49" i="1"/>
  <c r="Z51" i="1"/>
  <c r="Z50" i="1"/>
  <c r="Z52" i="1"/>
  <c r="Z53" i="1"/>
  <c r="Z54" i="1"/>
  <c r="Z55" i="1"/>
  <c r="Z57" i="1"/>
  <c r="Z56" i="1"/>
  <c r="Z58" i="1"/>
  <c r="Z59" i="1"/>
  <c r="Z60" i="1"/>
  <c r="Z61" i="1"/>
  <c r="Z62" i="1"/>
  <c r="Z63" i="1"/>
  <c r="Z65" i="1"/>
  <c r="Z64" i="1"/>
  <c r="Z66" i="1"/>
  <c r="Z67" i="1"/>
  <c r="Z68" i="1"/>
  <c r="Z69" i="1"/>
  <c r="Z70" i="1"/>
  <c r="Z71" i="1"/>
  <c r="Z72" i="1"/>
  <c r="Z73" i="1"/>
  <c r="Z75" i="1"/>
  <c r="Z74" i="1"/>
  <c r="Z76" i="1"/>
  <c r="Z77" i="1"/>
  <c r="Z78" i="1"/>
  <c r="Z80" i="1"/>
  <c r="Z79" i="1"/>
  <c r="Z82" i="1"/>
  <c r="Z83" i="1"/>
  <c r="Z84" i="1"/>
  <c r="Z85" i="1"/>
  <c r="Z86" i="1"/>
  <c r="Z87" i="1"/>
  <c r="Z88" i="1"/>
  <c r="Z89" i="1"/>
  <c r="Z91" i="1"/>
  <c r="Z92" i="1"/>
  <c r="Z93" i="1"/>
  <c r="Z94" i="1"/>
  <c r="Z95" i="1"/>
  <c r="Z96" i="1"/>
  <c r="Z97" i="1"/>
  <c r="Z99" i="1"/>
  <c r="Z101" i="1"/>
  <c r="Z100" i="1"/>
  <c r="Z105" i="1"/>
  <c r="Z110" i="1"/>
  <c r="Z116" i="1"/>
  <c r="Z117" i="1"/>
  <c r="Z118" i="1"/>
  <c r="Z121" i="1"/>
  <c r="Z143" i="1"/>
  <c r="Z154" i="1"/>
  <c r="Z157" i="1"/>
  <c r="Z163" i="1"/>
  <c r="Z164" i="1"/>
  <c r="Z165" i="1"/>
  <c r="Z166" i="1"/>
  <c r="Z167" i="1"/>
  <c r="Z168" i="1"/>
  <c r="Z169" i="1"/>
  <c r="Z174" i="1"/>
  <c r="Z178" i="1"/>
  <c r="Z179" i="1"/>
  <c r="Z182" i="1"/>
  <c r="Z183" i="1"/>
  <c r="Z187" i="1"/>
  <c r="Z193" i="1"/>
  <c r="Z195" i="1"/>
  <c r="Z197" i="1"/>
  <c r="Z198" i="1"/>
  <c r="Z199" i="1"/>
  <c r="Z201" i="1"/>
  <c r="Z205" i="1"/>
  <c r="Z2" i="1"/>
  <c r="AL4" i="1"/>
  <c r="AL7" i="1"/>
  <c r="AL8" i="1"/>
  <c r="AL15" i="1"/>
  <c r="AL18" i="1"/>
  <c r="AL22" i="1"/>
  <c r="AL27" i="1"/>
  <c r="AL28" i="1"/>
  <c r="AL32" i="1"/>
  <c r="AL40" i="1"/>
  <c r="AL41" i="1"/>
  <c r="AL43" i="1"/>
  <c r="AL42" i="1"/>
  <c r="AL46" i="1"/>
  <c r="AL51" i="1"/>
  <c r="AL50" i="1"/>
  <c r="AL52" i="1"/>
  <c r="AL55" i="1"/>
  <c r="AL56" i="1"/>
  <c r="AL58" i="1"/>
  <c r="AL63" i="1"/>
  <c r="AL65" i="1"/>
  <c r="AL69" i="1"/>
  <c r="AL76" i="1"/>
  <c r="AL78" i="1"/>
  <c r="AL82" i="1"/>
  <c r="AL83" i="1"/>
  <c r="AL92" i="1"/>
  <c r="AL93" i="1"/>
  <c r="AL94" i="1"/>
  <c r="AL99" i="1"/>
  <c r="AL103" i="1"/>
  <c r="AL107" i="1"/>
  <c r="AL112" i="1"/>
  <c r="AL124" i="1"/>
  <c r="AL125" i="1"/>
  <c r="AL127" i="1"/>
  <c r="AL131" i="1"/>
  <c r="AL134" i="1"/>
  <c r="AL133" i="1"/>
  <c r="AL135" i="1"/>
  <c r="AL136" i="1"/>
  <c r="AL138" i="1"/>
  <c r="AL141" i="1"/>
  <c r="AL143" i="1"/>
  <c r="AL145" i="1"/>
  <c r="AL146" i="1"/>
  <c r="AL148" i="1"/>
  <c r="AL147" i="1"/>
  <c r="AL151" i="1"/>
  <c r="AL152" i="1"/>
  <c r="AL157" i="1"/>
  <c r="AL156" i="1"/>
  <c r="AL159" i="1"/>
  <c r="AL158" i="1"/>
  <c r="AL160" i="1"/>
  <c r="AL161" i="1"/>
  <c r="AL162" i="1"/>
  <c r="AL163" i="1"/>
  <c r="AL170" i="1"/>
  <c r="AL172" i="1"/>
  <c r="AL173" i="1"/>
  <c r="AL174" i="1"/>
  <c r="AL176" i="1"/>
  <c r="AL177" i="1"/>
  <c r="AL178" i="1"/>
  <c r="AL179" i="1"/>
  <c r="AL181" i="1"/>
  <c r="AL182" i="1"/>
  <c r="AL183" i="1"/>
  <c r="AL185" i="1"/>
  <c r="AL186" i="1"/>
  <c r="AL187" i="1"/>
  <c r="AL190" i="1"/>
  <c r="AL191" i="1"/>
  <c r="AL194" i="1"/>
  <c r="AL195" i="1"/>
  <c r="AL197" i="1"/>
  <c r="AL198" i="1"/>
  <c r="AL199" i="1"/>
  <c r="AL201" i="1"/>
  <c r="AL200" i="1"/>
  <c r="AL202" i="1"/>
  <c r="AL204" i="1"/>
  <c r="AL206" i="1"/>
  <c r="AL205" i="1"/>
  <c r="AL2" i="1"/>
  <c r="T3" i="1"/>
  <c r="Y3" i="1" s="1"/>
  <c r="T4" i="1"/>
  <c r="Y4" i="1" s="1"/>
  <c r="T5" i="1"/>
  <c r="Y5" i="1" s="1"/>
  <c r="T6" i="1"/>
  <c r="Y6" i="1" s="1"/>
  <c r="T7" i="1"/>
  <c r="Y7" i="1" s="1"/>
  <c r="T8" i="1"/>
  <c r="Y8" i="1" s="1"/>
  <c r="T9" i="1"/>
  <c r="Y9" i="1" s="1"/>
  <c r="T10" i="1"/>
  <c r="Y10" i="1" s="1"/>
  <c r="T11" i="1"/>
  <c r="Y11" i="1" s="1"/>
  <c r="T12" i="1"/>
  <c r="Y12" i="1" s="1"/>
  <c r="T14" i="1"/>
  <c r="Y14" i="1" s="1"/>
  <c r="T13" i="1"/>
  <c r="Y13" i="1" s="1"/>
  <c r="T15" i="1"/>
  <c r="Y15" i="1" s="1"/>
  <c r="T16" i="1"/>
  <c r="Y16" i="1" s="1"/>
  <c r="T20" i="1"/>
  <c r="Y20" i="1" s="1"/>
  <c r="T19" i="1"/>
  <c r="Y19" i="1" s="1"/>
  <c r="T18" i="1"/>
  <c r="Y18" i="1" s="1"/>
  <c r="T17" i="1"/>
  <c r="Y17" i="1" s="1"/>
  <c r="T21" i="1"/>
  <c r="Y21" i="1" s="1"/>
  <c r="T22" i="1"/>
  <c r="Y22" i="1" s="1"/>
  <c r="T24" i="1"/>
  <c r="Y24" i="1" s="1"/>
  <c r="T23" i="1"/>
  <c r="Y23" i="1" s="1"/>
  <c r="T26" i="1"/>
  <c r="Y26" i="1" s="1"/>
  <c r="T25" i="1"/>
  <c r="Y25" i="1" s="1"/>
  <c r="T27" i="1"/>
  <c r="Y27" i="1" s="1"/>
  <c r="T28" i="1"/>
  <c r="Y28" i="1" s="1"/>
  <c r="T29" i="1"/>
  <c r="Y29" i="1" s="1"/>
  <c r="T30" i="1"/>
  <c r="Y30" i="1" s="1"/>
  <c r="T31" i="1"/>
  <c r="Y31" i="1" s="1"/>
  <c r="T35" i="1"/>
  <c r="Y35" i="1" s="1"/>
  <c r="T34" i="1"/>
  <c r="Y34" i="1" s="1"/>
  <c r="T33" i="1"/>
  <c r="Y33" i="1" s="1"/>
  <c r="T32" i="1"/>
  <c r="Y32" i="1" s="1"/>
  <c r="T37" i="1"/>
  <c r="Y37" i="1" s="1"/>
  <c r="T36" i="1"/>
  <c r="Y36" i="1" s="1"/>
  <c r="T40" i="1"/>
  <c r="Y40" i="1" s="1"/>
  <c r="T39" i="1"/>
  <c r="Y39" i="1" s="1"/>
  <c r="T38" i="1"/>
  <c r="Y38" i="1" s="1"/>
  <c r="T41" i="1"/>
  <c r="Y41" i="1" s="1"/>
  <c r="T43" i="1"/>
  <c r="Y43" i="1" s="1"/>
  <c r="T42" i="1"/>
  <c r="Y42" i="1" s="1"/>
  <c r="T44" i="1"/>
  <c r="Y44" i="1" s="1"/>
  <c r="T45" i="1"/>
  <c r="Y45" i="1" s="1"/>
  <c r="T46" i="1"/>
  <c r="Y46" i="1" s="1"/>
  <c r="T48" i="1"/>
  <c r="Y48" i="1" s="1"/>
  <c r="T47" i="1"/>
  <c r="Y47" i="1" s="1"/>
  <c r="T49" i="1"/>
  <c r="Y49" i="1" s="1"/>
  <c r="T51" i="1"/>
  <c r="Y51" i="1" s="1"/>
  <c r="T50" i="1"/>
  <c r="Y50" i="1" s="1"/>
  <c r="T52" i="1"/>
  <c r="Y52" i="1" s="1"/>
  <c r="T53" i="1"/>
  <c r="Y53" i="1" s="1"/>
  <c r="T54" i="1"/>
  <c r="Y54" i="1" s="1"/>
  <c r="T55" i="1"/>
  <c r="Y55" i="1" s="1"/>
  <c r="T57" i="1"/>
  <c r="Y57" i="1" s="1"/>
  <c r="T56" i="1"/>
  <c r="Y56" i="1" s="1"/>
  <c r="T58" i="1"/>
  <c r="Y58" i="1" s="1"/>
  <c r="T59" i="1"/>
  <c r="Y59" i="1" s="1"/>
  <c r="T60" i="1"/>
  <c r="Y60" i="1" s="1"/>
  <c r="T61" i="1"/>
  <c r="Y61" i="1" s="1"/>
  <c r="T62" i="1"/>
  <c r="Y62" i="1" s="1"/>
  <c r="T63" i="1"/>
  <c r="Y63" i="1" s="1"/>
  <c r="T65" i="1"/>
  <c r="Y65" i="1" s="1"/>
  <c r="T64" i="1"/>
  <c r="Y64" i="1" s="1"/>
  <c r="T66" i="1"/>
  <c r="Y66" i="1" s="1"/>
  <c r="T67" i="1"/>
  <c r="Y67" i="1" s="1"/>
  <c r="T68" i="1"/>
  <c r="Y68" i="1" s="1"/>
  <c r="T69" i="1"/>
  <c r="Y69" i="1" s="1"/>
  <c r="T70" i="1"/>
  <c r="Y70" i="1" s="1"/>
  <c r="T71" i="1"/>
  <c r="Y71" i="1" s="1"/>
  <c r="T72" i="1"/>
  <c r="Y72" i="1" s="1"/>
  <c r="T73" i="1"/>
  <c r="Y73" i="1" s="1"/>
  <c r="T75" i="1"/>
  <c r="Y75" i="1" s="1"/>
  <c r="T74" i="1"/>
  <c r="Y74" i="1" s="1"/>
  <c r="T76" i="1"/>
  <c r="Y76" i="1" s="1"/>
  <c r="T77" i="1"/>
  <c r="Y77" i="1" s="1"/>
  <c r="T78" i="1"/>
  <c r="Y78" i="1" s="1"/>
  <c r="T80" i="1"/>
  <c r="Y80" i="1" s="1"/>
  <c r="T79" i="1"/>
  <c r="Y79" i="1" s="1"/>
  <c r="T82" i="1"/>
  <c r="Y82" i="1" s="1"/>
  <c r="T83" i="1"/>
  <c r="Y83" i="1" s="1"/>
  <c r="T84" i="1"/>
  <c r="Y84" i="1" s="1"/>
  <c r="T85" i="1"/>
  <c r="Y85" i="1" s="1"/>
  <c r="T86" i="1"/>
  <c r="Y86" i="1" s="1"/>
  <c r="T87" i="1"/>
  <c r="Y87" i="1" s="1"/>
  <c r="T88" i="1"/>
  <c r="Y88" i="1" s="1"/>
  <c r="T89" i="1"/>
  <c r="Y89" i="1" s="1"/>
  <c r="T91" i="1"/>
  <c r="Y91" i="1" s="1"/>
  <c r="T92" i="1"/>
  <c r="Y92" i="1" s="1"/>
  <c r="T93" i="1"/>
  <c r="Y93" i="1" s="1"/>
  <c r="T94" i="1"/>
  <c r="Y94" i="1" s="1"/>
  <c r="T95" i="1"/>
  <c r="Y95" i="1" s="1"/>
  <c r="T96" i="1"/>
  <c r="Y96" i="1" s="1"/>
  <c r="T97" i="1"/>
  <c r="Y97" i="1" s="1"/>
  <c r="T99" i="1"/>
  <c r="Y99" i="1" s="1"/>
  <c r="T101" i="1"/>
  <c r="Y101" i="1" s="1"/>
  <c r="T100" i="1"/>
  <c r="Y100" i="1" s="1"/>
  <c r="T105" i="1"/>
  <c r="Y105" i="1" s="1"/>
  <c r="T110" i="1"/>
  <c r="Y110" i="1" s="1"/>
  <c r="T116" i="1"/>
  <c r="Y116" i="1" s="1"/>
  <c r="T117" i="1"/>
  <c r="Y117" i="1" s="1"/>
  <c r="T118" i="1"/>
  <c r="Y118" i="1" s="1"/>
  <c r="T121" i="1"/>
  <c r="Y121" i="1" s="1"/>
  <c r="T120" i="1"/>
  <c r="Y120" i="1" s="1"/>
  <c r="T122" i="1"/>
  <c r="Y122" i="1" s="1"/>
  <c r="T123" i="1"/>
  <c r="Y123" i="1" s="1"/>
  <c r="T125" i="1"/>
  <c r="Y125" i="1" s="1"/>
  <c r="T131" i="1"/>
  <c r="Y131" i="1" s="1"/>
  <c r="T134" i="1"/>
  <c r="Y134" i="1" s="1"/>
  <c r="T133" i="1"/>
  <c r="Y133" i="1" s="1"/>
  <c r="T135" i="1"/>
  <c r="Y135" i="1" s="1"/>
  <c r="T139" i="1"/>
  <c r="Y139" i="1" s="1"/>
  <c r="T140" i="1"/>
  <c r="Y140" i="1" s="1"/>
  <c r="T141" i="1"/>
  <c r="Y141" i="1" s="1"/>
  <c r="T144" i="1"/>
  <c r="Y144" i="1" s="1"/>
  <c r="T148" i="1"/>
  <c r="Y148" i="1" s="1"/>
  <c r="AB148" i="1" s="1"/>
  <c r="T147" i="1"/>
  <c r="Y147" i="1" s="1"/>
  <c r="T151" i="1"/>
  <c r="Y151" i="1" s="1"/>
  <c r="T152" i="1"/>
  <c r="Y152" i="1" s="1"/>
  <c r="T154" i="1"/>
  <c r="Y154" i="1" s="1"/>
  <c r="T157" i="1"/>
  <c r="Y157" i="1" s="1"/>
  <c r="T156" i="1"/>
  <c r="Y156" i="1" s="1"/>
  <c r="T159" i="1"/>
  <c r="Y159" i="1" s="1"/>
  <c r="T158" i="1"/>
  <c r="Y158" i="1" s="1"/>
  <c r="T160" i="1"/>
  <c r="Y160" i="1" s="1"/>
  <c r="T162" i="1"/>
  <c r="Y162" i="1" s="1"/>
  <c r="T163" i="1"/>
  <c r="Y163" i="1" s="1"/>
  <c r="T164" i="1"/>
  <c r="Y164" i="1" s="1"/>
  <c r="T165" i="1"/>
  <c r="Y165" i="1" s="1"/>
  <c r="T166" i="1"/>
  <c r="Y166" i="1" s="1"/>
  <c r="T167" i="1"/>
  <c r="Y167" i="1" s="1"/>
  <c r="T168" i="1"/>
  <c r="Y168" i="1" s="1"/>
  <c r="T169" i="1"/>
  <c r="Y169" i="1" s="1"/>
  <c r="T172" i="1"/>
  <c r="Y172" i="1" s="1"/>
  <c r="T174" i="1"/>
  <c r="Y174" i="1" s="1"/>
  <c r="T175" i="1"/>
  <c r="Y175" i="1" s="1"/>
  <c r="T176" i="1"/>
  <c r="Y176" i="1" s="1"/>
  <c r="T177" i="1"/>
  <c r="Y177" i="1" s="1"/>
  <c r="T178" i="1"/>
  <c r="Y178" i="1" s="1"/>
  <c r="T179" i="1"/>
  <c r="Y179" i="1" s="1"/>
  <c r="T180" i="1"/>
  <c r="Y180" i="1" s="1"/>
  <c r="T181" i="1"/>
  <c r="Y181" i="1" s="1"/>
  <c r="T182" i="1"/>
  <c r="Y182" i="1" s="1"/>
  <c r="T183" i="1"/>
  <c r="Y183" i="1" s="1"/>
  <c r="T184" i="1"/>
  <c r="Y184" i="1" s="1"/>
  <c r="T185" i="1"/>
  <c r="Y185" i="1" s="1"/>
  <c r="T187" i="1"/>
  <c r="Y187" i="1" s="1"/>
  <c r="T188" i="1"/>
  <c r="Y188" i="1" s="1"/>
  <c r="T190" i="1"/>
  <c r="Y190" i="1" s="1"/>
  <c r="T189" i="1"/>
  <c r="Y189" i="1" s="1"/>
  <c r="T191" i="1"/>
  <c r="Y191" i="1" s="1"/>
  <c r="T192" i="1"/>
  <c r="Y192" i="1" s="1"/>
  <c r="T193" i="1"/>
  <c r="Y193" i="1" s="1"/>
  <c r="T194" i="1"/>
  <c r="Y194" i="1" s="1"/>
  <c r="T195" i="1"/>
  <c r="Y195" i="1" s="1"/>
  <c r="T196" i="1"/>
  <c r="Y196" i="1" s="1"/>
  <c r="T197" i="1"/>
  <c r="Y197" i="1" s="1"/>
  <c r="T198" i="1"/>
  <c r="Y198" i="1" s="1"/>
  <c r="T199" i="1"/>
  <c r="Y199" i="1" s="1"/>
  <c r="T201" i="1"/>
  <c r="Y201" i="1" s="1"/>
  <c r="T205" i="1"/>
  <c r="Y205" i="1" s="1"/>
  <c r="AB197" i="1" l="1"/>
  <c r="AB34" i="1"/>
  <c r="AB13" i="1"/>
  <c r="AB14" i="1"/>
  <c r="AB198" i="1"/>
  <c r="AB205" i="1"/>
  <c r="AB199" i="1"/>
  <c r="AB201" i="1"/>
  <c r="AB95" i="1"/>
  <c r="AB84" i="1"/>
  <c r="AB73" i="1"/>
  <c r="AB63" i="1"/>
  <c r="AB167" i="1"/>
  <c r="AB117" i="1"/>
  <c r="AB22" i="1"/>
  <c r="AB12" i="1"/>
  <c r="AB53" i="1"/>
  <c r="AB169" i="1"/>
  <c r="AB96" i="1"/>
  <c r="AB75" i="1"/>
  <c r="AB65" i="1"/>
  <c r="AB54" i="1"/>
  <c r="AB44" i="1"/>
  <c r="AB168" i="1"/>
  <c r="AB118" i="1"/>
  <c r="AB94" i="1"/>
  <c r="AB83" i="1"/>
  <c r="AB72" i="1"/>
  <c r="AB62" i="1"/>
  <c r="AB52" i="1"/>
  <c r="AB43" i="1"/>
  <c r="AB35" i="1"/>
  <c r="AB195" i="1"/>
  <c r="AB85" i="1"/>
  <c r="AB33" i="1"/>
  <c r="AB23" i="1"/>
  <c r="AB4" i="1"/>
  <c r="AB8" i="1"/>
  <c r="AB121" i="1"/>
  <c r="AB28" i="1"/>
  <c r="AB47" i="1"/>
  <c r="AB19" i="1"/>
  <c r="AB42" i="1"/>
  <c r="AB24" i="1"/>
  <c r="AB3" i="1"/>
  <c r="AB178" i="1"/>
  <c r="AB101" i="1"/>
  <c r="AB77" i="1"/>
  <c r="AB174" i="1"/>
  <c r="AB99" i="1"/>
  <c r="AB87" i="1"/>
  <c r="AB76" i="1"/>
  <c r="AB66" i="1"/>
  <c r="AB57" i="1"/>
  <c r="AB46" i="1"/>
  <c r="AB37" i="1"/>
  <c r="AB25" i="1"/>
  <c r="AB16" i="1"/>
  <c r="AB6" i="1"/>
  <c r="AB79" i="1"/>
  <c r="AB70" i="1"/>
  <c r="AB60" i="1"/>
  <c r="AB182" i="1"/>
  <c r="AB97" i="1"/>
  <c r="AB86" i="1"/>
  <c r="AB74" i="1"/>
  <c r="AB64" i="1"/>
  <c r="AB55" i="1"/>
  <c r="AB45" i="1"/>
  <c r="AB32" i="1"/>
  <c r="AB26" i="1"/>
  <c r="AB15" i="1"/>
  <c r="AB5" i="1"/>
  <c r="AB164" i="1"/>
  <c r="AB105" i="1"/>
  <c r="AB91" i="1"/>
  <c r="AB59" i="1"/>
  <c r="AB49" i="1"/>
  <c r="AB39" i="1"/>
  <c r="AB29" i="1"/>
  <c r="AB18" i="1"/>
  <c r="AB27" i="1"/>
  <c r="AB100" i="1"/>
  <c r="AB40" i="1"/>
  <c r="AB56" i="1"/>
  <c r="AB48" i="1"/>
  <c r="AB7" i="1"/>
  <c r="AB166" i="1"/>
  <c r="AB116" i="1"/>
  <c r="AB71" i="1"/>
  <c r="AB61" i="1"/>
  <c r="AB50" i="1"/>
  <c r="AB41" i="1"/>
  <c r="AB31" i="1"/>
  <c r="AB21" i="1"/>
  <c r="AB11" i="1"/>
  <c r="AB36" i="1"/>
  <c r="AB82" i="1"/>
  <c r="AB51" i="1"/>
  <c r="AB38" i="1"/>
  <c r="AB193" i="1"/>
  <c r="AB88" i="1"/>
  <c r="AB93" i="1"/>
  <c r="AB187" i="1"/>
  <c r="AB67" i="1"/>
  <c r="AB20" i="1"/>
  <c r="AB183" i="1"/>
  <c r="AB154" i="1"/>
  <c r="AB165" i="1"/>
  <c r="AB110" i="1"/>
  <c r="AB92" i="1"/>
  <c r="AB30" i="1"/>
  <c r="AB17" i="1"/>
  <c r="AB10" i="1"/>
  <c r="AB80" i="1"/>
  <c r="AB69" i="1"/>
  <c r="AB9" i="1"/>
  <c r="AB157" i="1"/>
  <c r="AB179" i="1"/>
  <c r="AB163" i="1"/>
  <c r="AB89" i="1"/>
  <c r="AB78" i="1"/>
  <c r="AB68" i="1"/>
  <c r="AB58" i="1"/>
  <c r="AL5" i="1"/>
  <c r="AL6" i="1"/>
  <c r="AL9" i="1"/>
  <c r="AL10" i="1"/>
  <c r="AL11" i="1"/>
  <c r="AL12" i="1"/>
  <c r="AL14" i="1"/>
  <c r="AL13" i="1"/>
  <c r="AL16" i="1"/>
  <c r="AL20" i="1"/>
  <c r="AL19" i="1"/>
  <c r="AL17" i="1"/>
  <c r="AL21" i="1"/>
  <c r="AL24" i="1"/>
  <c r="AL23" i="1"/>
  <c r="AL26" i="1"/>
  <c r="AL25" i="1"/>
  <c r="AL29" i="1"/>
  <c r="AL30" i="1"/>
  <c r="AL31" i="1"/>
  <c r="AL35" i="1"/>
  <c r="AL34" i="1"/>
  <c r="AL33" i="1"/>
  <c r="AL37" i="1"/>
  <c r="AL36" i="1"/>
  <c r="AL39" i="1"/>
  <c r="AL38" i="1"/>
  <c r="AL44" i="1"/>
  <c r="AL45" i="1"/>
  <c r="AL48" i="1"/>
  <c r="AL47" i="1"/>
  <c r="AL49" i="1"/>
  <c r="AL53" i="1"/>
  <c r="AL54" i="1"/>
  <c r="AL57" i="1"/>
  <c r="AL59" i="1"/>
  <c r="AL60" i="1"/>
  <c r="AL61" i="1"/>
  <c r="AL62" i="1"/>
  <c r="AL64" i="1"/>
  <c r="AL66" i="1"/>
  <c r="AL67" i="1"/>
  <c r="AL68" i="1"/>
  <c r="AL70" i="1"/>
  <c r="AL71" i="1"/>
  <c r="AL72" i="1"/>
  <c r="AL73" i="1"/>
  <c r="AL75" i="1"/>
  <c r="AL74" i="1"/>
  <c r="AL77" i="1"/>
  <c r="AL80" i="1"/>
  <c r="AL79" i="1"/>
  <c r="AL84" i="1"/>
  <c r="AL85" i="1"/>
  <c r="AL86" i="1"/>
  <c r="AL87" i="1"/>
  <c r="AL88" i="1"/>
  <c r="AL89" i="1"/>
  <c r="AL95" i="1"/>
  <c r="AL96" i="1"/>
  <c r="AL97" i="1"/>
  <c r="AL101" i="1"/>
  <c r="AL100" i="1"/>
  <c r="AL102" i="1"/>
  <c r="AL104" i="1"/>
  <c r="AL105" i="1"/>
  <c r="AL106" i="1"/>
  <c r="AL109" i="1"/>
  <c r="AL108" i="1"/>
  <c r="AL110" i="1"/>
  <c r="AL111" i="1"/>
  <c r="AL113" i="1"/>
  <c r="AL114" i="1"/>
  <c r="AL115" i="1"/>
  <c r="AL116" i="1"/>
  <c r="AL117" i="1"/>
  <c r="AL118" i="1"/>
  <c r="AL119" i="1"/>
  <c r="AL121" i="1"/>
  <c r="AL120" i="1"/>
  <c r="AL122" i="1"/>
  <c r="AL123" i="1"/>
  <c r="AL126" i="1"/>
  <c r="AL128" i="1"/>
  <c r="AL129" i="1"/>
  <c r="AL130" i="1"/>
  <c r="AL132" i="1"/>
  <c r="AL137" i="1"/>
  <c r="AL139" i="1"/>
  <c r="AL140" i="1"/>
  <c r="AL142" i="1"/>
  <c r="AL144" i="1"/>
  <c r="AL150" i="1"/>
  <c r="AL149" i="1"/>
  <c r="AL155" i="1"/>
  <c r="AL153" i="1"/>
  <c r="AL154" i="1"/>
  <c r="AL164" i="1"/>
  <c r="AL165" i="1"/>
  <c r="AL166" i="1"/>
  <c r="AL167" i="1"/>
  <c r="AL168" i="1"/>
  <c r="AL169" i="1"/>
  <c r="AL171" i="1"/>
  <c r="AL175" i="1"/>
  <c r="AL180" i="1"/>
  <c r="AL184" i="1"/>
  <c r="AL188" i="1"/>
  <c r="AL189" i="1"/>
  <c r="AL192" i="1"/>
  <c r="AL193" i="1"/>
  <c r="AL196" i="1"/>
  <c r="AL203" i="1"/>
  <c r="X102" i="1"/>
  <c r="X104" i="1"/>
  <c r="X106" i="1"/>
  <c r="X107" i="1"/>
  <c r="X109" i="1"/>
  <c r="X108" i="1"/>
  <c r="X112" i="1"/>
  <c r="X111" i="1"/>
  <c r="X113" i="1"/>
  <c r="X114" i="1"/>
  <c r="X115" i="1"/>
  <c r="X119" i="1"/>
  <c r="X124" i="1"/>
  <c r="X126" i="1"/>
  <c r="X127" i="1"/>
  <c r="X128" i="1"/>
  <c r="X129" i="1"/>
  <c r="X130" i="1"/>
  <c r="X132" i="1"/>
  <c r="X136" i="1"/>
  <c r="X137" i="1"/>
  <c r="X138" i="1"/>
  <c r="X142" i="1"/>
  <c r="X145" i="1"/>
  <c r="X146" i="1"/>
  <c r="X150" i="1"/>
  <c r="X155" i="1"/>
  <c r="X153" i="1"/>
  <c r="X161" i="1"/>
  <c r="X170" i="1"/>
  <c r="X171" i="1"/>
  <c r="X173" i="1"/>
  <c r="X186" i="1"/>
  <c r="X200" i="1"/>
  <c r="X202" i="1"/>
  <c r="X203" i="1"/>
  <c r="X204" i="1"/>
  <c r="X207" i="1"/>
  <c r="X206" i="1"/>
  <c r="W102" i="1"/>
  <c r="W104" i="1"/>
  <c r="W106" i="1"/>
  <c r="W107" i="1"/>
  <c r="W109" i="1"/>
  <c r="W108" i="1"/>
  <c r="W112" i="1"/>
  <c r="W111" i="1"/>
  <c r="W113" i="1"/>
  <c r="W114" i="1"/>
  <c r="W115" i="1"/>
  <c r="W119" i="1"/>
  <c r="W124" i="1"/>
  <c r="W126" i="1"/>
  <c r="W127" i="1"/>
  <c r="W128" i="1"/>
  <c r="W129" i="1"/>
  <c r="W130" i="1"/>
  <c r="W132" i="1"/>
  <c r="W136" i="1"/>
  <c r="W137" i="1"/>
  <c r="W138" i="1"/>
  <c r="W142" i="1"/>
  <c r="W143" i="1"/>
  <c r="W145" i="1"/>
  <c r="W146" i="1"/>
  <c r="W150" i="1"/>
  <c r="W155" i="1"/>
  <c r="W153" i="1"/>
  <c r="W161" i="1"/>
  <c r="W170" i="1"/>
  <c r="W171" i="1"/>
  <c r="W173" i="1"/>
  <c r="W186" i="1"/>
  <c r="W200" i="1"/>
  <c r="W202" i="1"/>
  <c r="W203" i="1"/>
  <c r="W204" i="1"/>
  <c r="W207" i="1"/>
  <c r="W206" i="1"/>
  <c r="X103" i="1"/>
  <c r="W103" i="1"/>
  <c r="AH119" i="1"/>
  <c r="AH126" i="1"/>
  <c r="AH142" i="1"/>
  <c r="AH154" i="1"/>
  <c r="AH186" i="1"/>
  <c r="AH203" i="1"/>
  <c r="AH207" i="1"/>
  <c r="AH206" i="1"/>
  <c r="Z102" i="1"/>
  <c r="Z104" i="1"/>
  <c r="Z106" i="1"/>
  <c r="Z107" i="1"/>
  <c r="Z109" i="1"/>
  <c r="Z108" i="1"/>
  <c r="Z112" i="1"/>
  <c r="Z111" i="1"/>
  <c r="Z113" i="1"/>
  <c r="Z114" i="1"/>
  <c r="Z115" i="1"/>
  <c r="Z119" i="1"/>
  <c r="Z120" i="1"/>
  <c r="AB120" i="1" s="1"/>
  <c r="Z122" i="1"/>
  <c r="AB122" i="1" s="1"/>
  <c r="Z123" i="1"/>
  <c r="AB123" i="1" s="1"/>
  <c r="Z124" i="1"/>
  <c r="Z125" i="1"/>
  <c r="AB125" i="1" s="1"/>
  <c r="Z126" i="1"/>
  <c r="Z127" i="1"/>
  <c r="Z128" i="1"/>
  <c r="Z129" i="1"/>
  <c r="Z130" i="1"/>
  <c r="Z131" i="1"/>
  <c r="AB131" i="1" s="1"/>
  <c r="Z132" i="1"/>
  <c r="Z134" i="1"/>
  <c r="AB134" i="1" s="1"/>
  <c r="Z133" i="1"/>
  <c r="AB133" i="1" s="1"/>
  <c r="Z135" i="1"/>
  <c r="AB135" i="1" s="1"/>
  <c r="Z136" i="1"/>
  <c r="Z137" i="1"/>
  <c r="Z138" i="1"/>
  <c r="Z139" i="1"/>
  <c r="AB139" i="1" s="1"/>
  <c r="Z141" i="1"/>
  <c r="AB141" i="1" s="1"/>
  <c r="Z142" i="1"/>
  <c r="Z145" i="1"/>
  <c r="Z146" i="1"/>
  <c r="Z147" i="1"/>
  <c r="AB147" i="1" s="1"/>
  <c r="Z150" i="1"/>
  <c r="Z151" i="1"/>
  <c r="AB151" i="1" s="1"/>
  <c r="Z152" i="1"/>
  <c r="AB152" i="1" s="1"/>
  <c r="Z155" i="1"/>
  <c r="Z153" i="1"/>
  <c r="Z156" i="1"/>
  <c r="AB156" i="1" s="1"/>
  <c r="Z159" i="1"/>
  <c r="AB159" i="1" s="1"/>
  <c r="Z158" i="1"/>
  <c r="AB158" i="1" s="1"/>
  <c r="Z160" i="1"/>
  <c r="AB160" i="1" s="1"/>
  <c r="Z161" i="1"/>
  <c r="Z162" i="1"/>
  <c r="AB162" i="1" s="1"/>
  <c r="Z170" i="1"/>
  <c r="Z171" i="1"/>
  <c r="Z172" i="1"/>
  <c r="AB172" i="1" s="1"/>
  <c r="Z173" i="1"/>
  <c r="Z175" i="1"/>
  <c r="AB175" i="1" s="1"/>
  <c r="Z176" i="1"/>
  <c r="AB176" i="1" s="1"/>
  <c r="Z177" i="1"/>
  <c r="AB177" i="1" s="1"/>
  <c r="Z180" i="1"/>
  <c r="AB180" i="1" s="1"/>
  <c r="Z181" i="1"/>
  <c r="AB181" i="1" s="1"/>
  <c r="Z184" i="1"/>
  <c r="AB184" i="1" s="1"/>
  <c r="Z185" i="1"/>
  <c r="AB185" i="1" s="1"/>
  <c r="Z186" i="1"/>
  <c r="Z188" i="1"/>
  <c r="AB188" i="1" s="1"/>
  <c r="Z190" i="1"/>
  <c r="AB190" i="1" s="1"/>
  <c r="Z189" i="1"/>
  <c r="AB189" i="1" s="1"/>
  <c r="Z191" i="1"/>
  <c r="AB191" i="1" s="1"/>
  <c r="Z192" i="1"/>
  <c r="AB192" i="1" s="1"/>
  <c r="Z194" i="1"/>
  <c r="AB194" i="1" s="1"/>
  <c r="Z196" i="1"/>
  <c r="AB196" i="1" s="1"/>
  <c r="Z200" i="1"/>
  <c r="Z202" i="1"/>
  <c r="Z203" i="1"/>
  <c r="Z204" i="1"/>
  <c r="Z207" i="1"/>
  <c r="Z206" i="1"/>
  <c r="Z103" i="1"/>
  <c r="BA8" i="1"/>
  <c r="BB8" i="1" s="1"/>
  <c r="BA9" i="1"/>
  <c r="BB9" i="1" s="1"/>
  <c r="BA10" i="1"/>
  <c r="BB10" i="1" s="1"/>
  <c r="BA11" i="1"/>
  <c r="BB11" i="1" s="1"/>
  <c r="BA12" i="1"/>
  <c r="BB12" i="1" s="1"/>
  <c r="BA14" i="1"/>
  <c r="BB14" i="1" s="1"/>
  <c r="BA13" i="1"/>
  <c r="BB13" i="1" s="1"/>
  <c r="BA15" i="1"/>
  <c r="BB15" i="1" s="1"/>
  <c r="BA16" i="1"/>
  <c r="BB16" i="1" s="1"/>
  <c r="BA20" i="1"/>
  <c r="BB20" i="1" s="1"/>
  <c r="BA19" i="1"/>
  <c r="BB19" i="1" s="1"/>
  <c r="BA18" i="1"/>
  <c r="BB18" i="1" s="1"/>
  <c r="BA17" i="1"/>
  <c r="BB17" i="1" s="1"/>
  <c r="BA21" i="1"/>
  <c r="BB21" i="1" s="1"/>
  <c r="BA22" i="1"/>
  <c r="BB22" i="1" s="1"/>
  <c r="BA24" i="1"/>
  <c r="BB24" i="1" s="1"/>
  <c r="BA23" i="1"/>
  <c r="BB23" i="1" s="1"/>
  <c r="BA26" i="1"/>
  <c r="BB26" i="1" s="1"/>
  <c r="BA25" i="1"/>
  <c r="BB25" i="1" s="1"/>
  <c r="BA27" i="1"/>
  <c r="BB27" i="1" s="1"/>
  <c r="BA28" i="1"/>
  <c r="BB28" i="1" s="1"/>
  <c r="BA29" i="1"/>
  <c r="BB29" i="1" s="1"/>
  <c r="BA30" i="1"/>
  <c r="BB30" i="1" s="1"/>
  <c r="BA31" i="1"/>
  <c r="BB31" i="1" s="1"/>
  <c r="BA35" i="1"/>
  <c r="BB35" i="1" s="1"/>
  <c r="BA34" i="1"/>
  <c r="BB34" i="1" s="1"/>
  <c r="BA33" i="1"/>
  <c r="BB33" i="1" s="1"/>
  <c r="BA32" i="1"/>
  <c r="BB32" i="1" s="1"/>
  <c r="BA37" i="1"/>
  <c r="BB37" i="1" s="1"/>
  <c r="BA36" i="1"/>
  <c r="BB36" i="1" s="1"/>
  <c r="BA40" i="1"/>
  <c r="BB40" i="1" s="1"/>
  <c r="BA39" i="1"/>
  <c r="BB39" i="1" s="1"/>
  <c r="BA38" i="1"/>
  <c r="BB38" i="1" s="1"/>
  <c r="BA41" i="1"/>
  <c r="BB41" i="1" s="1"/>
  <c r="BA43" i="1"/>
  <c r="BB43" i="1" s="1"/>
  <c r="BA42" i="1"/>
  <c r="BB42" i="1" s="1"/>
  <c r="BA44" i="1"/>
  <c r="BB44" i="1" s="1"/>
  <c r="BA45" i="1"/>
  <c r="BB45" i="1" s="1"/>
  <c r="BA46" i="1"/>
  <c r="BB46" i="1" s="1"/>
  <c r="BA48" i="1"/>
  <c r="BB48" i="1" s="1"/>
  <c r="BA47" i="1"/>
  <c r="BB47" i="1" s="1"/>
  <c r="BA49" i="1"/>
  <c r="BB49" i="1" s="1"/>
  <c r="BA51" i="1"/>
  <c r="BB51" i="1" s="1"/>
  <c r="BA50" i="1"/>
  <c r="BB50" i="1" s="1"/>
  <c r="BA52" i="1"/>
  <c r="BB52" i="1" s="1"/>
  <c r="BA53" i="1"/>
  <c r="BB53" i="1" s="1"/>
  <c r="BA54" i="1"/>
  <c r="BB54" i="1" s="1"/>
  <c r="BA55" i="1"/>
  <c r="BB55" i="1" s="1"/>
  <c r="BA57" i="1"/>
  <c r="BB57" i="1" s="1"/>
  <c r="BA56" i="1"/>
  <c r="BB56" i="1" s="1"/>
  <c r="BA58" i="1"/>
  <c r="BB58" i="1" s="1"/>
  <c r="BA59" i="1"/>
  <c r="BB59" i="1" s="1"/>
  <c r="BA60" i="1"/>
  <c r="BB60" i="1" s="1"/>
  <c r="BA61" i="1"/>
  <c r="BB61" i="1" s="1"/>
  <c r="BA62" i="1"/>
  <c r="BB62" i="1" s="1"/>
  <c r="BA63" i="1"/>
  <c r="BB63" i="1" s="1"/>
  <c r="BA65" i="1"/>
  <c r="BB65" i="1" s="1"/>
  <c r="BA64" i="1"/>
  <c r="BB64" i="1" s="1"/>
  <c r="BA66" i="1"/>
  <c r="BB66" i="1" s="1"/>
  <c r="BA67" i="1"/>
  <c r="BB67" i="1" s="1"/>
  <c r="BA68" i="1"/>
  <c r="BB68" i="1" s="1"/>
  <c r="BA69" i="1"/>
  <c r="BB69" i="1" s="1"/>
  <c r="BA70" i="1"/>
  <c r="BB70" i="1" s="1"/>
  <c r="BA71" i="1"/>
  <c r="BB71" i="1" s="1"/>
  <c r="BA72" i="1"/>
  <c r="BB72" i="1" s="1"/>
  <c r="BA73" i="1"/>
  <c r="BB73" i="1" s="1"/>
  <c r="BA75" i="1"/>
  <c r="BB75" i="1" s="1"/>
  <c r="BA74" i="1"/>
  <c r="BB74" i="1" s="1"/>
  <c r="BA76" i="1"/>
  <c r="BB76" i="1" s="1"/>
  <c r="BA77" i="1"/>
  <c r="BB77" i="1" s="1"/>
  <c r="BA78" i="1"/>
  <c r="BB78" i="1" s="1"/>
  <c r="BB80" i="1"/>
  <c r="BB79" i="1"/>
  <c r="BA82" i="1"/>
  <c r="BB82" i="1" s="1"/>
  <c r="BA83" i="1"/>
  <c r="BB83" i="1" s="1"/>
  <c r="BA84" i="1"/>
  <c r="BB84" i="1" s="1"/>
  <c r="BA85" i="1"/>
  <c r="BB85" i="1" s="1"/>
  <c r="BA86" i="1"/>
  <c r="BB86" i="1" s="1"/>
  <c r="BA87" i="1"/>
  <c r="BB87" i="1" s="1"/>
  <c r="BA88" i="1"/>
  <c r="BB88" i="1" s="1"/>
  <c r="BA89" i="1"/>
  <c r="BB89" i="1" s="1"/>
  <c r="BA91" i="1"/>
  <c r="BB91" i="1" s="1"/>
  <c r="BA92" i="1"/>
  <c r="BB92" i="1" s="1"/>
  <c r="BA93" i="1"/>
  <c r="BB93" i="1" s="1"/>
  <c r="BA94" i="1"/>
  <c r="BB94" i="1" s="1"/>
  <c r="BA95" i="1"/>
  <c r="BB95" i="1" s="1"/>
  <c r="BA96" i="1"/>
  <c r="BB96" i="1" s="1"/>
  <c r="BA97" i="1"/>
  <c r="BB97" i="1" s="1"/>
  <c r="BA99" i="1"/>
  <c r="BB99" i="1" s="1"/>
  <c r="BA101" i="1"/>
  <c r="BB101" i="1" s="1"/>
  <c r="BA100" i="1"/>
  <c r="BB100" i="1" s="1"/>
  <c r="BA103" i="1"/>
  <c r="BB103" i="1" s="1"/>
  <c r="BA102" i="1"/>
  <c r="BB102" i="1" s="1"/>
  <c r="BA104" i="1"/>
  <c r="BB104" i="1" s="1"/>
  <c r="BA105" i="1"/>
  <c r="BB105" i="1" s="1"/>
  <c r="BA106" i="1"/>
  <c r="BB106" i="1" s="1"/>
  <c r="BA107" i="1"/>
  <c r="BB107" i="1" s="1"/>
  <c r="BA109" i="1"/>
  <c r="BB109" i="1" s="1"/>
  <c r="BA108" i="1"/>
  <c r="BB108" i="1" s="1"/>
  <c r="BA110" i="1"/>
  <c r="BB110" i="1" s="1"/>
  <c r="BA112" i="1"/>
  <c r="BB112" i="1" s="1"/>
  <c r="BA111" i="1"/>
  <c r="BB111" i="1" s="1"/>
  <c r="BA113" i="1"/>
  <c r="BB113" i="1" s="1"/>
  <c r="BA114" i="1"/>
  <c r="BB114" i="1" s="1"/>
  <c r="BA115" i="1"/>
  <c r="BB115" i="1" s="1"/>
  <c r="BA116" i="1"/>
  <c r="BB116" i="1" s="1"/>
  <c r="BA117" i="1"/>
  <c r="BB117" i="1" s="1"/>
  <c r="BA118" i="1"/>
  <c r="BB118" i="1" s="1"/>
  <c r="BA119" i="1"/>
  <c r="BB119" i="1" s="1"/>
  <c r="BA121" i="1"/>
  <c r="BB121" i="1" s="1"/>
  <c r="BA120" i="1"/>
  <c r="BB120" i="1" s="1"/>
  <c r="BA122" i="1"/>
  <c r="BB122" i="1" s="1"/>
  <c r="BA123" i="1"/>
  <c r="BB123" i="1" s="1"/>
  <c r="BA124" i="1"/>
  <c r="BB124" i="1" s="1"/>
  <c r="BA125" i="1"/>
  <c r="BB125" i="1" s="1"/>
  <c r="BA126" i="1"/>
  <c r="BB126" i="1" s="1"/>
  <c r="BA127" i="1"/>
  <c r="BB127" i="1" s="1"/>
  <c r="BA128" i="1"/>
  <c r="BB128" i="1" s="1"/>
  <c r="BA129" i="1"/>
  <c r="BB129" i="1" s="1"/>
  <c r="BA130" i="1"/>
  <c r="BB130" i="1" s="1"/>
  <c r="BA131" i="1"/>
  <c r="BB131" i="1" s="1"/>
  <c r="BA132" i="1"/>
  <c r="BB132" i="1" s="1"/>
  <c r="BA134" i="1"/>
  <c r="BB134" i="1" s="1"/>
  <c r="BA133" i="1"/>
  <c r="BB133" i="1" s="1"/>
  <c r="BA135" i="1"/>
  <c r="BB135" i="1" s="1"/>
  <c r="BA136" i="1"/>
  <c r="BB136" i="1" s="1"/>
  <c r="BA137" i="1"/>
  <c r="BB137" i="1" s="1"/>
  <c r="BA138" i="1"/>
  <c r="BB138" i="1" s="1"/>
  <c r="BA139" i="1"/>
  <c r="BB139" i="1" s="1"/>
  <c r="BA140" i="1"/>
  <c r="BB140" i="1" s="1"/>
  <c r="BA141" i="1"/>
  <c r="BB141" i="1" s="1"/>
  <c r="BA142" i="1"/>
  <c r="BB142" i="1" s="1"/>
  <c r="BA143" i="1"/>
  <c r="BB143" i="1" s="1"/>
  <c r="BA144" i="1"/>
  <c r="BB144" i="1" s="1"/>
  <c r="BA145" i="1"/>
  <c r="BB145" i="1" s="1"/>
  <c r="BA146" i="1"/>
  <c r="BB146" i="1" s="1"/>
  <c r="BA148" i="1"/>
  <c r="BB148" i="1" s="1"/>
  <c r="BA147" i="1"/>
  <c r="BB147" i="1" s="1"/>
  <c r="BA150" i="1"/>
  <c r="BB150" i="1" s="1"/>
  <c r="BA149" i="1"/>
  <c r="BB149" i="1" s="1"/>
  <c r="BA151" i="1"/>
  <c r="BB151" i="1" s="1"/>
  <c r="BA152" i="1"/>
  <c r="BB152" i="1" s="1"/>
  <c r="BA155" i="1"/>
  <c r="BB155" i="1" s="1"/>
  <c r="BA153" i="1"/>
  <c r="BB153" i="1" s="1"/>
  <c r="BA154" i="1"/>
  <c r="BB154" i="1" s="1"/>
  <c r="BA157" i="1"/>
  <c r="BB157" i="1" s="1"/>
  <c r="BA156" i="1"/>
  <c r="BB156" i="1" s="1"/>
  <c r="BA159" i="1"/>
  <c r="BB159" i="1" s="1"/>
  <c r="BA158" i="1"/>
  <c r="BB158" i="1" s="1"/>
  <c r="BA160" i="1"/>
  <c r="BB160" i="1" s="1"/>
  <c r="BA161" i="1"/>
  <c r="BB161" i="1" s="1"/>
  <c r="BA162" i="1"/>
  <c r="BB162" i="1" s="1"/>
  <c r="BA163" i="1"/>
  <c r="BB163" i="1" s="1"/>
  <c r="BA164" i="1"/>
  <c r="BB164" i="1" s="1"/>
  <c r="BA165" i="1"/>
  <c r="BB165" i="1" s="1"/>
  <c r="BA166" i="1"/>
  <c r="BB166" i="1" s="1"/>
  <c r="BA167" i="1"/>
  <c r="BB167" i="1" s="1"/>
  <c r="BA168" i="1"/>
  <c r="BB168" i="1" s="1"/>
  <c r="BA169" i="1"/>
  <c r="BB169" i="1" s="1"/>
  <c r="BA170" i="1"/>
  <c r="BB170" i="1" s="1"/>
  <c r="BA171" i="1"/>
  <c r="BB171" i="1" s="1"/>
  <c r="BA172" i="1"/>
  <c r="BB172" i="1" s="1"/>
  <c r="BA173" i="1"/>
  <c r="BB173" i="1" s="1"/>
  <c r="BA174" i="1"/>
  <c r="BB174" i="1" s="1"/>
  <c r="BA175" i="1"/>
  <c r="BB175" i="1" s="1"/>
  <c r="BA176" i="1"/>
  <c r="BB176" i="1" s="1"/>
  <c r="BA177" i="1"/>
  <c r="BB177" i="1" s="1"/>
  <c r="BA178" i="1"/>
  <c r="BB178" i="1" s="1"/>
  <c r="BA179" i="1"/>
  <c r="BB179" i="1" s="1"/>
  <c r="BA180" i="1"/>
  <c r="BB180" i="1" s="1"/>
  <c r="BA181" i="1"/>
  <c r="BB181" i="1" s="1"/>
  <c r="BA182" i="1"/>
  <c r="BB182" i="1" s="1"/>
  <c r="BA183" i="1"/>
  <c r="BB183" i="1" s="1"/>
  <c r="BA184" i="1"/>
  <c r="BB184" i="1" s="1"/>
  <c r="BA185" i="1"/>
  <c r="BB185" i="1" s="1"/>
  <c r="BA186" i="1"/>
  <c r="BB186" i="1" s="1"/>
  <c r="BA187" i="1"/>
  <c r="BB187" i="1" s="1"/>
  <c r="BA188" i="1"/>
  <c r="BB188" i="1" s="1"/>
  <c r="BA190" i="1"/>
  <c r="BB190" i="1" s="1"/>
  <c r="BA189" i="1"/>
  <c r="BB189" i="1" s="1"/>
  <c r="BA191" i="1"/>
  <c r="BB191" i="1" s="1"/>
  <c r="BA192" i="1"/>
  <c r="BB192" i="1" s="1"/>
  <c r="BA193" i="1"/>
  <c r="BB193" i="1" s="1"/>
  <c r="BA194" i="1"/>
  <c r="BB194" i="1" s="1"/>
  <c r="BA195" i="1"/>
  <c r="BB195" i="1" s="1"/>
  <c r="BA196" i="1"/>
  <c r="BB196" i="1" s="1"/>
  <c r="BA197" i="1"/>
  <c r="BB197" i="1" s="1"/>
  <c r="BA198" i="1"/>
  <c r="BB198" i="1" s="1"/>
  <c r="BA199" i="1"/>
  <c r="BB199" i="1" s="1"/>
  <c r="BA201" i="1"/>
  <c r="BB201" i="1" s="1"/>
  <c r="BA200" i="1"/>
  <c r="BB200" i="1" s="1"/>
  <c r="BA202" i="1"/>
  <c r="BB202" i="1" s="1"/>
  <c r="BA203" i="1"/>
  <c r="BB203" i="1" s="1"/>
  <c r="BA204" i="1"/>
  <c r="BB204" i="1" s="1"/>
  <c r="BA207" i="1"/>
  <c r="BB207" i="1" s="1"/>
  <c r="BA206" i="1"/>
  <c r="BB206" i="1" s="1"/>
  <c r="BA205" i="1"/>
  <c r="BB205" i="1" s="1"/>
  <c r="BA3" i="1"/>
  <c r="BB3" i="1" s="1"/>
  <c r="BA4" i="1"/>
  <c r="BB4" i="1" s="1"/>
  <c r="BA5" i="1"/>
  <c r="BB5" i="1" s="1"/>
  <c r="BA6" i="1"/>
  <c r="BB6" i="1" s="1"/>
  <c r="BA7" i="1"/>
  <c r="BB7" i="1" s="1"/>
  <c r="AG6" i="1"/>
  <c r="AG7" i="1"/>
  <c r="AI7" i="1" s="1"/>
  <c r="AJ7" i="1" s="1"/>
  <c r="AG8" i="1"/>
  <c r="AI8" i="1" s="1"/>
  <c r="AJ8" i="1" s="1"/>
  <c r="AG9" i="1"/>
  <c r="AI9" i="1" s="1"/>
  <c r="AJ9" i="1" s="1"/>
  <c r="AG10" i="1"/>
  <c r="AI10" i="1" s="1"/>
  <c r="AJ10" i="1" s="1"/>
  <c r="AG11" i="1"/>
  <c r="AI11" i="1" s="1"/>
  <c r="AJ11" i="1" s="1"/>
  <c r="AG12" i="1"/>
  <c r="AI12" i="1" s="1"/>
  <c r="AJ12" i="1" s="1"/>
  <c r="AG14" i="1"/>
  <c r="AI14" i="1" s="1"/>
  <c r="AJ14" i="1" s="1"/>
  <c r="AG13" i="1"/>
  <c r="AI13" i="1" s="1"/>
  <c r="AJ13" i="1" s="1"/>
  <c r="AG15" i="1"/>
  <c r="AI15" i="1" s="1"/>
  <c r="AJ15" i="1" s="1"/>
  <c r="AG16" i="1"/>
  <c r="AI16" i="1" s="1"/>
  <c r="AJ16" i="1" s="1"/>
  <c r="AG20" i="1"/>
  <c r="AI20" i="1" s="1"/>
  <c r="AJ20" i="1" s="1"/>
  <c r="AG19" i="1"/>
  <c r="AI19" i="1" s="1"/>
  <c r="AJ19" i="1" s="1"/>
  <c r="AG18" i="1"/>
  <c r="AI18" i="1" s="1"/>
  <c r="AJ18" i="1" s="1"/>
  <c r="AG17" i="1"/>
  <c r="AG21" i="1"/>
  <c r="AG22" i="1"/>
  <c r="AG24" i="1"/>
  <c r="AI24" i="1" s="1"/>
  <c r="AJ24" i="1" s="1"/>
  <c r="AG23" i="1"/>
  <c r="AI23" i="1" s="1"/>
  <c r="AJ23" i="1" s="1"/>
  <c r="AG26" i="1"/>
  <c r="AI26" i="1" s="1"/>
  <c r="AJ26" i="1" s="1"/>
  <c r="AG25" i="1"/>
  <c r="AI25" i="1" s="1"/>
  <c r="AJ25" i="1" s="1"/>
  <c r="AG27" i="1"/>
  <c r="AI27" i="1" s="1"/>
  <c r="AJ27" i="1" s="1"/>
  <c r="AG28" i="1"/>
  <c r="AI28" i="1" s="1"/>
  <c r="AJ28" i="1" s="1"/>
  <c r="AG29" i="1"/>
  <c r="AI29" i="1" s="1"/>
  <c r="AJ29" i="1" s="1"/>
  <c r="AG30" i="1"/>
  <c r="AI30" i="1" s="1"/>
  <c r="AJ30" i="1" s="1"/>
  <c r="AG31" i="1"/>
  <c r="AI31" i="1" s="1"/>
  <c r="AJ31" i="1" s="1"/>
  <c r="AG35" i="1"/>
  <c r="AI35" i="1" s="1"/>
  <c r="AJ35" i="1" s="1"/>
  <c r="AG34" i="1"/>
  <c r="AI34" i="1" s="1"/>
  <c r="AJ34" i="1" s="1"/>
  <c r="AG33" i="1"/>
  <c r="AI33" i="1" s="1"/>
  <c r="AJ33" i="1" s="1"/>
  <c r="AG32" i="1"/>
  <c r="AI32" i="1" s="1"/>
  <c r="AJ32" i="1" s="1"/>
  <c r="AG37" i="1"/>
  <c r="AG36" i="1"/>
  <c r="AG40" i="1"/>
  <c r="AG39" i="1"/>
  <c r="AI39" i="1" s="1"/>
  <c r="AJ39" i="1" s="1"/>
  <c r="AG38" i="1"/>
  <c r="AI38" i="1" s="1"/>
  <c r="AJ38" i="1" s="1"/>
  <c r="AG41" i="1"/>
  <c r="AI41" i="1" s="1"/>
  <c r="AJ41" i="1" s="1"/>
  <c r="AG43" i="1"/>
  <c r="AI43" i="1" s="1"/>
  <c r="AJ43" i="1" s="1"/>
  <c r="AG42" i="1"/>
  <c r="AI42" i="1" s="1"/>
  <c r="AJ42" i="1" s="1"/>
  <c r="AG44" i="1"/>
  <c r="AI44" i="1" s="1"/>
  <c r="AJ44" i="1" s="1"/>
  <c r="AG45" i="1"/>
  <c r="AI45" i="1" s="1"/>
  <c r="AJ45" i="1" s="1"/>
  <c r="AG46" i="1"/>
  <c r="AI46" i="1" s="1"/>
  <c r="AJ46" i="1" s="1"/>
  <c r="AG48" i="1"/>
  <c r="AI48" i="1" s="1"/>
  <c r="AJ48" i="1" s="1"/>
  <c r="AG47" i="1"/>
  <c r="AI47" i="1" s="1"/>
  <c r="AJ47" i="1" s="1"/>
  <c r="AG49" i="1"/>
  <c r="AI49" i="1" s="1"/>
  <c r="AJ49" i="1" s="1"/>
  <c r="AG51" i="1"/>
  <c r="AI51" i="1" s="1"/>
  <c r="AJ51" i="1" s="1"/>
  <c r="AG50" i="1"/>
  <c r="AI50" i="1" s="1"/>
  <c r="AJ50" i="1" s="1"/>
  <c r="AG52" i="1"/>
  <c r="AG53" i="1"/>
  <c r="AG54" i="1"/>
  <c r="AG55" i="1"/>
  <c r="AI55" i="1" s="1"/>
  <c r="AJ55" i="1" s="1"/>
  <c r="AG57" i="1"/>
  <c r="AI57" i="1" s="1"/>
  <c r="AJ57" i="1" s="1"/>
  <c r="AG56" i="1"/>
  <c r="AI56" i="1" s="1"/>
  <c r="AJ56" i="1" s="1"/>
  <c r="AG58" i="1"/>
  <c r="AI58" i="1" s="1"/>
  <c r="AJ58" i="1" s="1"/>
  <c r="AG59" i="1"/>
  <c r="AI59" i="1" s="1"/>
  <c r="AJ59" i="1" s="1"/>
  <c r="AG60" i="1"/>
  <c r="AI60" i="1" s="1"/>
  <c r="AJ60" i="1" s="1"/>
  <c r="AG61" i="1"/>
  <c r="AI61" i="1" s="1"/>
  <c r="AJ61" i="1" s="1"/>
  <c r="AG62" i="1"/>
  <c r="AI62" i="1" s="1"/>
  <c r="AJ62" i="1" s="1"/>
  <c r="AG63" i="1"/>
  <c r="AI63" i="1" s="1"/>
  <c r="AJ63" i="1" s="1"/>
  <c r="AG65" i="1"/>
  <c r="AI65" i="1" s="1"/>
  <c r="AJ65" i="1" s="1"/>
  <c r="AG64" i="1"/>
  <c r="AI64" i="1" s="1"/>
  <c r="AJ64" i="1" s="1"/>
  <c r="AG66" i="1"/>
  <c r="AI66" i="1" s="1"/>
  <c r="AJ66" i="1" s="1"/>
  <c r="AG67" i="1"/>
  <c r="AI67" i="1" s="1"/>
  <c r="AJ67" i="1" s="1"/>
  <c r="AG68" i="1"/>
  <c r="AG69" i="1"/>
  <c r="AG70" i="1"/>
  <c r="AG71" i="1"/>
  <c r="AI71" i="1" s="1"/>
  <c r="AJ71" i="1" s="1"/>
  <c r="AG72" i="1"/>
  <c r="AI72" i="1" s="1"/>
  <c r="AJ72" i="1" s="1"/>
  <c r="AG73" i="1"/>
  <c r="AI73" i="1" s="1"/>
  <c r="AJ73" i="1" s="1"/>
  <c r="AG75" i="1"/>
  <c r="AI75" i="1" s="1"/>
  <c r="AJ75" i="1" s="1"/>
  <c r="AG74" i="1"/>
  <c r="AI74" i="1" s="1"/>
  <c r="AJ74" i="1" s="1"/>
  <c r="AG76" i="1"/>
  <c r="AI76" i="1" s="1"/>
  <c r="AJ76" i="1" s="1"/>
  <c r="AG77" i="1"/>
  <c r="AI77" i="1" s="1"/>
  <c r="AJ77" i="1" s="1"/>
  <c r="AG78" i="1"/>
  <c r="AI78" i="1" s="1"/>
  <c r="AJ78" i="1" s="1"/>
  <c r="AG80" i="1"/>
  <c r="AI80" i="1" s="1"/>
  <c r="AJ80" i="1" s="1"/>
  <c r="AG82" i="1"/>
  <c r="AI82" i="1" s="1"/>
  <c r="AJ82" i="1" s="1"/>
  <c r="AG83" i="1"/>
  <c r="AI83" i="1" s="1"/>
  <c r="AJ83" i="1" s="1"/>
  <c r="AG84" i="1"/>
  <c r="AI84" i="1" s="1"/>
  <c r="AJ84" i="1" s="1"/>
  <c r="AG85" i="1"/>
  <c r="AG86" i="1"/>
  <c r="AG87" i="1"/>
  <c r="AG88" i="1"/>
  <c r="AI88" i="1" s="1"/>
  <c r="AJ88" i="1" s="1"/>
  <c r="AG89" i="1"/>
  <c r="AI89" i="1" s="1"/>
  <c r="AJ89" i="1" s="1"/>
  <c r="AG91" i="1"/>
  <c r="AI91" i="1" s="1"/>
  <c r="AJ91" i="1" s="1"/>
  <c r="AG92" i="1"/>
  <c r="AI92" i="1" s="1"/>
  <c r="AJ92" i="1" s="1"/>
  <c r="AG93" i="1"/>
  <c r="AI93" i="1" s="1"/>
  <c r="AJ93" i="1" s="1"/>
  <c r="AG94" i="1"/>
  <c r="AI94" i="1" s="1"/>
  <c r="AJ94" i="1" s="1"/>
  <c r="AG95" i="1"/>
  <c r="AI95" i="1" s="1"/>
  <c r="AJ95" i="1" s="1"/>
  <c r="AG96" i="1"/>
  <c r="AI96" i="1" s="1"/>
  <c r="AJ96" i="1" s="1"/>
  <c r="AG97" i="1"/>
  <c r="AI97" i="1" s="1"/>
  <c r="AJ97" i="1" s="1"/>
  <c r="AG99" i="1"/>
  <c r="AI99" i="1" s="1"/>
  <c r="AJ99" i="1" s="1"/>
  <c r="AG101" i="1"/>
  <c r="AI101" i="1" s="1"/>
  <c r="AJ101" i="1" s="1"/>
  <c r="AG100" i="1"/>
  <c r="AI100" i="1" s="1"/>
  <c r="AJ100" i="1" s="1"/>
  <c r="AG3" i="1"/>
  <c r="AI3" i="1" s="1"/>
  <c r="AJ3" i="1" s="1"/>
  <c r="AG4" i="1"/>
  <c r="AG5" i="1"/>
  <c r="BR215" i="2"/>
  <c r="BQ215" i="2"/>
  <c r="BP215" i="2"/>
  <c r="BM215" i="2"/>
  <c r="BL215" i="2"/>
  <c r="BK215" i="2"/>
  <c r="BR213" i="2"/>
  <c r="BQ213" i="2"/>
  <c r="BP213" i="2"/>
  <c r="BM213" i="2"/>
  <c r="BL213" i="2"/>
  <c r="BK213" i="2"/>
  <c r="BR211" i="2"/>
  <c r="BQ211" i="2"/>
  <c r="BP211" i="2"/>
  <c r="BM211" i="2"/>
  <c r="BL211" i="2"/>
  <c r="BK211" i="2"/>
  <c r="AZ206" i="2"/>
  <c r="BA206" i="2" s="1"/>
  <c r="AQ206" i="2"/>
  <c r="AM206" i="2"/>
  <c r="AK206" i="2"/>
  <c r="AF206" i="2"/>
  <c r="AE206" i="2"/>
  <c r="AG206" i="2" s="1"/>
  <c r="Y206" i="2"/>
  <c r="W206" i="2"/>
  <c r="X206" i="2" s="1"/>
  <c r="AZ205" i="2"/>
  <c r="BA205" i="2" s="1"/>
  <c r="AQ205" i="2"/>
  <c r="AM205" i="2"/>
  <c r="AK205" i="2"/>
  <c r="AF205" i="2"/>
  <c r="AE205" i="2"/>
  <c r="AG205" i="2" s="1"/>
  <c r="Y205" i="2"/>
  <c r="W205" i="2"/>
  <c r="X205" i="2" s="1"/>
  <c r="AZ204" i="2"/>
  <c r="BA204" i="2" s="1"/>
  <c r="AQ204" i="2"/>
  <c r="AM204" i="2"/>
  <c r="AK204" i="2"/>
  <c r="AF204" i="2"/>
  <c r="AE204" i="2"/>
  <c r="AG204" i="2" s="1"/>
  <c r="Y204" i="2"/>
  <c r="W204" i="2"/>
  <c r="X204" i="2" s="1"/>
  <c r="AZ203" i="2"/>
  <c r="BA203" i="2" s="1"/>
  <c r="AQ203" i="2"/>
  <c r="AM203" i="2"/>
  <c r="AK203" i="2"/>
  <c r="AF203" i="2"/>
  <c r="AE203" i="2"/>
  <c r="AG203" i="2" s="1"/>
  <c r="Y203" i="2"/>
  <c r="W203" i="2"/>
  <c r="X203" i="2" s="1"/>
  <c r="AZ202" i="2"/>
  <c r="BA202" i="2" s="1"/>
  <c r="AQ202" i="2"/>
  <c r="AM202" i="2"/>
  <c r="AK202" i="2"/>
  <c r="AF202" i="2"/>
  <c r="AE202" i="2"/>
  <c r="AG202" i="2" s="1"/>
  <c r="Y202" i="2"/>
  <c r="W202" i="2"/>
  <c r="X202" i="2" s="1"/>
  <c r="AZ201" i="2"/>
  <c r="BA201" i="2" s="1"/>
  <c r="AQ201" i="2"/>
  <c r="AM201" i="2"/>
  <c r="AK201" i="2"/>
  <c r="AF201" i="2"/>
  <c r="AE201" i="2"/>
  <c r="AG201" i="2" s="1"/>
  <c r="Y201" i="2"/>
  <c r="W201" i="2"/>
  <c r="X201" i="2" s="1"/>
  <c r="AZ200" i="2"/>
  <c r="BA200" i="2" s="1"/>
  <c r="AQ200" i="2"/>
  <c r="AM200" i="2"/>
  <c r="AK200" i="2"/>
  <c r="AF200" i="2"/>
  <c r="AE200" i="2"/>
  <c r="AG200" i="2" s="1"/>
  <c r="Y200" i="2"/>
  <c r="W200" i="2"/>
  <c r="X200" i="2" s="1"/>
  <c r="AZ199" i="2"/>
  <c r="BA199" i="2" s="1"/>
  <c r="AQ199" i="2"/>
  <c r="AM199" i="2"/>
  <c r="AK199" i="2"/>
  <c r="AF199" i="2"/>
  <c r="AE199" i="2"/>
  <c r="AG199" i="2" s="1"/>
  <c r="Y199" i="2"/>
  <c r="W199" i="2"/>
  <c r="X199" i="2" s="1"/>
  <c r="AZ198" i="2"/>
  <c r="BA198" i="2" s="1"/>
  <c r="AQ198" i="2"/>
  <c r="AM198" i="2"/>
  <c r="AK198" i="2"/>
  <c r="AF198" i="2"/>
  <c r="AE198" i="2"/>
  <c r="AG198" i="2" s="1"/>
  <c r="Y198" i="2"/>
  <c r="W198" i="2"/>
  <c r="X198" i="2" s="1"/>
  <c r="AZ197" i="2"/>
  <c r="BA197" i="2" s="1"/>
  <c r="AQ197" i="2"/>
  <c r="AM197" i="2"/>
  <c r="AK197" i="2"/>
  <c r="AF197" i="2"/>
  <c r="AE197" i="2"/>
  <c r="AG197" i="2" s="1"/>
  <c r="Y197" i="2"/>
  <c r="W197" i="2"/>
  <c r="X197" i="2" s="1"/>
  <c r="AZ196" i="2"/>
  <c r="BA196" i="2" s="1"/>
  <c r="AQ196" i="2"/>
  <c r="AM196" i="2"/>
  <c r="AK196" i="2"/>
  <c r="AF196" i="2"/>
  <c r="AE196" i="2"/>
  <c r="AG196" i="2" s="1"/>
  <c r="Y196" i="2"/>
  <c r="W196" i="2"/>
  <c r="X196" i="2" s="1"/>
  <c r="AZ195" i="2"/>
  <c r="BA195" i="2" s="1"/>
  <c r="AQ195" i="2"/>
  <c r="AM195" i="2"/>
  <c r="AK195" i="2"/>
  <c r="AF195" i="2"/>
  <c r="AE195" i="2"/>
  <c r="AG195" i="2" s="1"/>
  <c r="Y195" i="2"/>
  <c r="W195" i="2"/>
  <c r="X195" i="2" s="1"/>
  <c r="AZ194" i="2"/>
  <c r="BA194" i="2" s="1"/>
  <c r="AQ194" i="2"/>
  <c r="AO194" i="2"/>
  <c r="AM194" i="2"/>
  <c r="AK194" i="2"/>
  <c r="AF194" i="2"/>
  <c r="AE194" i="2"/>
  <c r="AG194" i="2" s="1"/>
  <c r="Y194" i="2"/>
  <c r="W194" i="2"/>
  <c r="X194" i="2" s="1"/>
  <c r="AZ193" i="2"/>
  <c r="BA193" i="2" s="1"/>
  <c r="AQ193" i="2"/>
  <c r="AM193" i="2"/>
  <c r="AK193" i="2"/>
  <c r="AF193" i="2"/>
  <c r="AE193" i="2"/>
  <c r="AG193" i="2" s="1"/>
  <c r="Y193" i="2"/>
  <c r="W193" i="2"/>
  <c r="X193" i="2" s="1"/>
  <c r="AZ192" i="2"/>
  <c r="BA192" i="2" s="1"/>
  <c r="AQ192" i="2"/>
  <c r="AO192" i="2"/>
  <c r="AM192" i="2"/>
  <c r="AK192" i="2"/>
  <c r="AF192" i="2"/>
  <c r="AE192" i="2"/>
  <c r="AG192" i="2" s="1"/>
  <c r="Y192" i="2"/>
  <c r="W192" i="2"/>
  <c r="X192" i="2" s="1"/>
  <c r="AZ191" i="2"/>
  <c r="BA191" i="2" s="1"/>
  <c r="AQ191" i="2"/>
  <c r="AM191" i="2"/>
  <c r="AK191" i="2"/>
  <c r="AF191" i="2"/>
  <c r="AE191" i="2"/>
  <c r="AG191" i="2" s="1"/>
  <c r="Y191" i="2"/>
  <c r="W191" i="2"/>
  <c r="X191" i="2" s="1"/>
  <c r="AZ190" i="2"/>
  <c r="BA190" i="2" s="1"/>
  <c r="AQ190" i="2"/>
  <c r="AM190" i="2"/>
  <c r="AK190" i="2"/>
  <c r="AF190" i="2"/>
  <c r="AE190" i="2"/>
  <c r="AG190" i="2" s="1"/>
  <c r="Y190" i="2"/>
  <c r="W190" i="2"/>
  <c r="X190" i="2" s="1"/>
  <c r="AZ189" i="2"/>
  <c r="BA189" i="2" s="1"/>
  <c r="AQ189" i="2"/>
  <c r="AM189" i="2"/>
  <c r="AK189" i="2"/>
  <c r="AF189" i="2"/>
  <c r="AE189" i="2"/>
  <c r="AG189" i="2" s="1"/>
  <c r="Y189" i="2"/>
  <c r="W189" i="2"/>
  <c r="X189" i="2" s="1"/>
  <c r="AZ188" i="2"/>
  <c r="BA188" i="2" s="1"/>
  <c r="AQ188" i="2"/>
  <c r="AM188" i="2"/>
  <c r="AK188" i="2"/>
  <c r="AF188" i="2"/>
  <c r="AE188" i="2"/>
  <c r="AG188" i="2" s="1"/>
  <c r="Y188" i="2"/>
  <c r="W188" i="2"/>
  <c r="X188" i="2" s="1"/>
  <c r="AZ187" i="2"/>
  <c r="BA187" i="2" s="1"/>
  <c r="AQ187" i="2"/>
  <c r="AM187" i="2"/>
  <c r="AK187" i="2"/>
  <c r="AF187" i="2"/>
  <c r="AE187" i="2"/>
  <c r="AG187" i="2" s="1"/>
  <c r="Y187" i="2"/>
  <c r="W187" i="2"/>
  <c r="X187" i="2" s="1"/>
  <c r="AZ186" i="2"/>
  <c r="BA186" i="2" s="1"/>
  <c r="AQ186" i="2"/>
  <c r="AM186" i="2"/>
  <c r="AK186" i="2"/>
  <c r="AF186" i="2"/>
  <c r="AE186" i="2"/>
  <c r="AG186" i="2" s="1"/>
  <c r="Y186" i="2"/>
  <c r="W186" i="2"/>
  <c r="X186" i="2" s="1"/>
  <c r="AZ185" i="2"/>
  <c r="BA185" i="2" s="1"/>
  <c r="AQ185" i="2"/>
  <c r="AO185" i="2"/>
  <c r="AM185" i="2"/>
  <c r="AK185" i="2"/>
  <c r="AF185" i="2"/>
  <c r="AE185" i="2"/>
  <c r="AG185" i="2" s="1"/>
  <c r="Y185" i="2"/>
  <c r="W185" i="2"/>
  <c r="X185" i="2" s="1"/>
  <c r="AZ184" i="2"/>
  <c r="BA184" i="2" s="1"/>
  <c r="AQ184" i="2"/>
  <c r="AM184" i="2"/>
  <c r="AK184" i="2"/>
  <c r="AF184" i="2"/>
  <c r="AE184" i="2"/>
  <c r="AG184" i="2" s="1"/>
  <c r="Y184" i="2"/>
  <c r="W184" i="2"/>
  <c r="X184" i="2" s="1"/>
  <c r="AZ183" i="2"/>
  <c r="BA183" i="2" s="1"/>
  <c r="AQ183" i="2"/>
  <c r="AM183" i="2"/>
  <c r="AK183" i="2"/>
  <c r="AF183" i="2"/>
  <c r="AE183" i="2"/>
  <c r="AG183" i="2" s="1"/>
  <c r="Y183" i="2"/>
  <c r="W183" i="2"/>
  <c r="X183" i="2" s="1"/>
  <c r="AZ182" i="2"/>
  <c r="BA182" i="2" s="1"/>
  <c r="AQ182" i="2"/>
  <c r="AO182" i="2"/>
  <c r="AM182" i="2"/>
  <c r="AK182" i="2"/>
  <c r="AF182" i="2"/>
  <c r="AE182" i="2"/>
  <c r="AG182" i="2" s="1"/>
  <c r="Y182" i="2"/>
  <c r="W182" i="2"/>
  <c r="X182" i="2" s="1"/>
  <c r="AZ181" i="2"/>
  <c r="BA181" i="2" s="1"/>
  <c r="AQ181" i="2"/>
  <c r="AM181" i="2"/>
  <c r="AK181" i="2"/>
  <c r="AF181" i="2"/>
  <c r="AE181" i="2"/>
  <c r="AG181" i="2" s="1"/>
  <c r="Y181" i="2"/>
  <c r="W181" i="2"/>
  <c r="X181" i="2" s="1"/>
  <c r="AZ180" i="2"/>
  <c r="BA180" i="2" s="1"/>
  <c r="AQ180" i="2"/>
  <c r="AM180" i="2"/>
  <c r="AK180" i="2"/>
  <c r="AF180" i="2"/>
  <c r="AE180" i="2"/>
  <c r="AG180" i="2" s="1"/>
  <c r="Y180" i="2"/>
  <c r="W180" i="2"/>
  <c r="X180" i="2" s="1"/>
  <c r="AZ179" i="2"/>
  <c r="BA179" i="2" s="1"/>
  <c r="AQ179" i="2"/>
  <c r="AM179" i="2"/>
  <c r="AK179" i="2"/>
  <c r="AF179" i="2"/>
  <c r="AE179" i="2"/>
  <c r="AG179" i="2" s="1"/>
  <c r="Y179" i="2"/>
  <c r="W179" i="2"/>
  <c r="X179" i="2" s="1"/>
  <c r="AZ178" i="2"/>
  <c r="BA178" i="2" s="1"/>
  <c r="AQ178" i="2"/>
  <c r="AM178" i="2"/>
  <c r="AK178" i="2"/>
  <c r="AF178" i="2"/>
  <c r="AE178" i="2"/>
  <c r="AG178" i="2" s="1"/>
  <c r="Y178" i="2"/>
  <c r="W178" i="2"/>
  <c r="X178" i="2" s="1"/>
  <c r="AZ177" i="2"/>
  <c r="BA177" i="2" s="1"/>
  <c r="AQ177" i="2"/>
  <c r="AM177" i="2"/>
  <c r="AK177" i="2"/>
  <c r="AF177" i="2"/>
  <c r="AE177" i="2"/>
  <c r="AG177" i="2" s="1"/>
  <c r="Y177" i="2"/>
  <c r="W177" i="2"/>
  <c r="X177" i="2" s="1"/>
  <c r="AZ176" i="2"/>
  <c r="BA176" i="2" s="1"/>
  <c r="AQ176" i="2"/>
  <c r="AM176" i="2"/>
  <c r="AK176" i="2"/>
  <c r="AF176" i="2"/>
  <c r="AE176" i="2"/>
  <c r="AG176" i="2" s="1"/>
  <c r="Y176" i="2"/>
  <c r="W176" i="2"/>
  <c r="X176" i="2" s="1"/>
  <c r="AZ175" i="2"/>
  <c r="BA175" i="2" s="1"/>
  <c r="AQ175" i="2"/>
  <c r="AM175" i="2"/>
  <c r="AK175" i="2"/>
  <c r="AF175" i="2"/>
  <c r="AE175" i="2"/>
  <c r="AG175" i="2" s="1"/>
  <c r="Y175" i="2"/>
  <c r="W175" i="2"/>
  <c r="X175" i="2" s="1"/>
  <c r="AZ174" i="2"/>
  <c r="BA174" i="2" s="1"/>
  <c r="AQ174" i="2"/>
  <c r="AM174" i="2"/>
  <c r="AK174" i="2"/>
  <c r="AF174" i="2"/>
  <c r="AE174" i="2"/>
  <c r="AG174" i="2" s="1"/>
  <c r="Y174" i="2"/>
  <c r="W174" i="2"/>
  <c r="X174" i="2" s="1"/>
  <c r="AZ173" i="2"/>
  <c r="BA173" i="2" s="1"/>
  <c r="AQ173" i="2"/>
  <c r="AM173" i="2"/>
  <c r="AK173" i="2"/>
  <c r="AF173" i="2"/>
  <c r="AE173" i="2"/>
  <c r="AG173" i="2" s="1"/>
  <c r="Y173" i="2"/>
  <c r="W173" i="2"/>
  <c r="X173" i="2" s="1"/>
  <c r="AZ172" i="2"/>
  <c r="BA172" i="2" s="1"/>
  <c r="AQ172" i="2"/>
  <c r="AM172" i="2"/>
  <c r="AK172" i="2"/>
  <c r="AF172" i="2"/>
  <c r="AE172" i="2"/>
  <c r="AG172" i="2" s="1"/>
  <c r="Y172" i="2"/>
  <c r="W172" i="2"/>
  <c r="X172" i="2" s="1"/>
  <c r="AZ171" i="2"/>
  <c r="BA171" i="2" s="1"/>
  <c r="AQ171" i="2"/>
  <c r="AM171" i="2"/>
  <c r="AK171" i="2"/>
  <c r="AF171" i="2"/>
  <c r="AE171" i="2"/>
  <c r="AG171" i="2" s="1"/>
  <c r="Y171" i="2"/>
  <c r="W171" i="2"/>
  <c r="X171" i="2" s="1"/>
  <c r="AZ170" i="2"/>
  <c r="BA170" i="2" s="1"/>
  <c r="AQ170" i="2"/>
  <c r="AF170" i="2"/>
  <c r="AE170" i="2"/>
  <c r="AG170" i="2" s="1"/>
  <c r="Y170" i="2"/>
  <c r="W170" i="2"/>
  <c r="X170" i="2" s="1"/>
  <c r="AZ169" i="2"/>
  <c r="BA169" i="2" s="1"/>
  <c r="AQ169" i="2"/>
  <c r="AM169" i="2"/>
  <c r="AK169" i="2"/>
  <c r="AF169" i="2"/>
  <c r="AE169" i="2"/>
  <c r="AG169" i="2" s="1"/>
  <c r="Y169" i="2"/>
  <c r="W169" i="2"/>
  <c r="X169" i="2" s="1"/>
  <c r="AZ168" i="2"/>
  <c r="BA168" i="2" s="1"/>
  <c r="AQ168" i="2"/>
  <c r="AO168" i="2"/>
  <c r="AM168" i="2"/>
  <c r="AK168" i="2"/>
  <c r="AF168" i="2"/>
  <c r="AE168" i="2"/>
  <c r="AG168" i="2" s="1"/>
  <c r="Y168" i="2"/>
  <c r="W168" i="2"/>
  <c r="X168" i="2" s="1"/>
  <c r="AZ167" i="2"/>
  <c r="BA167" i="2" s="1"/>
  <c r="AQ167" i="2"/>
  <c r="AM167" i="2"/>
  <c r="AK167" i="2"/>
  <c r="AF167" i="2"/>
  <c r="AE167" i="2"/>
  <c r="AG167" i="2" s="1"/>
  <c r="Y167" i="2"/>
  <c r="W167" i="2"/>
  <c r="X167" i="2" s="1"/>
  <c r="AZ166" i="2"/>
  <c r="BA166" i="2" s="1"/>
  <c r="AQ166" i="2"/>
  <c r="AM166" i="2"/>
  <c r="AK166" i="2"/>
  <c r="AF166" i="2"/>
  <c r="AE166" i="2"/>
  <c r="AG166" i="2" s="1"/>
  <c r="Y166" i="2"/>
  <c r="W166" i="2"/>
  <c r="X166" i="2" s="1"/>
  <c r="AZ165" i="2"/>
  <c r="BA165" i="2" s="1"/>
  <c r="AQ165" i="2"/>
  <c r="AO165" i="2"/>
  <c r="AM165" i="2"/>
  <c r="AK165" i="2"/>
  <c r="AF165" i="2"/>
  <c r="AE165" i="2"/>
  <c r="AG165" i="2" s="1"/>
  <c r="Y165" i="2"/>
  <c r="W165" i="2"/>
  <c r="X165" i="2" s="1"/>
  <c r="AZ164" i="2"/>
  <c r="BA164" i="2" s="1"/>
  <c r="AQ164" i="2"/>
  <c r="AO164" i="2"/>
  <c r="AM164" i="2"/>
  <c r="AK164" i="2"/>
  <c r="AF164" i="2"/>
  <c r="AE164" i="2"/>
  <c r="AG164" i="2" s="1"/>
  <c r="Y164" i="2"/>
  <c r="W164" i="2"/>
  <c r="X164" i="2" s="1"/>
  <c r="AZ163" i="2"/>
  <c r="BA163" i="2" s="1"/>
  <c r="AQ163" i="2"/>
  <c r="AM163" i="2"/>
  <c r="AK163" i="2"/>
  <c r="AF163" i="2"/>
  <c r="AE163" i="2"/>
  <c r="AG163" i="2" s="1"/>
  <c r="Y163" i="2"/>
  <c r="W163" i="2"/>
  <c r="X163" i="2" s="1"/>
  <c r="AZ162" i="2"/>
  <c r="BA162" i="2" s="1"/>
  <c r="AQ162" i="2"/>
  <c r="AM162" i="2"/>
  <c r="AK162" i="2"/>
  <c r="AF162" i="2"/>
  <c r="AE162" i="2"/>
  <c r="AG162" i="2" s="1"/>
  <c r="Y162" i="2"/>
  <c r="W162" i="2"/>
  <c r="X162" i="2" s="1"/>
  <c r="AZ161" i="2"/>
  <c r="BA161" i="2" s="1"/>
  <c r="AQ161" i="2"/>
  <c r="AF161" i="2"/>
  <c r="AE161" i="2"/>
  <c r="AG161" i="2" s="1"/>
  <c r="Y161" i="2"/>
  <c r="W161" i="2"/>
  <c r="X161" i="2" s="1"/>
  <c r="AZ160" i="2"/>
  <c r="BA160" i="2" s="1"/>
  <c r="AQ160" i="2"/>
  <c r="AM160" i="2"/>
  <c r="AK160" i="2"/>
  <c r="AF160" i="2"/>
  <c r="AE160" i="2"/>
  <c r="AG160" i="2" s="1"/>
  <c r="Y160" i="2"/>
  <c r="W160" i="2"/>
  <c r="X160" i="2" s="1"/>
  <c r="AZ159" i="2"/>
  <c r="BA159" i="2" s="1"/>
  <c r="AQ159" i="2"/>
  <c r="AM159" i="2"/>
  <c r="AK159" i="2"/>
  <c r="AF159" i="2"/>
  <c r="AE159" i="2"/>
  <c r="AG159" i="2" s="1"/>
  <c r="Y159" i="2"/>
  <c r="W159" i="2"/>
  <c r="X159" i="2" s="1"/>
  <c r="AZ158" i="2"/>
  <c r="BA158" i="2" s="1"/>
  <c r="AQ158" i="2"/>
  <c r="AM158" i="2"/>
  <c r="AK158" i="2"/>
  <c r="AF158" i="2"/>
  <c r="AE158" i="2"/>
  <c r="AG158" i="2" s="1"/>
  <c r="Y158" i="2"/>
  <c r="W158" i="2"/>
  <c r="X158" i="2" s="1"/>
  <c r="AZ157" i="2"/>
  <c r="BA157" i="2" s="1"/>
  <c r="AQ157" i="2"/>
  <c r="AM157" i="2"/>
  <c r="AK157" i="2"/>
  <c r="AF157" i="2"/>
  <c r="AE157" i="2"/>
  <c r="AG157" i="2" s="1"/>
  <c r="Y157" i="2"/>
  <c r="W157" i="2"/>
  <c r="X157" i="2" s="1"/>
  <c r="AZ156" i="2"/>
  <c r="BA156" i="2" s="1"/>
  <c r="AQ156" i="2"/>
  <c r="AM156" i="2"/>
  <c r="AK156" i="2"/>
  <c r="AF156" i="2"/>
  <c r="AE156" i="2"/>
  <c r="AG156" i="2" s="1"/>
  <c r="Y156" i="2"/>
  <c r="W156" i="2"/>
  <c r="X156" i="2" s="1"/>
  <c r="AZ155" i="2"/>
  <c r="BA155" i="2" s="1"/>
  <c r="AQ155" i="2"/>
  <c r="AM155" i="2"/>
  <c r="AK155" i="2"/>
  <c r="AF155" i="2"/>
  <c r="AE155" i="2"/>
  <c r="AG155" i="2" s="1"/>
  <c r="Y155" i="2"/>
  <c r="W155" i="2"/>
  <c r="X155" i="2" s="1"/>
  <c r="AZ154" i="2"/>
  <c r="BA154" i="2" s="1"/>
  <c r="AQ154" i="2"/>
  <c r="AM154" i="2"/>
  <c r="AK154" i="2"/>
  <c r="AF154" i="2"/>
  <c r="AE154" i="2"/>
  <c r="AG154" i="2" s="1"/>
  <c r="Y154" i="2"/>
  <c r="W154" i="2"/>
  <c r="X154" i="2" s="1"/>
  <c r="AZ153" i="2"/>
  <c r="BA153" i="2" s="1"/>
  <c r="AQ153" i="2"/>
  <c r="AF153" i="2"/>
  <c r="AE153" i="2"/>
  <c r="AG153" i="2" s="1"/>
  <c r="Y153" i="2"/>
  <c r="W153" i="2"/>
  <c r="X153" i="2" s="1"/>
  <c r="AZ152" i="2"/>
  <c r="BA152" i="2" s="1"/>
  <c r="AQ152" i="2"/>
  <c r="AM152" i="2"/>
  <c r="AK152" i="2"/>
  <c r="AF152" i="2"/>
  <c r="AE152" i="2"/>
  <c r="AG152" i="2" s="1"/>
  <c r="Y152" i="2"/>
  <c r="W152" i="2"/>
  <c r="X152" i="2" s="1"/>
  <c r="AZ151" i="2"/>
  <c r="BA151" i="2" s="1"/>
  <c r="AQ151" i="2"/>
  <c r="AM151" i="2"/>
  <c r="AK151" i="2"/>
  <c r="AF151" i="2"/>
  <c r="AE151" i="2"/>
  <c r="AG151" i="2" s="1"/>
  <c r="Y151" i="2"/>
  <c r="W151" i="2"/>
  <c r="X151" i="2" s="1"/>
  <c r="AZ150" i="2"/>
  <c r="BA150" i="2" s="1"/>
  <c r="AQ150" i="2"/>
  <c r="AM150" i="2"/>
  <c r="AK150" i="2"/>
  <c r="AF150" i="2"/>
  <c r="AE150" i="2"/>
  <c r="AG150" i="2" s="1"/>
  <c r="Y150" i="2"/>
  <c r="W150" i="2"/>
  <c r="X150" i="2" s="1"/>
  <c r="AZ149" i="2"/>
  <c r="BA149" i="2" s="1"/>
  <c r="AQ149" i="2"/>
  <c r="AM149" i="2"/>
  <c r="AK149" i="2"/>
  <c r="AF149" i="2"/>
  <c r="AE149" i="2"/>
  <c r="AG149" i="2" s="1"/>
  <c r="Y149" i="2"/>
  <c r="W149" i="2"/>
  <c r="X149" i="2" s="1"/>
  <c r="AZ148" i="2"/>
  <c r="BA148" i="2" s="1"/>
  <c r="AQ148" i="2"/>
  <c r="AM148" i="2"/>
  <c r="AK148" i="2"/>
  <c r="AF148" i="2"/>
  <c r="AE148" i="2"/>
  <c r="AG148" i="2" s="1"/>
  <c r="Y148" i="2"/>
  <c r="W148" i="2"/>
  <c r="X148" i="2" s="1"/>
  <c r="AZ147" i="2"/>
  <c r="BA147" i="2" s="1"/>
  <c r="AQ147" i="2"/>
  <c r="AM147" i="2"/>
  <c r="AK147" i="2"/>
  <c r="AF147" i="2"/>
  <c r="AE147" i="2"/>
  <c r="AG147" i="2" s="1"/>
  <c r="Y147" i="2"/>
  <c r="W147" i="2"/>
  <c r="X147" i="2" s="1"/>
  <c r="AZ146" i="2"/>
  <c r="BA146" i="2" s="1"/>
  <c r="AQ146" i="2"/>
  <c r="AO146" i="2"/>
  <c r="AM146" i="2"/>
  <c r="AK146" i="2"/>
  <c r="AF146" i="2"/>
  <c r="AE146" i="2"/>
  <c r="AG146" i="2" s="1"/>
  <c r="Y146" i="2"/>
  <c r="W146" i="2"/>
  <c r="X146" i="2" s="1"/>
  <c r="AZ145" i="2"/>
  <c r="BA145" i="2" s="1"/>
  <c r="AQ145" i="2"/>
  <c r="AO145" i="2"/>
  <c r="AM145" i="2"/>
  <c r="AK145" i="2"/>
  <c r="AF145" i="2"/>
  <c r="AE145" i="2"/>
  <c r="AG145" i="2" s="1"/>
  <c r="Y145" i="2"/>
  <c r="W145" i="2"/>
  <c r="X145" i="2" s="1"/>
  <c r="AZ144" i="2"/>
  <c r="BA144" i="2" s="1"/>
  <c r="AQ144" i="2"/>
  <c r="AM144" i="2"/>
  <c r="AK144" i="2"/>
  <c r="AF144" i="2"/>
  <c r="AE144" i="2"/>
  <c r="AG144" i="2" s="1"/>
  <c r="Y144" i="2"/>
  <c r="W144" i="2"/>
  <c r="X144" i="2" s="1"/>
  <c r="AZ143" i="2"/>
  <c r="BA143" i="2" s="1"/>
  <c r="AQ143" i="2"/>
  <c r="AM143" i="2"/>
  <c r="AK143" i="2"/>
  <c r="AF143" i="2"/>
  <c r="AE143" i="2"/>
  <c r="AG143" i="2" s="1"/>
  <c r="Y143" i="2"/>
  <c r="W143" i="2"/>
  <c r="X143" i="2" s="1"/>
  <c r="AZ142" i="2"/>
  <c r="BA142" i="2" s="1"/>
  <c r="AQ142" i="2"/>
  <c r="AM142" i="2"/>
  <c r="AK142" i="2"/>
  <c r="AF142" i="2"/>
  <c r="AE142" i="2"/>
  <c r="AG142" i="2" s="1"/>
  <c r="Y142" i="2"/>
  <c r="W142" i="2"/>
  <c r="X142" i="2" s="1"/>
  <c r="AZ141" i="2"/>
  <c r="BA141" i="2" s="1"/>
  <c r="AQ141" i="2"/>
  <c r="AM141" i="2"/>
  <c r="AK141" i="2"/>
  <c r="AF141" i="2"/>
  <c r="AE141" i="2"/>
  <c r="AG141" i="2" s="1"/>
  <c r="Y141" i="2"/>
  <c r="W141" i="2"/>
  <c r="X141" i="2" s="1"/>
  <c r="AZ140" i="2"/>
  <c r="BA140" i="2" s="1"/>
  <c r="AQ140" i="2"/>
  <c r="AM140" i="2"/>
  <c r="AK140" i="2"/>
  <c r="AF140" i="2"/>
  <c r="AE140" i="2"/>
  <c r="AG140" i="2" s="1"/>
  <c r="Y140" i="2"/>
  <c r="W140" i="2"/>
  <c r="X140" i="2" s="1"/>
  <c r="AZ139" i="2"/>
  <c r="BA139" i="2" s="1"/>
  <c r="AQ139" i="2"/>
  <c r="AM139" i="2"/>
  <c r="AK139" i="2"/>
  <c r="AF139" i="2"/>
  <c r="AE139" i="2"/>
  <c r="AG139" i="2" s="1"/>
  <c r="Y139" i="2"/>
  <c r="W139" i="2"/>
  <c r="X139" i="2" s="1"/>
  <c r="AZ138" i="2"/>
  <c r="BA138" i="2" s="1"/>
  <c r="AQ138" i="2"/>
  <c r="AM138" i="2"/>
  <c r="AK138" i="2"/>
  <c r="AF138" i="2"/>
  <c r="AE138" i="2"/>
  <c r="AG138" i="2" s="1"/>
  <c r="Y138" i="2"/>
  <c r="W138" i="2"/>
  <c r="X138" i="2" s="1"/>
  <c r="AZ137" i="2"/>
  <c r="BA137" i="2" s="1"/>
  <c r="AQ137" i="2"/>
  <c r="AM137" i="2"/>
  <c r="AK137" i="2"/>
  <c r="AF137" i="2"/>
  <c r="AE137" i="2"/>
  <c r="AG137" i="2" s="1"/>
  <c r="Y137" i="2"/>
  <c r="W137" i="2"/>
  <c r="X137" i="2" s="1"/>
  <c r="AZ136" i="2"/>
  <c r="BA136" i="2" s="1"/>
  <c r="AQ136" i="2"/>
  <c r="AM136" i="2"/>
  <c r="AK136" i="2"/>
  <c r="AF136" i="2"/>
  <c r="AE136" i="2"/>
  <c r="AG136" i="2" s="1"/>
  <c r="Y136" i="2"/>
  <c r="W136" i="2"/>
  <c r="X136" i="2" s="1"/>
  <c r="AZ135" i="2"/>
  <c r="BA135" i="2" s="1"/>
  <c r="AQ135" i="2"/>
  <c r="AO135" i="2"/>
  <c r="AM135" i="2"/>
  <c r="AK135" i="2"/>
  <c r="AF135" i="2"/>
  <c r="AE135" i="2"/>
  <c r="AG135" i="2" s="1"/>
  <c r="Y135" i="2"/>
  <c r="W135" i="2"/>
  <c r="X135" i="2" s="1"/>
  <c r="AZ134" i="2"/>
  <c r="BA134" i="2" s="1"/>
  <c r="AQ134" i="2"/>
  <c r="AM134" i="2"/>
  <c r="AK134" i="2"/>
  <c r="AF134" i="2"/>
  <c r="AE134" i="2"/>
  <c r="AG134" i="2" s="1"/>
  <c r="Y134" i="2"/>
  <c r="W134" i="2"/>
  <c r="X134" i="2" s="1"/>
  <c r="AZ133" i="2"/>
  <c r="BA133" i="2" s="1"/>
  <c r="AQ133" i="2"/>
  <c r="AM133" i="2"/>
  <c r="AK133" i="2"/>
  <c r="AF133" i="2"/>
  <c r="AE133" i="2"/>
  <c r="AG133" i="2" s="1"/>
  <c r="Y133" i="2"/>
  <c r="W133" i="2"/>
  <c r="X133" i="2" s="1"/>
  <c r="AZ132" i="2"/>
  <c r="BA132" i="2" s="1"/>
  <c r="AQ132" i="2"/>
  <c r="AM132" i="2"/>
  <c r="AK132" i="2"/>
  <c r="AF132" i="2"/>
  <c r="AE132" i="2"/>
  <c r="AG132" i="2" s="1"/>
  <c r="Y132" i="2"/>
  <c r="W132" i="2"/>
  <c r="X132" i="2" s="1"/>
  <c r="AZ131" i="2"/>
  <c r="BA131" i="2" s="1"/>
  <c r="AQ131" i="2"/>
  <c r="AM131" i="2"/>
  <c r="AK131" i="2"/>
  <c r="AF131" i="2"/>
  <c r="AE131" i="2"/>
  <c r="AG131" i="2" s="1"/>
  <c r="Y131" i="2"/>
  <c r="W131" i="2"/>
  <c r="X131" i="2" s="1"/>
  <c r="AZ130" i="2"/>
  <c r="BA130" i="2" s="1"/>
  <c r="AQ130" i="2"/>
  <c r="AO130" i="2"/>
  <c r="AM130" i="2"/>
  <c r="AK130" i="2"/>
  <c r="AF130" i="2"/>
  <c r="AE130" i="2"/>
  <c r="AG130" i="2" s="1"/>
  <c r="Y130" i="2"/>
  <c r="W130" i="2"/>
  <c r="X130" i="2" s="1"/>
  <c r="AZ129" i="2"/>
  <c r="BA129" i="2" s="1"/>
  <c r="AQ129" i="2"/>
  <c r="AO129" i="2"/>
  <c r="AM129" i="2"/>
  <c r="AK129" i="2"/>
  <c r="AF129" i="2"/>
  <c r="AE129" i="2"/>
  <c r="AG129" i="2" s="1"/>
  <c r="Y129" i="2"/>
  <c r="W129" i="2"/>
  <c r="X129" i="2" s="1"/>
  <c r="AZ128" i="2"/>
  <c r="BA128" i="2" s="1"/>
  <c r="AQ128" i="2"/>
  <c r="AM128" i="2"/>
  <c r="AK128" i="2"/>
  <c r="AF128" i="2"/>
  <c r="AE128" i="2"/>
  <c r="AG128" i="2" s="1"/>
  <c r="Y128" i="2"/>
  <c r="W128" i="2"/>
  <c r="X128" i="2" s="1"/>
  <c r="AZ127" i="2"/>
  <c r="BA127" i="2" s="1"/>
  <c r="AQ127" i="2"/>
  <c r="AM127" i="2"/>
  <c r="AK127" i="2"/>
  <c r="AF127" i="2"/>
  <c r="AE127" i="2"/>
  <c r="AG127" i="2" s="1"/>
  <c r="Y127" i="2"/>
  <c r="W127" i="2"/>
  <c r="X127" i="2" s="1"/>
  <c r="AZ126" i="2"/>
  <c r="BA126" i="2" s="1"/>
  <c r="AQ126" i="2"/>
  <c r="AM126" i="2"/>
  <c r="AK126" i="2"/>
  <c r="AF126" i="2"/>
  <c r="AE126" i="2"/>
  <c r="AG126" i="2" s="1"/>
  <c r="Y126" i="2"/>
  <c r="W126" i="2"/>
  <c r="X126" i="2" s="1"/>
  <c r="AZ125" i="2"/>
  <c r="BA125" i="2" s="1"/>
  <c r="AQ125" i="2"/>
  <c r="AM125" i="2"/>
  <c r="AK125" i="2"/>
  <c r="AF125" i="2"/>
  <c r="AE125" i="2"/>
  <c r="AG125" i="2" s="1"/>
  <c r="Y125" i="2"/>
  <c r="W125" i="2"/>
  <c r="X125" i="2" s="1"/>
  <c r="AZ124" i="2"/>
  <c r="BA124" i="2" s="1"/>
  <c r="AQ124" i="2"/>
  <c r="AM124" i="2"/>
  <c r="AK124" i="2"/>
  <c r="AF124" i="2"/>
  <c r="AE124" i="2"/>
  <c r="AG124" i="2" s="1"/>
  <c r="Y124" i="2"/>
  <c r="W124" i="2"/>
  <c r="X124" i="2" s="1"/>
  <c r="AZ123" i="2"/>
  <c r="BA123" i="2" s="1"/>
  <c r="AQ123" i="2"/>
  <c r="AM123" i="2"/>
  <c r="AK123" i="2"/>
  <c r="AF123" i="2"/>
  <c r="AE123" i="2"/>
  <c r="AG123" i="2" s="1"/>
  <c r="Y123" i="2"/>
  <c r="W123" i="2"/>
  <c r="X123" i="2" s="1"/>
  <c r="AZ122" i="2"/>
  <c r="BA122" i="2" s="1"/>
  <c r="AQ122" i="2"/>
  <c r="AM122" i="2"/>
  <c r="AK122" i="2"/>
  <c r="AF122" i="2"/>
  <c r="AE122" i="2"/>
  <c r="AG122" i="2" s="1"/>
  <c r="Y122" i="2"/>
  <c r="W122" i="2"/>
  <c r="X122" i="2" s="1"/>
  <c r="AZ121" i="2"/>
  <c r="BA121" i="2" s="1"/>
  <c r="AQ121" i="2"/>
  <c r="AO121" i="2"/>
  <c r="AM121" i="2"/>
  <c r="AK121" i="2"/>
  <c r="AF121" i="2"/>
  <c r="AE121" i="2"/>
  <c r="AG121" i="2" s="1"/>
  <c r="Y121" i="2"/>
  <c r="W121" i="2"/>
  <c r="X121" i="2" s="1"/>
  <c r="AZ120" i="2"/>
  <c r="BA120" i="2" s="1"/>
  <c r="AQ120" i="2"/>
  <c r="AO120" i="2"/>
  <c r="AM120" i="2"/>
  <c r="AK120" i="2"/>
  <c r="AF120" i="2"/>
  <c r="AE120" i="2"/>
  <c r="AG120" i="2" s="1"/>
  <c r="Y120" i="2"/>
  <c r="W120" i="2"/>
  <c r="X120" i="2" s="1"/>
  <c r="AZ119" i="2"/>
  <c r="BA119" i="2" s="1"/>
  <c r="AQ119" i="2"/>
  <c r="AM119" i="2"/>
  <c r="AK119" i="2"/>
  <c r="AF119" i="2"/>
  <c r="AE119" i="2"/>
  <c r="AG119" i="2" s="1"/>
  <c r="Y119" i="2"/>
  <c r="W119" i="2"/>
  <c r="X119" i="2" s="1"/>
  <c r="AZ118" i="2"/>
  <c r="BA118" i="2" s="1"/>
  <c r="AQ118" i="2"/>
  <c r="AM118" i="2"/>
  <c r="AK118" i="2"/>
  <c r="AF118" i="2"/>
  <c r="AE118" i="2"/>
  <c r="AG118" i="2" s="1"/>
  <c r="Y118" i="2"/>
  <c r="W118" i="2"/>
  <c r="X118" i="2" s="1"/>
  <c r="AZ117" i="2"/>
  <c r="BA117" i="2" s="1"/>
  <c r="AQ117" i="2"/>
  <c r="AO117" i="2"/>
  <c r="AM117" i="2"/>
  <c r="AK117" i="2"/>
  <c r="AF117" i="2"/>
  <c r="AE117" i="2"/>
  <c r="AG117" i="2" s="1"/>
  <c r="Y117" i="2"/>
  <c r="W117" i="2"/>
  <c r="X117" i="2" s="1"/>
  <c r="AZ116" i="2"/>
  <c r="BA116" i="2" s="1"/>
  <c r="AQ116" i="2"/>
  <c r="AM116" i="2"/>
  <c r="AK116" i="2"/>
  <c r="AF116" i="2"/>
  <c r="AE116" i="2"/>
  <c r="AG116" i="2" s="1"/>
  <c r="Y116" i="2"/>
  <c r="W116" i="2"/>
  <c r="X116" i="2" s="1"/>
  <c r="AZ115" i="2"/>
  <c r="BA115" i="2" s="1"/>
  <c r="AQ115" i="2"/>
  <c r="AM115" i="2"/>
  <c r="AK115" i="2"/>
  <c r="AF115" i="2"/>
  <c r="AE115" i="2"/>
  <c r="AG115" i="2" s="1"/>
  <c r="Y115" i="2"/>
  <c r="W115" i="2"/>
  <c r="X115" i="2" s="1"/>
  <c r="AZ114" i="2"/>
  <c r="BA114" i="2" s="1"/>
  <c r="AQ114" i="2"/>
  <c r="AM114" i="2"/>
  <c r="AK114" i="2"/>
  <c r="AF114" i="2"/>
  <c r="AE114" i="2"/>
  <c r="AG114" i="2" s="1"/>
  <c r="Y114" i="2"/>
  <c r="W114" i="2"/>
  <c r="X114" i="2" s="1"/>
  <c r="AZ113" i="2"/>
  <c r="BA113" i="2" s="1"/>
  <c r="AQ113" i="2"/>
  <c r="AM113" i="2"/>
  <c r="AK113" i="2"/>
  <c r="AF113" i="2"/>
  <c r="AE113" i="2"/>
  <c r="AG113" i="2" s="1"/>
  <c r="Y113" i="2"/>
  <c r="W113" i="2"/>
  <c r="X113" i="2" s="1"/>
  <c r="AZ112" i="2"/>
  <c r="BA112" i="2" s="1"/>
  <c r="AQ112" i="2"/>
  <c r="AM112" i="2"/>
  <c r="AK112" i="2"/>
  <c r="AF112" i="2"/>
  <c r="AE112" i="2"/>
  <c r="AG112" i="2" s="1"/>
  <c r="Y112" i="2"/>
  <c r="W112" i="2"/>
  <c r="X112" i="2" s="1"/>
  <c r="AZ111" i="2"/>
  <c r="BA111" i="2" s="1"/>
  <c r="AQ111" i="2"/>
  <c r="AM111" i="2"/>
  <c r="AK111" i="2"/>
  <c r="AF111" i="2"/>
  <c r="AE111" i="2"/>
  <c r="AG111" i="2" s="1"/>
  <c r="Y111" i="2"/>
  <c r="W111" i="2"/>
  <c r="X111" i="2" s="1"/>
  <c r="AZ110" i="2"/>
  <c r="BA110" i="2" s="1"/>
  <c r="AQ110" i="2"/>
  <c r="AM110" i="2"/>
  <c r="AK110" i="2"/>
  <c r="AF110" i="2"/>
  <c r="AE110" i="2"/>
  <c r="AG110" i="2" s="1"/>
  <c r="Y110" i="2"/>
  <c r="W110" i="2"/>
  <c r="X110" i="2" s="1"/>
  <c r="AZ109" i="2"/>
  <c r="BA109" i="2" s="1"/>
  <c r="AQ109" i="2"/>
  <c r="AM109" i="2"/>
  <c r="AK109" i="2"/>
  <c r="AF109" i="2"/>
  <c r="AE109" i="2"/>
  <c r="AG109" i="2" s="1"/>
  <c r="Y109" i="2"/>
  <c r="W109" i="2"/>
  <c r="X109" i="2" s="1"/>
  <c r="AZ108" i="2"/>
  <c r="BA108" i="2" s="1"/>
  <c r="AQ108" i="2"/>
  <c r="AM108" i="2"/>
  <c r="AK108" i="2"/>
  <c r="AF108" i="2"/>
  <c r="AE108" i="2"/>
  <c r="AG108" i="2" s="1"/>
  <c r="Y108" i="2"/>
  <c r="W108" i="2"/>
  <c r="X108" i="2" s="1"/>
  <c r="AZ107" i="2"/>
  <c r="BA107" i="2" s="1"/>
  <c r="AQ107" i="2"/>
  <c r="AM107" i="2"/>
  <c r="AK107" i="2"/>
  <c r="AF107" i="2"/>
  <c r="AE107" i="2"/>
  <c r="AG107" i="2" s="1"/>
  <c r="Y107" i="2"/>
  <c r="W107" i="2"/>
  <c r="X107" i="2" s="1"/>
  <c r="AZ106" i="2"/>
  <c r="BA106" i="2" s="1"/>
  <c r="AQ106" i="2"/>
  <c r="AM106" i="2"/>
  <c r="AK106" i="2"/>
  <c r="AF106" i="2"/>
  <c r="AE106" i="2"/>
  <c r="AG106" i="2" s="1"/>
  <c r="Y106" i="2"/>
  <c r="W106" i="2"/>
  <c r="X106" i="2" s="1"/>
  <c r="AZ105" i="2"/>
  <c r="BA105" i="2" s="1"/>
  <c r="AQ105" i="2"/>
  <c r="AM105" i="2"/>
  <c r="AK105" i="2"/>
  <c r="AF105" i="2"/>
  <c r="AE105" i="2"/>
  <c r="AG105" i="2" s="1"/>
  <c r="Y105" i="2"/>
  <c r="W105" i="2"/>
  <c r="X105" i="2" s="1"/>
  <c r="AZ104" i="2"/>
  <c r="BA104" i="2" s="1"/>
  <c r="AQ104" i="2"/>
  <c r="AM104" i="2"/>
  <c r="AK104" i="2"/>
  <c r="AF104" i="2"/>
  <c r="AE104" i="2"/>
  <c r="AG104" i="2" s="1"/>
  <c r="Y104" i="2"/>
  <c r="W104" i="2"/>
  <c r="X104" i="2" s="1"/>
  <c r="AZ103" i="2"/>
  <c r="BA103" i="2" s="1"/>
  <c r="AQ103" i="2"/>
  <c r="AM103" i="2"/>
  <c r="AK103" i="2"/>
  <c r="AF103" i="2"/>
  <c r="AE103" i="2"/>
  <c r="AG103" i="2" s="1"/>
  <c r="Y103" i="2"/>
  <c r="W103" i="2"/>
  <c r="X103" i="2" s="1"/>
  <c r="AZ102" i="2"/>
  <c r="BA102" i="2" s="1"/>
  <c r="AQ102" i="2"/>
  <c r="AM102" i="2"/>
  <c r="AK102" i="2"/>
  <c r="AF102" i="2"/>
  <c r="AE102" i="2"/>
  <c r="AG102" i="2" s="1"/>
  <c r="Y102" i="2"/>
  <c r="X102" i="2"/>
  <c r="AZ101" i="2"/>
  <c r="BA101" i="2" s="1"/>
  <c r="AQ101" i="2"/>
  <c r="AM101" i="2"/>
  <c r="AK101" i="2"/>
  <c r="AF101" i="2"/>
  <c r="AE101" i="2"/>
  <c r="AG101" i="2" s="1"/>
  <c r="Y101" i="2"/>
  <c r="W101" i="2"/>
  <c r="X101" i="2" s="1"/>
  <c r="AZ100" i="2"/>
  <c r="BA100" i="2" s="1"/>
  <c r="AQ100" i="2"/>
  <c r="AM100" i="2"/>
  <c r="AK100" i="2"/>
  <c r="AF100" i="2"/>
  <c r="AE100" i="2"/>
  <c r="AG100" i="2" s="1"/>
  <c r="Y100" i="2"/>
  <c r="W100" i="2"/>
  <c r="X100" i="2" s="1"/>
  <c r="AZ99" i="2"/>
  <c r="BA99" i="2" s="1"/>
  <c r="AQ99" i="2"/>
  <c r="AO99" i="2"/>
  <c r="AM99" i="2"/>
  <c r="AK99" i="2"/>
  <c r="AF99" i="2"/>
  <c r="AE99" i="2"/>
  <c r="AG99" i="2" s="1"/>
  <c r="Y99" i="2"/>
  <c r="W99" i="2"/>
  <c r="X99" i="2" s="1"/>
  <c r="AZ98" i="2"/>
  <c r="BA98" i="2" s="1"/>
  <c r="AQ98" i="2"/>
  <c r="AO98" i="2"/>
  <c r="AK98" i="2"/>
  <c r="AF98" i="2"/>
  <c r="AE98" i="2"/>
  <c r="AG98" i="2" s="1"/>
  <c r="Y98" i="2"/>
  <c r="W98" i="2"/>
  <c r="X98" i="2" s="1"/>
  <c r="AZ97" i="2"/>
  <c r="BA97" i="2" s="1"/>
  <c r="AQ97" i="2"/>
  <c r="AM97" i="2"/>
  <c r="AK97" i="2"/>
  <c r="AF97" i="2"/>
  <c r="AE97" i="2"/>
  <c r="AG97" i="2" s="1"/>
  <c r="Y97" i="2"/>
  <c r="W97" i="2"/>
  <c r="X97" i="2" s="1"/>
  <c r="AZ96" i="2"/>
  <c r="BA96" i="2" s="1"/>
  <c r="AQ96" i="2"/>
  <c r="AM96" i="2"/>
  <c r="AK96" i="2"/>
  <c r="AF96" i="2"/>
  <c r="AE96" i="2"/>
  <c r="AG96" i="2" s="1"/>
  <c r="Y96" i="2"/>
  <c r="W96" i="2"/>
  <c r="X96" i="2" s="1"/>
  <c r="AZ95" i="2"/>
  <c r="BA95" i="2" s="1"/>
  <c r="AQ95" i="2"/>
  <c r="AM95" i="2"/>
  <c r="AK95" i="2"/>
  <c r="AF95" i="2"/>
  <c r="AE95" i="2"/>
  <c r="AG95" i="2" s="1"/>
  <c r="Y95" i="2"/>
  <c r="W95" i="2"/>
  <c r="X95" i="2" s="1"/>
  <c r="AZ94" i="2"/>
  <c r="BA94" i="2" s="1"/>
  <c r="AQ94" i="2"/>
  <c r="AM94" i="2"/>
  <c r="AK94" i="2"/>
  <c r="AF94" i="2"/>
  <c r="AE94" i="2"/>
  <c r="AG94" i="2" s="1"/>
  <c r="Y94" i="2"/>
  <c r="W94" i="2"/>
  <c r="X94" i="2" s="1"/>
  <c r="AZ93" i="2"/>
  <c r="BA93" i="2" s="1"/>
  <c r="AQ93" i="2"/>
  <c r="AM93" i="2"/>
  <c r="AK93" i="2"/>
  <c r="AF93" i="2"/>
  <c r="AE93" i="2"/>
  <c r="AG93" i="2" s="1"/>
  <c r="Y93" i="2"/>
  <c r="W93" i="2"/>
  <c r="X93" i="2" s="1"/>
  <c r="AZ92" i="2"/>
  <c r="BA92" i="2" s="1"/>
  <c r="AQ92" i="2"/>
  <c r="AM92" i="2"/>
  <c r="AK92" i="2"/>
  <c r="AF92" i="2"/>
  <c r="AE92" i="2"/>
  <c r="AG92" i="2" s="1"/>
  <c r="Y92" i="2"/>
  <c r="W92" i="2"/>
  <c r="X92" i="2" s="1"/>
  <c r="AZ91" i="2"/>
  <c r="BA91" i="2" s="1"/>
  <c r="AQ91" i="2"/>
  <c r="AM91" i="2"/>
  <c r="AK91" i="2"/>
  <c r="AF91" i="2"/>
  <c r="AE91" i="2"/>
  <c r="AG91" i="2" s="1"/>
  <c r="Y91" i="2"/>
  <c r="W91" i="2"/>
  <c r="X91" i="2" s="1"/>
  <c r="AZ90" i="2"/>
  <c r="BA90" i="2" s="1"/>
  <c r="AQ90" i="2"/>
  <c r="AM90" i="2"/>
  <c r="AK90" i="2"/>
  <c r="AF90" i="2"/>
  <c r="AE90" i="2"/>
  <c r="AG90" i="2" s="1"/>
  <c r="Y90" i="2"/>
  <c r="W90" i="2"/>
  <c r="X90" i="2" s="1"/>
  <c r="AZ89" i="2"/>
  <c r="BA89" i="2" s="1"/>
  <c r="AQ89" i="2"/>
  <c r="AM89" i="2"/>
  <c r="AK89" i="2"/>
  <c r="AF89" i="2"/>
  <c r="AE89" i="2"/>
  <c r="AG89" i="2" s="1"/>
  <c r="Y89" i="2"/>
  <c r="W89" i="2"/>
  <c r="X89" i="2" s="1"/>
  <c r="AZ88" i="2"/>
  <c r="BA88" i="2" s="1"/>
  <c r="AQ88" i="2"/>
  <c r="AO88" i="2"/>
  <c r="AM88" i="2"/>
  <c r="AK88" i="2"/>
  <c r="AF88" i="2"/>
  <c r="AE88" i="2"/>
  <c r="AG88" i="2" s="1"/>
  <c r="Y88" i="2"/>
  <c r="W88" i="2"/>
  <c r="X88" i="2" s="1"/>
  <c r="AZ87" i="2"/>
  <c r="BA87" i="2" s="1"/>
  <c r="AQ87" i="2"/>
  <c r="AO87" i="2"/>
  <c r="AM87" i="2"/>
  <c r="AK87" i="2"/>
  <c r="AF87" i="2"/>
  <c r="AE87" i="2"/>
  <c r="AG87" i="2" s="1"/>
  <c r="Y87" i="2"/>
  <c r="W87" i="2"/>
  <c r="X87" i="2" s="1"/>
  <c r="AZ86" i="2"/>
  <c r="BA86" i="2" s="1"/>
  <c r="AQ86" i="2"/>
  <c r="AO86" i="2"/>
  <c r="AM86" i="2"/>
  <c r="AK86" i="2"/>
  <c r="AF86" i="2"/>
  <c r="AE86" i="2"/>
  <c r="AG86" i="2" s="1"/>
  <c r="Y86" i="2"/>
  <c r="W86" i="2"/>
  <c r="X86" i="2" s="1"/>
  <c r="AZ85" i="2"/>
  <c r="BA85" i="2" s="1"/>
  <c r="AQ85" i="2"/>
  <c r="AM85" i="2"/>
  <c r="AK85" i="2"/>
  <c r="AF85" i="2"/>
  <c r="AE85" i="2"/>
  <c r="AG85" i="2" s="1"/>
  <c r="Y85" i="2"/>
  <c r="W85" i="2"/>
  <c r="X85" i="2" s="1"/>
  <c r="AZ84" i="2"/>
  <c r="BA84" i="2" s="1"/>
  <c r="AQ84" i="2"/>
  <c r="AM84" i="2"/>
  <c r="AK84" i="2"/>
  <c r="AF84" i="2"/>
  <c r="AE84" i="2"/>
  <c r="AG84" i="2" s="1"/>
  <c r="Y84" i="2"/>
  <c r="W84" i="2"/>
  <c r="X84" i="2" s="1"/>
  <c r="AZ83" i="2"/>
  <c r="BA83" i="2" s="1"/>
  <c r="AQ83" i="2"/>
  <c r="AM83" i="2"/>
  <c r="AK83" i="2"/>
  <c r="AF83" i="2"/>
  <c r="AE83" i="2"/>
  <c r="AG83" i="2" s="1"/>
  <c r="Y83" i="2"/>
  <c r="W83" i="2"/>
  <c r="X83" i="2" s="1"/>
  <c r="AZ82" i="2"/>
  <c r="BA82" i="2" s="1"/>
  <c r="AQ82" i="2"/>
  <c r="AM82" i="2"/>
  <c r="AK82" i="2"/>
  <c r="AF82" i="2"/>
  <c r="AE82" i="2"/>
  <c r="AG82" i="2" s="1"/>
  <c r="Y82" i="2"/>
  <c r="W82" i="2"/>
  <c r="X82" i="2" s="1"/>
  <c r="AZ81" i="2"/>
  <c r="BA81" i="2" s="1"/>
  <c r="AQ81" i="2"/>
  <c r="AM81" i="2"/>
  <c r="AK81" i="2"/>
  <c r="AF81" i="2"/>
  <c r="AE81" i="2"/>
  <c r="AG81" i="2" s="1"/>
  <c r="Y81" i="2"/>
  <c r="W81" i="2"/>
  <c r="X81" i="2" s="1"/>
  <c r="AZ80" i="2"/>
  <c r="BA80" i="2" s="1"/>
  <c r="AQ80" i="2"/>
  <c r="AM80" i="2"/>
  <c r="AK80" i="2"/>
  <c r="AF80" i="2"/>
  <c r="AE80" i="2"/>
  <c r="AG80" i="2" s="1"/>
  <c r="Y80" i="2"/>
  <c r="W80" i="2"/>
  <c r="X80" i="2" s="1"/>
  <c r="AZ79" i="2"/>
  <c r="BA79" i="2" s="1"/>
  <c r="AQ79" i="2"/>
  <c r="AM79" i="2"/>
  <c r="AK79" i="2"/>
  <c r="AF79" i="2"/>
  <c r="AE79" i="2"/>
  <c r="AG79" i="2" s="1"/>
  <c r="Y79" i="2"/>
  <c r="W79" i="2"/>
  <c r="X79" i="2" s="1"/>
  <c r="AZ78" i="2"/>
  <c r="BA78" i="2" s="1"/>
  <c r="AQ78" i="2"/>
  <c r="AM78" i="2"/>
  <c r="AK78" i="2"/>
  <c r="AF78" i="2"/>
  <c r="AE78" i="2"/>
  <c r="AG78" i="2" s="1"/>
  <c r="Y78" i="2"/>
  <c r="W78" i="2"/>
  <c r="X78" i="2" s="1"/>
  <c r="AZ77" i="2"/>
  <c r="BA77" i="2" s="1"/>
  <c r="AQ77" i="2"/>
  <c r="AM77" i="2"/>
  <c r="AK77" i="2"/>
  <c r="AF77" i="2"/>
  <c r="AE77" i="2"/>
  <c r="AG77" i="2" s="1"/>
  <c r="Y77" i="2"/>
  <c r="X77" i="2"/>
  <c r="AZ76" i="2"/>
  <c r="BA76" i="2" s="1"/>
  <c r="AQ76" i="2"/>
  <c r="AM76" i="2"/>
  <c r="AK76" i="2"/>
  <c r="AF76" i="2"/>
  <c r="AE76" i="2"/>
  <c r="AG76" i="2" s="1"/>
  <c r="Y76" i="2"/>
  <c r="W76" i="2"/>
  <c r="X76" i="2" s="1"/>
  <c r="AZ75" i="2"/>
  <c r="BA75" i="2" s="1"/>
  <c r="AQ75" i="2"/>
  <c r="AM75" i="2"/>
  <c r="AK75" i="2"/>
  <c r="AF75" i="2"/>
  <c r="AE75" i="2"/>
  <c r="AG75" i="2" s="1"/>
  <c r="Y75" i="2"/>
  <c r="W75" i="2"/>
  <c r="X75" i="2" s="1"/>
  <c r="AZ74" i="2"/>
  <c r="BA74" i="2" s="1"/>
  <c r="AQ74" i="2"/>
  <c r="AM74" i="2"/>
  <c r="AK74" i="2"/>
  <c r="AF74" i="2"/>
  <c r="AE74" i="2"/>
  <c r="AG74" i="2" s="1"/>
  <c r="Y74" i="2"/>
  <c r="W74" i="2"/>
  <c r="X74" i="2" s="1"/>
  <c r="BB73" i="2"/>
  <c r="AZ72" i="2"/>
  <c r="BA72" i="2" s="1"/>
  <c r="AQ72" i="2"/>
  <c r="AM72" i="2"/>
  <c r="AK72" i="2"/>
  <c r="AF72" i="2"/>
  <c r="AE72" i="2"/>
  <c r="AG72" i="2" s="1"/>
  <c r="Y72" i="2"/>
  <c r="W72" i="2"/>
  <c r="X72" i="2" s="1"/>
  <c r="AZ71" i="2"/>
  <c r="BA71" i="2" s="1"/>
  <c r="AQ71" i="2"/>
  <c r="AO71" i="2"/>
  <c r="AM71" i="2"/>
  <c r="AK71" i="2"/>
  <c r="AF71" i="2"/>
  <c r="AE71" i="2"/>
  <c r="AG71" i="2" s="1"/>
  <c r="Y71" i="2"/>
  <c r="W71" i="2"/>
  <c r="X71" i="2" s="1"/>
  <c r="AZ70" i="2"/>
  <c r="BA70" i="2" s="1"/>
  <c r="AQ70" i="2"/>
  <c r="AM70" i="2"/>
  <c r="AK70" i="2"/>
  <c r="AF70" i="2"/>
  <c r="AE70" i="2"/>
  <c r="AG70" i="2" s="1"/>
  <c r="Y70" i="2"/>
  <c r="W70" i="2"/>
  <c r="X70" i="2" s="1"/>
  <c r="AZ69" i="2"/>
  <c r="BA69" i="2" s="1"/>
  <c r="AQ69" i="2"/>
  <c r="AM69" i="2"/>
  <c r="AK69" i="2"/>
  <c r="AF69" i="2"/>
  <c r="AE69" i="2"/>
  <c r="AG69" i="2" s="1"/>
  <c r="Y69" i="2"/>
  <c r="W69" i="2"/>
  <c r="X69" i="2" s="1"/>
  <c r="AZ68" i="2"/>
  <c r="BA68" i="2" s="1"/>
  <c r="AQ68" i="2"/>
  <c r="AM68" i="2"/>
  <c r="AK68" i="2"/>
  <c r="AF68" i="2"/>
  <c r="AE68" i="2"/>
  <c r="AG68" i="2" s="1"/>
  <c r="Y68" i="2"/>
  <c r="W68" i="2"/>
  <c r="X68" i="2" s="1"/>
  <c r="AZ67" i="2"/>
  <c r="BA67" i="2" s="1"/>
  <c r="AQ67" i="2"/>
  <c r="AM67" i="2"/>
  <c r="AK67" i="2"/>
  <c r="AF67" i="2"/>
  <c r="AE67" i="2"/>
  <c r="AG67" i="2" s="1"/>
  <c r="Y67" i="2"/>
  <c r="W67" i="2"/>
  <c r="X67" i="2" s="1"/>
  <c r="AZ66" i="2"/>
  <c r="BA66" i="2" s="1"/>
  <c r="AQ66" i="2"/>
  <c r="AM66" i="2"/>
  <c r="AK66" i="2"/>
  <c r="AF66" i="2"/>
  <c r="AE66" i="2"/>
  <c r="AG66" i="2" s="1"/>
  <c r="Y66" i="2"/>
  <c r="W66" i="2"/>
  <c r="X66" i="2" s="1"/>
  <c r="AZ64" i="2"/>
  <c r="BA64" i="2" s="1"/>
  <c r="AQ64" i="2"/>
  <c r="AF64" i="2"/>
  <c r="AE64" i="2"/>
  <c r="AG64" i="2" s="1"/>
  <c r="Y64" i="2"/>
  <c r="W64" i="2"/>
  <c r="X64" i="2" s="1"/>
  <c r="AZ63" i="2"/>
  <c r="BA63" i="2" s="1"/>
  <c r="AQ63" i="2"/>
  <c r="AO63" i="2"/>
  <c r="AM63" i="2"/>
  <c r="AK63" i="2"/>
  <c r="AF63" i="2"/>
  <c r="AE63" i="2"/>
  <c r="AG63" i="2" s="1"/>
  <c r="Y63" i="2"/>
  <c r="W63" i="2"/>
  <c r="X63" i="2" s="1"/>
  <c r="AZ62" i="2"/>
  <c r="BA62" i="2" s="1"/>
  <c r="AQ62" i="2"/>
  <c r="AM62" i="2"/>
  <c r="AK62" i="2"/>
  <c r="AF62" i="2"/>
  <c r="AE62" i="2"/>
  <c r="AG62" i="2" s="1"/>
  <c r="Y62" i="2"/>
  <c r="W62" i="2"/>
  <c r="X62" i="2" s="1"/>
  <c r="AZ61" i="2"/>
  <c r="BA61" i="2" s="1"/>
  <c r="AQ61" i="2"/>
  <c r="AM61" i="2"/>
  <c r="AK61" i="2"/>
  <c r="AF61" i="2"/>
  <c r="AE61" i="2"/>
  <c r="AG61" i="2" s="1"/>
  <c r="Y61" i="2"/>
  <c r="W61" i="2"/>
  <c r="X61" i="2" s="1"/>
  <c r="AZ60" i="2"/>
  <c r="BA60" i="2" s="1"/>
  <c r="AQ60" i="2"/>
  <c r="AM60" i="2"/>
  <c r="AK60" i="2"/>
  <c r="AF60" i="2"/>
  <c r="AE60" i="2"/>
  <c r="AG60" i="2" s="1"/>
  <c r="Y60" i="2"/>
  <c r="W60" i="2"/>
  <c r="X60" i="2" s="1"/>
  <c r="AZ59" i="2"/>
  <c r="BA59" i="2" s="1"/>
  <c r="AQ59" i="2"/>
  <c r="AO59" i="2"/>
  <c r="AM59" i="2"/>
  <c r="AK59" i="2"/>
  <c r="AF59" i="2"/>
  <c r="AE59" i="2"/>
  <c r="AG59" i="2" s="1"/>
  <c r="Y59" i="2"/>
  <c r="W59" i="2"/>
  <c r="X59" i="2" s="1"/>
  <c r="AZ58" i="2"/>
  <c r="BA58" i="2" s="1"/>
  <c r="AQ58" i="2"/>
  <c r="AM58" i="2"/>
  <c r="AK58" i="2"/>
  <c r="AF58" i="2"/>
  <c r="AE58" i="2"/>
  <c r="AG58" i="2" s="1"/>
  <c r="Y58" i="2"/>
  <c r="W58" i="2"/>
  <c r="X58" i="2" s="1"/>
  <c r="AZ57" i="2"/>
  <c r="BA57" i="2" s="1"/>
  <c r="AQ57" i="2"/>
  <c r="AM57" i="2"/>
  <c r="AK57" i="2"/>
  <c r="AF57" i="2"/>
  <c r="AE57" i="2"/>
  <c r="AG57" i="2" s="1"/>
  <c r="Y57" i="2"/>
  <c r="W57" i="2"/>
  <c r="X57" i="2" s="1"/>
  <c r="AZ56" i="2"/>
  <c r="BA56" i="2" s="1"/>
  <c r="AQ56" i="2"/>
  <c r="AM56" i="2"/>
  <c r="AK56" i="2"/>
  <c r="AF56" i="2"/>
  <c r="AE56" i="2"/>
  <c r="AG56" i="2" s="1"/>
  <c r="Y56" i="2"/>
  <c r="W56" i="2"/>
  <c r="X56" i="2" s="1"/>
  <c r="AZ55" i="2"/>
  <c r="BA55" i="2" s="1"/>
  <c r="AQ55" i="2"/>
  <c r="AM55" i="2"/>
  <c r="AK55" i="2"/>
  <c r="AF55" i="2"/>
  <c r="AE55" i="2"/>
  <c r="AG55" i="2" s="1"/>
  <c r="Y55" i="2"/>
  <c r="W55" i="2"/>
  <c r="X55" i="2" s="1"/>
  <c r="AZ54" i="2"/>
  <c r="BA54" i="2" s="1"/>
  <c r="AQ54" i="2"/>
  <c r="AM54" i="2"/>
  <c r="AK54" i="2"/>
  <c r="AF54" i="2"/>
  <c r="AE54" i="2"/>
  <c r="AG54" i="2" s="1"/>
  <c r="Y54" i="2"/>
  <c r="W54" i="2"/>
  <c r="X54" i="2" s="1"/>
  <c r="AZ53" i="2"/>
  <c r="BA53" i="2" s="1"/>
  <c r="AQ53" i="2"/>
  <c r="AM53" i="2"/>
  <c r="AK53" i="2"/>
  <c r="AF53" i="2"/>
  <c r="AE53" i="2"/>
  <c r="AG53" i="2" s="1"/>
  <c r="Y53" i="2"/>
  <c r="W53" i="2"/>
  <c r="X53" i="2" s="1"/>
  <c r="AZ52" i="2"/>
  <c r="BA52" i="2" s="1"/>
  <c r="AQ52" i="2"/>
  <c r="AM52" i="2"/>
  <c r="AK52" i="2"/>
  <c r="AF52" i="2"/>
  <c r="AE52" i="2"/>
  <c r="AG52" i="2" s="1"/>
  <c r="Y52" i="2"/>
  <c r="W52" i="2"/>
  <c r="X52" i="2" s="1"/>
  <c r="AZ51" i="2"/>
  <c r="BA51" i="2" s="1"/>
  <c r="AQ51" i="2"/>
  <c r="AM51" i="2"/>
  <c r="AK51" i="2"/>
  <c r="AF51" i="2"/>
  <c r="AE51" i="2"/>
  <c r="AG51" i="2" s="1"/>
  <c r="Y51" i="2"/>
  <c r="W51" i="2"/>
  <c r="X51" i="2" s="1"/>
  <c r="AZ50" i="2"/>
  <c r="BA50" i="2" s="1"/>
  <c r="AQ50" i="2"/>
  <c r="AF50" i="2"/>
  <c r="AE50" i="2"/>
  <c r="AG50" i="2" s="1"/>
  <c r="Y50" i="2"/>
  <c r="W50" i="2"/>
  <c r="X50" i="2" s="1"/>
  <c r="AZ49" i="2"/>
  <c r="BA49" i="2" s="1"/>
  <c r="AQ49" i="2"/>
  <c r="AM49" i="2"/>
  <c r="AK49" i="2"/>
  <c r="AF49" i="2"/>
  <c r="AE49" i="2"/>
  <c r="AG49" i="2" s="1"/>
  <c r="Y49" i="2"/>
  <c r="W49" i="2"/>
  <c r="X49" i="2" s="1"/>
  <c r="AZ48" i="2"/>
  <c r="BA48" i="2" s="1"/>
  <c r="AQ48" i="2"/>
  <c r="AM48" i="2"/>
  <c r="AK48" i="2"/>
  <c r="AF48" i="2"/>
  <c r="AE48" i="2"/>
  <c r="AG48" i="2" s="1"/>
  <c r="Y48" i="2"/>
  <c r="W48" i="2"/>
  <c r="X48" i="2" s="1"/>
  <c r="AZ47" i="2"/>
  <c r="BA47" i="2" s="1"/>
  <c r="AQ47" i="2"/>
  <c r="AM47" i="2"/>
  <c r="AK47" i="2"/>
  <c r="AF47" i="2"/>
  <c r="AE47" i="2"/>
  <c r="AG47" i="2" s="1"/>
  <c r="Y47" i="2"/>
  <c r="W47" i="2"/>
  <c r="X47" i="2" s="1"/>
  <c r="AZ46" i="2"/>
  <c r="BA46" i="2" s="1"/>
  <c r="AQ46" i="2"/>
  <c r="AO46" i="2"/>
  <c r="AM46" i="2"/>
  <c r="AK46" i="2"/>
  <c r="AF46" i="2"/>
  <c r="AE46" i="2"/>
  <c r="AG46" i="2" s="1"/>
  <c r="Y46" i="2"/>
  <c r="W46" i="2"/>
  <c r="X46" i="2" s="1"/>
  <c r="AZ45" i="2"/>
  <c r="BA45" i="2" s="1"/>
  <c r="AQ45" i="2"/>
  <c r="AO45" i="2"/>
  <c r="AM45" i="2"/>
  <c r="AK45" i="2"/>
  <c r="AF45" i="2"/>
  <c r="AE45" i="2"/>
  <c r="AG45" i="2" s="1"/>
  <c r="Y45" i="2"/>
  <c r="W45" i="2"/>
  <c r="X45" i="2" s="1"/>
  <c r="AZ44" i="2"/>
  <c r="BA44" i="2" s="1"/>
  <c r="AQ44" i="2"/>
  <c r="AM44" i="2"/>
  <c r="AK44" i="2"/>
  <c r="AF44" i="2"/>
  <c r="AE44" i="2"/>
  <c r="AG44" i="2" s="1"/>
  <c r="Y44" i="2"/>
  <c r="W44" i="2"/>
  <c r="X44" i="2" s="1"/>
  <c r="AZ43" i="2"/>
  <c r="BA43" i="2" s="1"/>
  <c r="AQ43" i="2"/>
  <c r="AM43" i="2"/>
  <c r="AK43" i="2"/>
  <c r="AF43" i="2"/>
  <c r="AE43" i="2"/>
  <c r="AG43" i="2" s="1"/>
  <c r="Y43" i="2"/>
  <c r="W43" i="2"/>
  <c r="X43" i="2" s="1"/>
  <c r="AZ42" i="2"/>
  <c r="BA42" i="2" s="1"/>
  <c r="AQ42" i="2"/>
  <c r="AM42" i="2"/>
  <c r="AK42" i="2"/>
  <c r="AF42" i="2"/>
  <c r="AE42" i="2"/>
  <c r="AG42" i="2" s="1"/>
  <c r="Y42" i="2"/>
  <c r="W42" i="2"/>
  <c r="X42" i="2" s="1"/>
  <c r="AZ41" i="2"/>
  <c r="BA41" i="2" s="1"/>
  <c r="AQ41" i="2"/>
  <c r="AM41" i="2"/>
  <c r="AK41" i="2"/>
  <c r="AF41" i="2"/>
  <c r="AE41" i="2"/>
  <c r="AG41" i="2" s="1"/>
  <c r="Y41" i="2"/>
  <c r="W41" i="2"/>
  <c r="X41" i="2" s="1"/>
  <c r="AZ40" i="2"/>
  <c r="BA40" i="2" s="1"/>
  <c r="AQ40" i="2"/>
  <c r="AM40" i="2"/>
  <c r="AK40" i="2"/>
  <c r="AF40" i="2"/>
  <c r="AE40" i="2"/>
  <c r="AG40" i="2" s="1"/>
  <c r="Y40" i="2"/>
  <c r="W40" i="2"/>
  <c r="X40" i="2" s="1"/>
  <c r="AZ39" i="2"/>
  <c r="BA39" i="2" s="1"/>
  <c r="AQ39" i="2"/>
  <c r="AM39" i="2"/>
  <c r="AK39" i="2"/>
  <c r="AF39" i="2"/>
  <c r="AE39" i="2"/>
  <c r="AG39" i="2" s="1"/>
  <c r="Y39" i="2"/>
  <c r="W39" i="2"/>
  <c r="X39" i="2" s="1"/>
  <c r="AZ38" i="2"/>
  <c r="BA38" i="2" s="1"/>
  <c r="AQ38" i="2"/>
  <c r="AM38" i="2"/>
  <c r="AK38" i="2"/>
  <c r="AF38" i="2"/>
  <c r="AE38" i="2"/>
  <c r="AG38" i="2" s="1"/>
  <c r="Y38" i="2"/>
  <c r="W38" i="2"/>
  <c r="X38" i="2" s="1"/>
  <c r="AZ37" i="2"/>
  <c r="BA37" i="2" s="1"/>
  <c r="AQ37" i="2"/>
  <c r="AM37" i="2"/>
  <c r="AK37" i="2"/>
  <c r="AF37" i="2"/>
  <c r="AE37" i="2"/>
  <c r="AG37" i="2" s="1"/>
  <c r="Y37" i="2"/>
  <c r="W37" i="2"/>
  <c r="X37" i="2" s="1"/>
  <c r="AZ36" i="2"/>
  <c r="BA36" i="2" s="1"/>
  <c r="AQ36" i="2"/>
  <c r="AM36" i="2"/>
  <c r="AK36" i="2"/>
  <c r="AF36" i="2"/>
  <c r="AE36" i="2"/>
  <c r="AG36" i="2" s="1"/>
  <c r="Y36" i="2"/>
  <c r="W36" i="2"/>
  <c r="X36" i="2" s="1"/>
  <c r="AZ35" i="2"/>
  <c r="BA35" i="2" s="1"/>
  <c r="AQ35" i="2"/>
  <c r="AM35" i="2"/>
  <c r="AK35" i="2"/>
  <c r="AF35" i="2"/>
  <c r="AE35" i="2"/>
  <c r="AG35" i="2" s="1"/>
  <c r="Y35" i="2"/>
  <c r="W35" i="2"/>
  <c r="X35" i="2" s="1"/>
  <c r="AZ34" i="2"/>
  <c r="BA34" i="2" s="1"/>
  <c r="AQ34" i="2"/>
  <c r="AM34" i="2"/>
  <c r="AK34" i="2"/>
  <c r="AF34" i="2"/>
  <c r="AE34" i="2"/>
  <c r="AG34" i="2" s="1"/>
  <c r="Y34" i="2"/>
  <c r="W34" i="2"/>
  <c r="X34" i="2" s="1"/>
  <c r="AZ33" i="2"/>
  <c r="BA33" i="2" s="1"/>
  <c r="AQ33" i="2"/>
  <c r="AM33" i="2"/>
  <c r="AK33" i="2"/>
  <c r="AF33" i="2"/>
  <c r="AE33" i="2"/>
  <c r="AG33" i="2" s="1"/>
  <c r="Y33" i="2"/>
  <c r="W33" i="2"/>
  <c r="X33" i="2" s="1"/>
  <c r="AZ32" i="2"/>
  <c r="BA32" i="2" s="1"/>
  <c r="AQ32" i="2"/>
  <c r="AM32" i="2"/>
  <c r="AK32" i="2"/>
  <c r="AF32" i="2"/>
  <c r="AE32" i="2"/>
  <c r="AG32" i="2" s="1"/>
  <c r="Y32" i="2"/>
  <c r="W32" i="2"/>
  <c r="X32" i="2" s="1"/>
  <c r="AZ31" i="2"/>
  <c r="BA31" i="2" s="1"/>
  <c r="AQ31" i="2"/>
  <c r="AM31" i="2"/>
  <c r="AK31" i="2"/>
  <c r="AF31" i="2"/>
  <c r="AE31" i="2"/>
  <c r="AG31" i="2" s="1"/>
  <c r="Y31" i="2"/>
  <c r="W31" i="2"/>
  <c r="X31" i="2" s="1"/>
  <c r="AZ30" i="2"/>
  <c r="BA30" i="2" s="1"/>
  <c r="AQ30" i="2"/>
  <c r="AM30" i="2"/>
  <c r="AK30" i="2"/>
  <c r="AF30" i="2"/>
  <c r="AE30" i="2"/>
  <c r="AG30" i="2" s="1"/>
  <c r="Y30" i="2"/>
  <c r="W30" i="2"/>
  <c r="X30" i="2" s="1"/>
  <c r="AZ29" i="2"/>
  <c r="BA29" i="2" s="1"/>
  <c r="AQ29" i="2"/>
  <c r="AM29" i="2"/>
  <c r="AK29" i="2"/>
  <c r="AF29" i="2"/>
  <c r="AE29" i="2"/>
  <c r="AG29" i="2" s="1"/>
  <c r="Y29" i="2"/>
  <c r="W29" i="2"/>
  <c r="X29" i="2" s="1"/>
  <c r="AZ28" i="2"/>
  <c r="BA28" i="2" s="1"/>
  <c r="AQ28" i="2"/>
  <c r="AM28" i="2"/>
  <c r="AK28" i="2"/>
  <c r="AF28" i="2"/>
  <c r="AE28" i="2"/>
  <c r="AG28" i="2" s="1"/>
  <c r="Y28" i="2"/>
  <c r="W28" i="2"/>
  <c r="X28" i="2" s="1"/>
  <c r="AZ27" i="2"/>
  <c r="BA27" i="2" s="1"/>
  <c r="AQ27" i="2"/>
  <c r="AM27" i="2"/>
  <c r="AK27" i="2"/>
  <c r="AF27" i="2"/>
  <c r="AE27" i="2"/>
  <c r="AG27" i="2" s="1"/>
  <c r="Y27" i="2"/>
  <c r="W27" i="2"/>
  <c r="X27" i="2" s="1"/>
  <c r="AZ26" i="2"/>
  <c r="BA26" i="2" s="1"/>
  <c r="AQ26" i="2"/>
  <c r="AM26" i="2"/>
  <c r="AK26" i="2"/>
  <c r="AF26" i="2"/>
  <c r="AE26" i="2"/>
  <c r="AG26" i="2" s="1"/>
  <c r="Y26" i="2"/>
  <c r="W26" i="2"/>
  <c r="X26" i="2" s="1"/>
  <c r="AZ25" i="2"/>
  <c r="BA25" i="2" s="1"/>
  <c r="AQ25" i="2"/>
  <c r="AO25" i="2"/>
  <c r="AM25" i="2"/>
  <c r="AK25" i="2"/>
  <c r="AF25" i="2"/>
  <c r="AE25" i="2"/>
  <c r="AG25" i="2" s="1"/>
  <c r="Y25" i="2"/>
  <c r="W25" i="2"/>
  <c r="X25" i="2" s="1"/>
  <c r="AZ24" i="2"/>
  <c r="BA24" i="2" s="1"/>
  <c r="AQ24" i="2"/>
  <c r="AO24" i="2"/>
  <c r="AM24" i="2"/>
  <c r="AK24" i="2"/>
  <c r="AF24" i="2"/>
  <c r="AE24" i="2"/>
  <c r="AG24" i="2" s="1"/>
  <c r="Y24" i="2"/>
  <c r="W24" i="2"/>
  <c r="X24" i="2" s="1"/>
  <c r="AZ23" i="2"/>
  <c r="BA23" i="2" s="1"/>
  <c r="AQ23" i="2"/>
  <c r="AM23" i="2"/>
  <c r="AK23" i="2"/>
  <c r="AF23" i="2"/>
  <c r="AE23" i="2"/>
  <c r="AG23" i="2" s="1"/>
  <c r="Y23" i="2"/>
  <c r="W23" i="2"/>
  <c r="X23" i="2" s="1"/>
  <c r="AZ22" i="2"/>
  <c r="BA22" i="2" s="1"/>
  <c r="AQ22" i="2"/>
  <c r="AO22" i="2"/>
  <c r="AM22" i="2"/>
  <c r="AK22" i="2"/>
  <c r="AF22" i="2"/>
  <c r="AE22" i="2"/>
  <c r="AG22" i="2" s="1"/>
  <c r="Y22" i="2"/>
  <c r="W22" i="2"/>
  <c r="X22" i="2" s="1"/>
  <c r="AZ21" i="2"/>
  <c r="BA21" i="2" s="1"/>
  <c r="AQ21" i="2"/>
  <c r="AM21" i="2"/>
  <c r="AK21" i="2"/>
  <c r="AF21" i="2"/>
  <c r="AE21" i="2"/>
  <c r="AG21" i="2" s="1"/>
  <c r="Y21" i="2"/>
  <c r="W21" i="2"/>
  <c r="X21" i="2" s="1"/>
  <c r="BA20" i="2"/>
  <c r="AQ20" i="2"/>
  <c r="AM20" i="2"/>
  <c r="AK20" i="2"/>
  <c r="AF20" i="2"/>
  <c r="AE20" i="2"/>
  <c r="AG20" i="2" s="1"/>
  <c r="Y20" i="2"/>
  <c r="W20" i="2"/>
  <c r="X20" i="2" s="1"/>
  <c r="AZ19" i="2"/>
  <c r="BA19" i="2" s="1"/>
  <c r="AQ19" i="2"/>
  <c r="AM19" i="2"/>
  <c r="AK19" i="2"/>
  <c r="AF19" i="2"/>
  <c r="AE19" i="2"/>
  <c r="AG19" i="2" s="1"/>
  <c r="Y19" i="2"/>
  <c r="W19" i="2"/>
  <c r="X19" i="2" s="1"/>
  <c r="AZ18" i="2"/>
  <c r="BA18" i="2" s="1"/>
  <c r="AQ18" i="2"/>
  <c r="AM18" i="2"/>
  <c r="AK18" i="2"/>
  <c r="AF18" i="2"/>
  <c r="AE18" i="2"/>
  <c r="AG18" i="2" s="1"/>
  <c r="Y18" i="2"/>
  <c r="W18" i="2"/>
  <c r="X18" i="2" s="1"/>
  <c r="AZ17" i="2"/>
  <c r="BA17" i="2" s="1"/>
  <c r="AQ17" i="2"/>
  <c r="AM17" i="2"/>
  <c r="AK17" i="2"/>
  <c r="AF17" i="2"/>
  <c r="AE17" i="2"/>
  <c r="AG17" i="2" s="1"/>
  <c r="Y17" i="2"/>
  <c r="W17" i="2"/>
  <c r="X17" i="2" s="1"/>
  <c r="AZ16" i="2"/>
  <c r="BA16" i="2" s="1"/>
  <c r="AQ16" i="2"/>
  <c r="AM16" i="2"/>
  <c r="AK16" i="2"/>
  <c r="AF16" i="2"/>
  <c r="AE16" i="2"/>
  <c r="AG16" i="2" s="1"/>
  <c r="Y16" i="2"/>
  <c r="W16" i="2"/>
  <c r="X16" i="2" s="1"/>
  <c r="AZ15" i="2"/>
  <c r="BA15" i="2" s="1"/>
  <c r="AQ15" i="2"/>
  <c r="AF15" i="2"/>
  <c r="AE15" i="2"/>
  <c r="AG15" i="2" s="1"/>
  <c r="Y15" i="2"/>
  <c r="W15" i="2"/>
  <c r="X15" i="2" s="1"/>
  <c r="AZ14" i="2"/>
  <c r="BA14" i="2" s="1"/>
  <c r="AQ14" i="2"/>
  <c r="AF14" i="2"/>
  <c r="AE14" i="2"/>
  <c r="AG14" i="2" s="1"/>
  <c r="Y14" i="2"/>
  <c r="W14" i="2"/>
  <c r="X14" i="2" s="1"/>
  <c r="AZ13" i="2"/>
  <c r="BA13" i="2" s="1"/>
  <c r="AQ13" i="2"/>
  <c r="AM13" i="2"/>
  <c r="AK13" i="2"/>
  <c r="AF13" i="2"/>
  <c r="AE13" i="2"/>
  <c r="AG13" i="2" s="1"/>
  <c r="Y13" i="2"/>
  <c r="W13" i="2"/>
  <c r="X13" i="2" s="1"/>
  <c r="AZ12" i="2"/>
  <c r="BA12" i="2" s="1"/>
  <c r="AQ12" i="2"/>
  <c r="AM12" i="2"/>
  <c r="AK12" i="2"/>
  <c r="AF12" i="2"/>
  <c r="AE12" i="2"/>
  <c r="AG12" i="2" s="1"/>
  <c r="Y12" i="2"/>
  <c r="W12" i="2"/>
  <c r="X12" i="2" s="1"/>
  <c r="AZ11" i="2"/>
  <c r="BA11" i="2" s="1"/>
  <c r="AQ11" i="2"/>
  <c r="AO11" i="2"/>
  <c r="AM11" i="2"/>
  <c r="AK11" i="2"/>
  <c r="AF11" i="2"/>
  <c r="AE11" i="2"/>
  <c r="AG11" i="2" s="1"/>
  <c r="Y11" i="2"/>
  <c r="W11" i="2"/>
  <c r="X11" i="2" s="1"/>
  <c r="AZ10" i="2"/>
  <c r="BA10" i="2" s="1"/>
  <c r="AQ10" i="2"/>
  <c r="AM10" i="2"/>
  <c r="AK10" i="2"/>
  <c r="AF10" i="2"/>
  <c r="AE10" i="2"/>
  <c r="AG10" i="2" s="1"/>
  <c r="Y10" i="2"/>
  <c r="W10" i="2"/>
  <c r="X10" i="2" s="1"/>
  <c r="AZ9" i="2"/>
  <c r="BA9" i="2" s="1"/>
  <c r="AQ9" i="2"/>
  <c r="AM9" i="2"/>
  <c r="AK9" i="2"/>
  <c r="AF9" i="2"/>
  <c r="AE9" i="2"/>
  <c r="AG9" i="2" s="1"/>
  <c r="Y9" i="2"/>
  <c r="W9" i="2"/>
  <c r="X9" i="2" s="1"/>
  <c r="AZ8" i="2"/>
  <c r="BA8" i="2" s="1"/>
  <c r="AQ8" i="2"/>
  <c r="AM8" i="2"/>
  <c r="AK8" i="2"/>
  <c r="AF8" i="2"/>
  <c r="AE8" i="2"/>
  <c r="AG8" i="2" s="1"/>
  <c r="Y8" i="2"/>
  <c r="W8" i="2"/>
  <c r="X8" i="2" s="1"/>
  <c r="AZ7" i="2"/>
  <c r="BA7" i="2" s="1"/>
  <c r="AQ7" i="2"/>
  <c r="AM7" i="2"/>
  <c r="AK7" i="2"/>
  <c r="AF7" i="2"/>
  <c r="AE7" i="2"/>
  <c r="AG7" i="2" s="1"/>
  <c r="Y7" i="2"/>
  <c r="W7" i="2"/>
  <c r="X7" i="2" s="1"/>
  <c r="AZ6" i="2"/>
  <c r="BA6" i="2" s="1"/>
  <c r="AQ6" i="2"/>
  <c r="AK6" i="2"/>
  <c r="AF6" i="2"/>
  <c r="AE6" i="2"/>
  <c r="AG6" i="2" s="1"/>
  <c r="Y6" i="2"/>
  <c r="W6" i="2"/>
  <c r="X6" i="2" s="1"/>
  <c r="AZ5" i="2"/>
  <c r="BA5" i="2" s="1"/>
  <c r="AQ5" i="2"/>
  <c r="AM5" i="2"/>
  <c r="AK5" i="2"/>
  <c r="AF5" i="2"/>
  <c r="AE5" i="2"/>
  <c r="AG5" i="2" s="1"/>
  <c r="Y5" i="2"/>
  <c r="W5" i="2"/>
  <c r="X5" i="2" s="1"/>
  <c r="AZ4" i="2"/>
  <c r="BA4" i="2" s="1"/>
  <c r="AQ4" i="2"/>
  <c r="AM4" i="2"/>
  <c r="AK4" i="2"/>
  <c r="AF4" i="2"/>
  <c r="AE4" i="2"/>
  <c r="AG4" i="2" s="1"/>
  <c r="Y4" i="2"/>
  <c r="W4" i="2"/>
  <c r="X4" i="2" s="1"/>
  <c r="AZ3" i="2"/>
  <c r="BA3" i="2" s="1"/>
  <c r="AQ3" i="2"/>
  <c r="AF3" i="2"/>
  <c r="AE3" i="2"/>
  <c r="AG3" i="2" s="1"/>
  <c r="Y3" i="2"/>
  <c r="W3" i="2"/>
  <c r="X3" i="2" s="1"/>
  <c r="BA2" i="1"/>
  <c r="BB2" i="1" s="1"/>
  <c r="AG2" i="1"/>
  <c r="AI2" i="1" s="1"/>
  <c r="AJ2" i="1" s="1"/>
  <c r="T2" i="1"/>
  <c r="Y2" i="1" s="1"/>
  <c r="AB2" i="1" s="1"/>
  <c r="BD91" i="1" l="1"/>
  <c r="BD80" i="1"/>
  <c r="BD2" i="1"/>
  <c r="BD28" i="1"/>
  <c r="BD27" i="1"/>
  <c r="BD94" i="1"/>
  <c r="BD43" i="1"/>
  <c r="BD78" i="1"/>
  <c r="BD47" i="1"/>
  <c r="BD65" i="1"/>
  <c r="BD44" i="1"/>
  <c r="BD12" i="1"/>
  <c r="BD56" i="1"/>
  <c r="BD42" i="1"/>
  <c r="BD60" i="1"/>
  <c r="BD34" i="1"/>
  <c r="BD41" i="1"/>
  <c r="BD38" i="1"/>
  <c r="BD59" i="1"/>
  <c r="BD25" i="1"/>
  <c r="BD10" i="1"/>
  <c r="BD45" i="1"/>
  <c r="BD48" i="1"/>
  <c r="BD93" i="1"/>
  <c r="BD77" i="1"/>
  <c r="BD46" i="1"/>
  <c r="BD18" i="1"/>
  <c r="BD32" i="1"/>
  <c r="BD50" i="1"/>
  <c r="BD14" i="1"/>
  <c r="BD97" i="1"/>
  <c r="BD96" i="1"/>
  <c r="BD62" i="1"/>
  <c r="BD26" i="1"/>
  <c r="BD23" i="1"/>
  <c r="BD20" i="1"/>
  <c r="BD82" i="1"/>
  <c r="BD31" i="1"/>
  <c r="BD19" i="1"/>
  <c r="BD99" i="1"/>
  <c r="BD30" i="1"/>
  <c r="BD58" i="1"/>
  <c r="BD8" i="1"/>
  <c r="BD24" i="1"/>
  <c r="BD92" i="1"/>
  <c r="BD76" i="1"/>
  <c r="BD33" i="1"/>
  <c r="BD13" i="1"/>
  <c r="BD84" i="1"/>
  <c r="BD72" i="1"/>
  <c r="BD15" i="1"/>
  <c r="BD57" i="1"/>
  <c r="BD39" i="1"/>
  <c r="BD29" i="1"/>
  <c r="BD7" i="1"/>
  <c r="BD51" i="1"/>
  <c r="BD101" i="1"/>
  <c r="BD55" i="1"/>
  <c r="BD73" i="1"/>
  <c r="BD61" i="1"/>
  <c r="BD16" i="1"/>
  <c r="BD66" i="1"/>
  <c r="BD67" i="1"/>
  <c r="BD74" i="1"/>
  <c r="BD64" i="1"/>
  <c r="BD88" i="1"/>
  <c r="BD75" i="1"/>
  <c r="BD63" i="1"/>
  <c r="BD95" i="1"/>
  <c r="BD35" i="1"/>
  <c r="BD83" i="1"/>
  <c r="AH47" i="2"/>
  <c r="Z144" i="2"/>
  <c r="AH146" i="1" s="1"/>
  <c r="Z156" i="2"/>
  <c r="Z160" i="2"/>
  <c r="AH164" i="2"/>
  <c r="Z166" i="2"/>
  <c r="Z168" i="2"/>
  <c r="AH170" i="1" s="1"/>
  <c r="Z184" i="2"/>
  <c r="AI54" i="1"/>
  <c r="AJ54" i="1" s="1"/>
  <c r="BD54" i="1" s="1"/>
  <c r="AI70" i="1"/>
  <c r="AJ70" i="1" s="1"/>
  <c r="BD70" i="1" s="1"/>
  <c r="AI40" i="1"/>
  <c r="AJ40" i="1" s="1"/>
  <c r="BD40" i="1" s="1"/>
  <c r="AI22" i="1"/>
  <c r="AJ22" i="1" s="1"/>
  <c r="BD22" i="1" s="1"/>
  <c r="AI6" i="1"/>
  <c r="AI87" i="1"/>
  <c r="AI69" i="1"/>
  <c r="AJ69" i="1" s="1"/>
  <c r="AI53" i="1"/>
  <c r="AJ53" i="1" s="1"/>
  <c r="BD53" i="1" s="1"/>
  <c r="AI36" i="1"/>
  <c r="AJ36" i="1" s="1"/>
  <c r="BD36" i="1" s="1"/>
  <c r="AI21" i="1"/>
  <c r="AJ21" i="1" s="1"/>
  <c r="BD21" i="1" s="1"/>
  <c r="AI5" i="1"/>
  <c r="AJ5" i="1" s="1"/>
  <c r="AI52" i="1"/>
  <c r="AJ52" i="1" s="1"/>
  <c r="BD52" i="1" s="1"/>
  <c r="AI17" i="1"/>
  <c r="AJ17" i="1" s="1"/>
  <c r="BD17" i="1" s="1"/>
  <c r="AI37" i="1"/>
  <c r="AJ37" i="1" s="1"/>
  <c r="BD37" i="1" s="1"/>
  <c r="AI4" i="1"/>
  <c r="AJ4" i="1" s="1"/>
  <c r="BD4" i="1" s="1"/>
  <c r="AI85" i="1"/>
  <c r="AJ85" i="1" s="1"/>
  <c r="BD85" i="1" s="1"/>
  <c r="AI68" i="1"/>
  <c r="AJ68" i="1" s="1"/>
  <c r="AI86" i="1"/>
  <c r="AJ86" i="1" s="1"/>
  <c r="BD86" i="1" s="1"/>
  <c r="AL3" i="1"/>
  <c r="BD3" i="1" s="1"/>
  <c r="Z144" i="1"/>
  <c r="AB144" i="1" s="1"/>
  <c r="Z140" i="1"/>
  <c r="AB140" i="1" s="1"/>
  <c r="T207" i="1"/>
  <c r="Y207" i="1" s="1"/>
  <c r="AB207" i="1" s="1"/>
  <c r="T149" i="1"/>
  <c r="T153" i="1"/>
  <c r="Y153" i="1" s="1"/>
  <c r="AB153" i="1" s="1"/>
  <c r="T155" i="1"/>
  <c r="Y155" i="1" s="1"/>
  <c r="AB155" i="1" s="1"/>
  <c r="T127" i="1"/>
  <c r="Y127" i="1" s="1"/>
  <c r="AB127" i="1" s="1"/>
  <c r="T126" i="1"/>
  <c r="Y126" i="1" s="1"/>
  <c r="AB126" i="1" s="1"/>
  <c r="T124" i="1"/>
  <c r="Y124" i="1" s="1"/>
  <c r="AB124" i="1" s="1"/>
  <c r="T204" i="1"/>
  <c r="Y204" i="1" s="1"/>
  <c r="AB204" i="1" s="1"/>
  <c r="T186" i="1"/>
  <c r="Y186" i="1" s="1"/>
  <c r="AB186" i="1" s="1"/>
  <c r="T145" i="1"/>
  <c r="Y145" i="1" s="1"/>
  <c r="AB145" i="1" s="1"/>
  <c r="T114" i="1"/>
  <c r="Y114" i="1" s="1"/>
  <c r="AB114" i="1" s="1"/>
  <c r="T143" i="1"/>
  <c r="Y143" i="1" s="1"/>
  <c r="T113" i="1"/>
  <c r="Y113" i="1" s="1"/>
  <c r="AB113" i="1" s="1"/>
  <c r="T142" i="1"/>
  <c r="Y142" i="1" s="1"/>
  <c r="AB142" i="1" s="1"/>
  <c r="T112" i="1"/>
  <c r="Y112" i="1" s="1"/>
  <c r="AB112" i="1" s="1"/>
  <c r="T171" i="1"/>
  <c r="Y171" i="1" s="1"/>
  <c r="AB171" i="1" s="1"/>
  <c r="T137" i="1"/>
  <c r="Y137" i="1" s="1"/>
  <c r="AB137" i="1" s="1"/>
  <c r="T108" i="1"/>
  <c r="Y108" i="1" s="1"/>
  <c r="AB108" i="1" s="1"/>
  <c r="T136" i="1"/>
  <c r="Y136" i="1" s="1"/>
  <c r="AB136" i="1" s="1"/>
  <c r="T202" i="1"/>
  <c r="Y202" i="1" s="1"/>
  <c r="AB202" i="1" s="1"/>
  <c r="T150" i="1"/>
  <c r="Y150" i="1" s="1"/>
  <c r="AB150" i="1" s="1"/>
  <c r="T115" i="1"/>
  <c r="Y115" i="1" s="1"/>
  <c r="AB115" i="1" s="1"/>
  <c r="T173" i="1"/>
  <c r="Y173" i="1" s="1"/>
  <c r="AB173" i="1" s="1"/>
  <c r="T170" i="1"/>
  <c r="Y170" i="1" s="1"/>
  <c r="AB170" i="1" s="1"/>
  <c r="T109" i="1"/>
  <c r="Y109" i="1" s="1"/>
  <c r="AB109" i="1" s="1"/>
  <c r="T132" i="1"/>
  <c r="Y132" i="1" s="1"/>
  <c r="AB132" i="1" s="1"/>
  <c r="T107" i="1"/>
  <c r="Y107" i="1" s="1"/>
  <c r="AB107" i="1" s="1"/>
  <c r="T200" i="1"/>
  <c r="Y200" i="1" s="1"/>
  <c r="AB200" i="1" s="1"/>
  <c r="T146" i="1"/>
  <c r="Y146" i="1" s="1"/>
  <c r="AB146" i="1" s="1"/>
  <c r="T138" i="1"/>
  <c r="Y138" i="1" s="1"/>
  <c r="AB138" i="1" s="1"/>
  <c r="T103" i="1"/>
  <c r="Y103" i="1" s="1"/>
  <c r="AB103" i="1" s="1"/>
  <c r="T161" i="1"/>
  <c r="Y161" i="1" s="1"/>
  <c r="AB161" i="1" s="1"/>
  <c r="T129" i="1"/>
  <c r="Y129" i="1" s="1"/>
  <c r="AB129" i="1" s="1"/>
  <c r="T104" i="1"/>
  <c r="Y104" i="1" s="1"/>
  <c r="AB104" i="1" s="1"/>
  <c r="T203" i="1"/>
  <c r="Y203" i="1" s="1"/>
  <c r="AB203" i="1" s="1"/>
  <c r="T119" i="1"/>
  <c r="Y119" i="1" s="1"/>
  <c r="AB119" i="1" s="1"/>
  <c r="T111" i="1"/>
  <c r="Y111" i="1" s="1"/>
  <c r="AB111" i="1" s="1"/>
  <c r="T130" i="1"/>
  <c r="Y130" i="1" s="1"/>
  <c r="AB130" i="1" s="1"/>
  <c r="T106" i="1"/>
  <c r="Y106" i="1" s="1"/>
  <c r="AB106" i="1" s="1"/>
  <c r="T206" i="1"/>
  <c r="Y206" i="1" s="1"/>
  <c r="AB206" i="1" s="1"/>
  <c r="T128" i="1"/>
  <c r="Y128" i="1" s="1"/>
  <c r="AB128" i="1" s="1"/>
  <c r="T102" i="1"/>
  <c r="Y102" i="1" s="1"/>
  <c r="AB102" i="1" s="1"/>
  <c r="Z12" i="2"/>
  <c r="Z14" i="2"/>
  <c r="Z46" i="2"/>
  <c r="Z60" i="2"/>
  <c r="Z125" i="2"/>
  <c r="AH127" i="1" s="1"/>
  <c r="AH41" i="2"/>
  <c r="AH45" i="2"/>
  <c r="Z47" i="2"/>
  <c r="Z49" i="2"/>
  <c r="Z75" i="2"/>
  <c r="Z77" i="2"/>
  <c r="Z79" i="2"/>
  <c r="Z81" i="2"/>
  <c r="Z83" i="2"/>
  <c r="Z162" i="2"/>
  <c r="Z164" i="2"/>
  <c r="Z20" i="2"/>
  <c r="Z22" i="2"/>
  <c r="Z99" i="2"/>
  <c r="Z186" i="2"/>
  <c r="Z190" i="2"/>
  <c r="Z192" i="2"/>
  <c r="Z28" i="2"/>
  <c r="Z30" i="2"/>
  <c r="Z32" i="2"/>
  <c r="Z34" i="2"/>
  <c r="Z36" i="2"/>
  <c r="Z42" i="2"/>
  <c r="Z44" i="2"/>
  <c r="Z52" i="2"/>
  <c r="Z56" i="2"/>
  <c r="Z69" i="2"/>
  <c r="AH114" i="1" s="1"/>
  <c r="AH105" i="2"/>
  <c r="AH107" i="2"/>
  <c r="AH115" i="2"/>
  <c r="Z121" i="2"/>
  <c r="AH194" i="2"/>
  <c r="Z120" i="2"/>
  <c r="AH189" i="2"/>
  <c r="Z195" i="2"/>
  <c r="Z90" i="2"/>
  <c r="Z94" i="2"/>
  <c r="Z96" i="2"/>
  <c r="Z98" i="2"/>
  <c r="AH131" i="2"/>
  <c r="AH165" i="2"/>
  <c r="Z169" i="2"/>
  <c r="AH171" i="1" s="1"/>
  <c r="AH177" i="2"/>
  <c r="Z5" i="2"/>
  <c r="Z61" i="2"/>
  <c r="Z72" i="2"/>
  <c r="AH118" i="2"/>
  <c r="AH120" i="2"/>
  <c r="Z124" i="2"/>
  <c r="AH195" i="2"/>
  <c r="AH199" i="2"/>
  <c r="Z137" i="2"/>
  <c r="Z139" i="2"/>
  <c r="Z143" i="2"/>
  <c r="AH145" i="1" s="1"/>
  <c r="Z145" i="2"/>
  <c r="Z157" i="2"/>
  <c r="AH139" i="2"/>
  <c r="Z149" i="2"/>
  <c r="Z151" i="2"/>
  <c r="AH155" i="1" s="1"/>
  <c r="Z23" i="2"/>
  <c r="BB23" i="2" s="1"/>
  <c r="AH155" i="2"/>
  <c r="AH98" i="2"/>
  <c r="Z27" i="2"/>
  <c r="Z29" i="2"/>
  <c r="Z33" i="2"/>
  <c r="Z66" i="2"/>
  <c r="Z68" i="2"/>
  <c r="Z70" i="2"/>
  <c r="AH100" i="2"/>
  <c r="AH108" i="2"/>
  <c r="AH13" i="2"/>
  <c r="AH63" i="2"/>
  <c r="AH72" i="2"/>
  <c r="Z87" i="2"/>
  <c r="Z132" i="2"/>
  <c r="Z172" i="2"/>
  <c r="Z101" i="2"/>
  <c r="AH102" i="1" s="1"/>
  <c r="Z103" i="2"/>
  <c r="Z107" i="2"/>
  <c r="AH108" i="1" s="1"/>
  <c r="Z109" i="2"/>
  <c r="AH112" i="1" s="1"/>
  <c r="Z111" i="2"/>
  <c r="AH113" i="1" s="1"/>
  <c r="Z115" i="2"/>
  <c r="Z117" i="2"/>
  <c r="AH136" i="2"/>
  <c r="Z148" i="2"/>
  <c r="AH149" i="1" s="1"/>
  <c r="Z150" i="2"/>
  <c r="Z152" i="2"/>
  <c r="AH153" i="1" s="1"/>
  <c r="AH184" i="2"/>
  <c r="Z119" i="2"/>
  <c r="AH146" i="2"/>
  <c r="Z196" i="2"/>
  <c r="Z198" i="2"/>
  <c r="Z200" i="2"/>
  <c r="Z202" i="2"/>
  <c r="Z204" i="2"/>
  <c r="Z206" i="2"/>
  <c r="AH10" i="2"/>
  <c r="AH26" i="2"/>
  <c r="AH34" i="2"/>
  <c r="AH36" i="2"/>
  <c r="Z48" i="2"/>
  <c r="Z50" i="2"/>
  <c r="Z64" i="2"/>
  <c r="Z82" i="2"/>
  <c r="Z171" i="2"/>
  <c r="AH173" i="1" s="1"/>
  <c r="Z173" i="2"/>
  <c r="Z175" i="2"/>
  <c r="Z177" i="2"/>
  <c r="Z86" i="2"/>
  <c r="AH159" i="2"/>
  <c r="AH129" i="2"/>
  <c r="Z131" i="2"/>
  <c r="Z133" i="2"/>
  <c r="Z17" i="2"/>
  <c r="AH78" i="2"/>
  <c r="AH80" i="2"/>
  <c r="AH82" i="2"/>
  <c r="Z88" i="2"/>
  <c r="AH81" i="2"/>
  <c r="AH20" i="2"/>
  <c r="Z181" i="2"/>
  <c r="Z9" i="2"/>
  <c r="Z25" i="2"/>
  <c r="Z108" i="2"/>
  <c r="Z110" i="2"/>
  <c r="AH111" i="1" s="1"/>
  <c r="Z112" i="2"/>
  <c r="Z114" i="2"/>
  <c r="AH135" i="2"/>
  <c r="Z161" i="2"/>
  <c r="Z167" i="2"/>
  <c r="Z185" i="2"/>
  <c r="AH122" i="2"/>
  <c r="AH124" i="2"/>
  <c r="Z130" i="2"/>
  <c r="AH132" i="1" s="1"/>
  <c r="AH169" i="2"/>
  <c r="AH32" i="2"/>
  <c r="AH19" i="2"/>
  <c r="AH9" i="2"/>
  <c r="Z35" i="2"/>
  <c r="Z37" i="2"/>
  <c r="Z39" i="2"/>
  <c r="Z43" i="2"/>
  <c r="Z55" i="2"/>
  <c r="AH90" i="2"/>
  <c r="Z100" i="2"/>
  <c r="AH103" i="1" s="1"/>
  <c r="Z104" i="2"/>
  <c r="AH106" i="1" s="1"/>
  <c r="Z135" i="2"/>
  <c r="AH137" i="1" s="1"/>
  <c r="AH204" i="2"/>
  <c r="AH203" i="2"/>
  <c r="AH162" i="2"/>
  <c r="Z24" i="2"/>
  <c r="AH85" i="2"/>
  <c r="Z128" i="2"/>
  <c r="AH130" i="1" s="1"/>
  <c r="AH181" i="2"/>
  <c r="AG120" i="1"/>
  <c r="AI120" i="1" s="1"/>
  <c r="AJ120" i="1" s="1"/>
  <c r="BD120" i="1" s="1"/>
  <c r="AG183" i="1"/>
  <c r="AI183" i="1" s="1"/>
  <c r="AJ183" i="1" s="1"/>
  <c r="BD183" i="1" s="1"/>
  <c r="AG168" i="1"/>
  <c r="AG121" i="1"/>
  <c r="AI121" i="1" s="1"/>
  <c r="AJ121" i="1" s="1"/>
  <c r="BD121" i="1" s="1"/>
  <c r="AG106" i="1"/>
  <c r="AI106" i="1" s="1"/>
  <c r="AG152" i="1"/>
  <c r="AI152" i="1" s="1"/>
  <c r="AJ152" i="1" s="1"/>
  <c r="BD152" i="1" s="1"/>
  <c r="AG104" i="1"/>
  <c r="AI104" i="1" s="1"/>
  <c r="AG105" i="1"/>
  <c r="AI105" i="1" s="1"/>
  <c r="AJ105" i="1" s="1"/>
  <c r="BD105" i="1" s="1"/>
  <c r="AG197" i="1"/>
  <c r="AI197" i="1" s="1"/>
  <c r="AJ197" i="1" s="1"/>
  <c r="AG102" i="1"/>
  <c r="AI102" i="1" s="1"/>
  <c r="AG149" i="1"/>
  <c r="AI149" i="1" s="1"/>
  <c r="AG198" i="1"/>
  <c r="AI198" i="1" s="1"/>
  <c r="AJ198" i="1" s="1"/>
  <c r="AG119" i="1"/>
  <c r="AG151" i="1"/>
  <c r="AI151" i="1" s="1"/>
  <c r="AJ151" i="1" s="1"/>
  <c r="BD151" i="1" s="1"/>
  <c r="AG135" i="1"/>
  <c r="AI135" i="1" s="1"/>
  <c r="AJ135" i="1" s="1"/>
  <c r="BD135" i="1" s="1"/>
  <c r="AG167" i="1"/>
  <c r="AI167" i="1" s="1"/>
  <c r="AJ167" i="1" s="1"/>
  <c r="BD167" i="1" s="1"/>
  <c r="AG169" i="1"/>
  <c r="AI169" i="1" s="1"/>
  <c r="AJ169" i="1" s="1"/>
  <c r="AG182" i="1"/>
  <c r="AI182" i="1" s="1"/>
  <c r="AJ182" i="1" s="1"/>
  <c r="BD182" i="1" s="1"/>
  <c r="AH161" i="2"/>
  <c r="AH156" i="2"/>
  <c r="AH24" i="2"/>
  <c r="AH17" i="2"/>
  <c r="Z53" i="2"/>
  <c r="Z85" i="2"/>
  <c r="AH141" i="2"/>
  <c r="Z182" i="2"/>
  <c r="AH193" i="2"/>
  <c r="Z197" i="2"/>
  <c r="Z199" i="2"/>
  <c r="AH192" i="2"/>
  <c r="AH138" i="2"/>
  <c r="Z57" i="2"/>
  <c r="Z59" i="2"/>
  <c r="Z74" i="2"/>
  <c r="Z76" i="2"/>
  <c r="Z89" i="2"/>
  <c r="Z91" i="2"/>
  <c r="Z95" i="2"/>
  <c r="Z97" i="2"/>
  <c r="Z127" i="2"/>
  <c r="AH129" i="1" s="1"/>
  <c r="AH149" i="2"/>
  <c r="Z80" i="2"/>
  <c r="AH97" i="2"/>
  <c r="AH106" i="2"/>
  <c r="AH114" i="2"/>
  <c r="AH142" i="2"/>
  <c r="Z174" i="2"/>
  <c r="AH186" i="2"/>
  <c r="Z201" i="2"/>
  <c r="AH202" i="1" s="1"/>
  <c r="Z203" i="2"/>
  <c r="AH204" i="1" s="1"/>
  <c r="AH52" i="2"/>
  <c r="Z6" i="2"/>
  <c r="Z18" i="2"/>
  <c r="Z63" i="2"/>
  <c r="AH104" i="2"/>
  <c r="Z116" i="2"/>
  <c r="Z118" i="2"/>
  <c r="Z129" i="2"/>
  <c r="Z140" i="2"/>
  <c r="Z142" i="2"/>
  <c r="Z163" i="2"/>
  <c r="AH201" i="2"/>
  <c r="Z205" i="2"/>
  <c r="AG103" i="1"/>
  <c r="AI103" i="1" s="1"/>
  <c r="AG170" i="1"/>
  <c r="AG153" i="1"/>
  <c r="AI153" i="1" s="1"/>
  <c r="AG122" i="1"/>
  <c r="AI122" i="1" s="1"/>
  <c r="AJ122" i="1" s="1"/>
  <c r="BD122" i="1" s="1"/>
  <c r="AH48" i="2"/>
  <c r="AH50" i="2"/>
  <c r="AH113" i="2"/>
  <c r="AH55" i="2"/>
  <c r="AH58" i="2"/>
  <c r="AH71" i="2"/>
  <c r="AH147" i="2"/>
  <c r="AH91" i="2"/>
  <c r="Z113" i="2"/>
  <c r="AH115" i="1" s="1"/>
  <c r="AH130" i="2"/>
  <c r="AH171" i="2"/>
  <c r="AH86" i="2"/>
  <c r="AH3" i="2"/>
  <c r="AH60" i="2"/>
  <c r="AH57" i="2"/>
  <c r="AH88" i="2"/>
  <c r="Z4" i="2"/>
  <c r="AH27" i="2"/>
  <c r="Z38" i="2"/>
  <c r="Z67" i="2"/>
  <c r="Z126" i="2"/>
  <c r="AH128" i="1" s="1"/>
  <c r="Z136" i="2"/>
  <c r="AH138" i="1" s="1"/>
  <c r="AH103" i="2"/>
  <c r="AH123" i="2"/>
  <c r="AH39" i="2"/>
  <c r="Z19" i="2"/>
  <c r="AH163" i="2"/>
  <c r="AH69" i="2"/>
  <c r="AH16" i="2"/>
  <c r="AH89" i="2"/>
  <c r="AH116" i="2"/>
  <c r="AH160" i="2"/>
  <c r="AH7" i="2"/>
  <c r="Z93" i="2"/>
  <c r="AH5" i="2"/>
  <c r="AH66" i="2"/>
  <c r="AH95" i="2"/>
  <c r="Z159" i="2"/>
  <c r="AH161" i="1" s="1"/>
  <c r="Z134" i="2"/>
  <c r="AH136" i="1" s="1"/>
  <c r="AH15" i="2"/>
  <c r="AH31" i="2"/>
  <c r="AH38" i="2"/>
  <c r="AH75" i="2"/>
  <c r="AH96" i="2"/>
  <c r="Z158" i="2"/>
  <c r="Z176" i="2"/>
  <c r="Z45" i="2"/>
  <c r="Z10" i="2"/>
  <c r="AH21" i="2"/>
  <c r="Z71" i="2"/>
  <c r="Z123" i="2"/>
  <c r="Z147" i="2"/>
  <c r="AH150" i="1" s="1"/>
  <c r="AH174" i="2"/>
  <c r="Z178" i="2"/>
  <c r="Z180" i="2"/>
  <c r="Z194" i="2"/>
  <c r="AH14" i="2"/>
  <c r="AH54" i="2"/>
  <c r="AH77" i="2"/>
  <c r="AH151" i="2"/>
  <c r="AH183" i="2"/>
  <c r="Z188" i="2"/>
  <c r="AH190" i="1" s="1"/>
  <c r="Z11" i="2"/>
  <c r="AH33" i="2"/>
  <c r="AH40" i="2"/>
  <c r="AH42" i="2"/>
  <c r="Z51" i="2"/>
  <c r="Z92" i="2"/>
  <c r="Z102" i="2"/>
  <c r="AH104" i="1" s="1"/>
  <c r="Z122" i="2"/>
  <c r="AH124" i="1" s="1"/>
  <c r="Z165" i="2"/>
  <c r="AH173" i="2"/>
  <c r="Z193" i="2"/>
  <c r="AH194" i="1" s="1"/>
  <c r="AH196" i="2"/>
  <c r="AG155" i="1"/>
  <c r="AI155" i="1" s="1"/>
  <c r="AH30" i="2"/>
  <c r="AH49" i="2"/>
  <c r="AH87" i="2"/>
  <c r="AH175" i="2"/>
  <c r="AH4" i="2"/>
  <c r="AH59" i="2"/>
  <c r="AH35" i="2"/>
  <c r="AH46" i="2"/>
  <c r="AH99" i="2"/>
  <c r="AH172" i="2"/>
  <c r="AH185" i="2"/>
  <c r="AH18" i="2"/>
  <c r="Z84" i="2"/>
  <c r="AH11" i="2"/>
  <c r="AH92" i="2"/>
  <c r="AH6" i="2"/>
  <c r="AH140" i="2"/>
  <c r="AH148" i="2"/>
  <c r="AH170" i="2"/>
  <c r="AH8" i="2"/>
  <c r="Z15" i="2"/>
  <c r="AH25" i="2"/>
  <c r="AH53" i="2"/>
  <c r="AH56" i="2"/>
  <c r="Z58" i="2"/>
  <c r="AH64" i="2"/>
  <c r="AH70" i="2"/>
  <c r="AH74" i="2"/>
  <c r="Z106" i="2"/>
  <c r="AH109" i="1" s="1"/>
  <c r="AH119" i="2"/>
  <c r="AH157" i="2"/>
  <c r="Z179" i="2"/>
  <c r="Z187" i="2"/>
  <c r="AG109" i="1"/>
  <c r="AI109" i="1" s="1"/>
  <c r="AG201" i="1"/>
  <c r="AI201" i="1" s="1"/>
  <c r="AJ201" i="1" s="1"/>
  <c r="AG184" i="1"/>
  <c r="AI184" i="1" s="1"/>
  <c r="AJ184" i="1" s="1"/>
  <c r="BD184" i="1" s="1"/>
  <c r="AG137" i="1"/>
  <c r="AI137" i="1" s="1"/>
  <c r="AG178" i="1"/>
  <c r="AI178" i="1" s="1"/>
  <c r="AJ178" i="1" s="1"/>
  <c r="BD178" i="1" s="1"/>
  <c r="AG200" i="1"/>
  <c r="AI200" i="1" s="1"/>
  <c r="AJ200" i="1" s="1"/>
  <c r="AG185" i="1"/>
  <c r="AG138" i="1"/>
  <c r="AI138" i="1" s="1"/>
  <c r="AG199" i="1"/>
  <c r="AI199" i="1" s="1"/>
  <c r="AJ199" i="1" s="1"/>
  <c r="AG136" i="1"/>
  <c r="AI136" i="1" s="1"/>
  <c r="AG156" i="1"/>
  <c r="AI156" i="1" s="1"/>
  <c r="AJ156" i="1" s="1"/>
  <c r="BD156" i="1" s="1"/>
  <c r="AG204" i="1"/>
  <c r="AI204" i="1" s="1"/>
  <c r="AG125" i="1"/>
  <c r="AI125" i="1" s="1"/>
  <c r="AJ125" i="1" s="1"/>
  <c r="BD125" i="1" s="1"/>
  <c r="AG202" i="1"/>
  <c r="AI202" i="1" s="1"/>
  <c r="AG186" i="1"/>
  <c r="AG171" i="1"/>
  <c r="AI171" i="1" s="1"/>
  <c r="AG154" i="1"/>
  <c r="AG139" i="1"/>
  <c r="AI139" i="1" s="1"/>
  <c r="AJ139" i="1" s="1"/>
  <c r="BD139" i="1" s="1"/>
  <c r="AG123" i="1"/>
  <c r="AG107" i="1"/>
  <c r="AI107" i="1" s="1"/>
  <c r="AG181" i="1"/>
  <c r="AI181" i="1" s="1"/>
  <c r="AJ181" i="1" s="1"/>
  <c r="BD181" i="1" s="1"/>
  <c r="AG166" i="1"/>
  <c r="AI166" i="1" s="1"/>
  <c r="AJ166" i="1" s="1"/>
  <c r="BD166" i="1" s="1"/>
  <c r="AG133" i="1"/>
  <c r="AI133" i="1" s="1"/>
  <c r="AJ133" i="1" s="1"/>
  <c r="BD133" i="1" s="1"/>
  <c r="AG118" i="1"/>
  <c r="AI118" i="1" s="1"/>
  <c r="AJ118" i="1" s="1"/>
  <c r="BD118" i="1" s="1"/>
  <c r="AG141" i="1"/>
  <c r="AI141" i="1" s="1"/>
  <c r="AJ141" i="1" s="1"/>
  <c r="AG188" i="1"/>
  <c r="AI188" i="1" s="1"/>
  <c r="AJ188" i="1" s="1"/>
  <c r="BD188" i="1" s="1"/>
  <c r="AG173" i="1"/>
  <c r="AI173" i="1" s="1"/>
  <c r="AG108" i="1"/>
  <c r="AI108" i="1" s="1"/>
  <c r="AG195" i="1"/>
  <c r="AI195" i="1" s="1"/>
  <c r="AJ195" i="1" s="1"/>
  <c r="BD195" i="1" s="1"/>
  <c r="AG180" i="1"/>
  <c r="AI180" i="1" s="1"/>
  <c r="AJ180" i="1" s="1"/>
  <c r="BD180" i="1" s="1"/>
  <c r="AG164" i="1"/>
  <c r="AI164" i="1" s="1"/>
  <c r="AJ164" i="1" s="1"/>
  <c r="BD164" i="1" s="1"/>
  <c r="AG147" i="1"/>
  <c r="AI147" i="1" s="1"/>
  <c r="AJ147" i="1" s="1"/>
  <c r="BD147" i="1" s="1"/>
  <c r="AG132" i="1"/>
  <c r="AI132" i="1" s="1"/>
  <c r="AG116" i="1"/>
  <c r="AI116" i="1" s="1"/>
  <c r="AJ116" i="1" s="1"/>
  <c r="AG162" i="1"/>
  <c r="AG146" i="1"/>
  <c r="AG130" i="1"/>
  <c r="AI130" i="1" s="1"/>
  <c r="AG114" i="1"/>
  <c r="AI114" i="1" s="1"/>
  <c r="AG192" i="1"/>
  <c r="AI192" i="1" s="1"/>
  <c r="AG177" i="1"/>
  <c r="AG161" i="1"/>
  <c r="AI161" i="1" s="1"/>
  <c r="AG145" i="1"/>
  <c r="AI145" i="1" s="1"/>
  <c r="AG129" i="1"/>
  <c r="AI129" i="1" s="1"/>
  <c r="AG113" i="1"/>
  <c r="AI113" i="1" s="1"/>
  <c r="AG205" i="1"/>
  <c r="AG191" i="1"/>
  <c r="AG176" i="1"/>
  <c r="AI176" i="1" s="1"/>
  <c r="AJ176" i="1" s="1"/>
  <c r="BD176" i="1" s="1"/>
  <c r="AG160" i="1"/>
  <c r="AI160" i="1" s="1"/>
  <c r="AJ160" i="1" s="1"/>
  <c r="BD160" i="1" s="1"/>
  <c r="AG144" i="1"/>
  <c r="AG128" i="1"/>
  <c r="AI128" i="1" s="1"/>
  <c r="AG111" i="1"/>
  <c r="AI111" i="1" s="1"/>
  <c r="AG206" i="1"/>
  <c r="AG175" i="1"/>
  <c r="AI175" i="1" s="1"/>
  <c r="AJ175" i="1" s="1"/>
  <c r="BD175" i="1" s="1"/>
  <c r="AG158" i="1"/>
  <c r="AG127" i="1"/>
  <c r="AI127" i="1" s="1"/>
  <c r="AG112" i="1"/>
  <c r="AI112" i="1" s="1"/>
  <c r="AG207" i="1"/>
  <c r="AG190" i="1"/>
  <c r="AI190" i="1" s="1"/>
  <c r="AG174" i="1"/>
  <c r="AG159" i="1"/>
  <c r="AG142" i="1"/>
  <c r="AG126" i="1"/>
  <c r="AG110" i="1"/>
  <c r="AI110" i="1" s="1"/>
  <c r="AJ110" i="1" s="1"/>
  <c r="BD110" i="1" s="1"/>
  <c r="AG196" i="1"/>
  <c r="AI196" i="1" s="1"/>
  <c r="AJ196" i="1" s="1"/>
  <c r="BD196" i="1" s="1"/>
  <c r="AG165" i="1"/>
  <c r="AI165" i="1" s="1"/>
  <c r="AJ165" i="1" s="1"/>
  <c r="BD165" i="1" s="1"/>
  <c r="AG150" i="1"/>
  <c r="AI150" i="1" s="1"/>
  <c r="AG134" i="1"/>
  <c r="AI134" i="1" s="1"/>
  <c r="AJ134" i="1" s="1"/>
  <c r="BD134" i="1" s="1"/>
  <c r="AG117" i="1"/>
  <c r="AI117" i="1" s="1"/>
  <c r="AJ117" i="1" s="1"/>
  <c r="BD117" i="1" s="1"/>
  <c r="AG179" i="1"/>
  <c r="AI179" i="1" s="1"/>
  <c r="AJ179" i="1" s="1"/>
  <c r="BD179" i="1" s="1"/>
  <c r="AG148" i="1"/>
  <c r="AI148" i="1" s="1"/>
  <c r="AJ148" i="1" s="1"/>
  <c r="BD148" i="1" s="1"/>
  <c r="AG131" i="1"/>
  <c r="AI131" i="1" s="1"/>
  <c r="AJ131" i="1" s="1"/>
  <c r="BD131" i="1" s="1"/>
  <c r="AG193" i="1"/>
  <c r="AG189" i="1"/>
  <c r="AI189" i="1" s="1"/>
  <c r="AG143" i="1"/>
  <c r="AI143" i="1" s="1"/>
  <c r="AJ143" i="1" s="1"/>
  <c r="AG194" i="1"/>
  <c r="AI194" i="1" s="1"/>
  <c r="AG163" i="1"/>
  <c r="AI163" i="1" s="1"/>
  <c r="AJ163" i="1" s="1"/>
  <c r="BD163" i="1" s="1"/>
  <c r="AG115" i="1"/>
  <c r="AI115" i="1" s="1"/>
  <c r="AG203" i="1"/>
  <c r="AG187" i="1"/>
  <c r="AG172" i="1"/>
  <c r="AI172" i="1" s="1"/>
  <c r="AJ172" i="1" s="1"/>
  <c r="BD172" i="1" s="1"/>
  <c r="AG157" i="1"/>
  <c r="AI157" i="1" s="1"/>
  <c r="AJ157" i="1" s="1"/>
  <c r="BD157" i="1" s="1"/>
  <c r="AG140" i="1"/>
  <c r="AI140" i="1" s="1"/>
  <c r="AJ140" i="1" s="1"/>
  <c r="AG124" i="1"/>
  <c r="AI124" i="1" s="1"/>
  <c r="AH117" i="2"/>
  <c r="AH128" i="2"/>
  <c r="AH12" i="2"/>
  <c r="AH93" i="2"/>
  <c r="AH176" i="2"/>
  <c r="AH206" i="2"/>
  <c r="AH180" i="2"/>
  <c r="AH197" i="2"/>
  <c r="AH145" i="2"/>
  <c r="AH137" i="2"/>
  <c r="AH182" i="2"/>
  <c r="AH37" i="2"/>
  <c r="AH44" i="2"/>
  <c r="AH111" i="2"/>
  <c r="AH144" i="2"/>
  <c r="AH168" i="2"/>
  <c r="Z41" i="2"/>
  <c r="AH62" i="2"/>
  <c r="AH127" i="2"/>
  <c r="AH198" i="2"/>
  <c r="AH154" i="2"/>
  <c r="AH94" i="2"/>
  <c r="AH158" i="2"/>
  <c r="AH112" i="2"/>
  <c r="AH133" i="2"/>
  <c r="AH61" i="2"/>
  <c r="AH29" i="2"/>
  <c r="AH76" i="2"/>
  <c r="Z7" i="2"/>
  <c r="Z21" i="2"/>
  <c r="Z191" i="2"/>
  <c r="AH192" i="1" s="1"/>
  <c r="AH166" i="2"/>
  <c r="AH200" i="2"/>
  <c r="AH22" i="2"/>
  <c r="AH152" i="2"/>
  <c r="AH179" i="2"/>
  <c r="AH188" i="2"/>
  <c r="AH191" i="2"/>
  <c r="AH51" i="2"/>
  <c r="Z13" i="2"/>
  <c r="Z78" i="2"/>
  <c r="AH79" i="2"/>
  <c r="AH110" i="2"/>
  <c r="Z138" i="2"/>
  <c r="AH143" i="2"/>
  <c r="AH202" i="2"/>
  <c r="AH43" i="2"/>
  <c r="AH150" i="2"/>
  <c r="AH167" i="2"/>
  <c r="AH187" i="2"/>
  <c r="Z26" i="2"/>
  <c r="AH102" i="2"/>
  <c r="AH109" i="2"/>
  <c r="AH121" i="2"/>
  <c r="AH134" i="2"/>
  <c r="Z141" i="2"/>
  <c r="Z189" i="2"/>
  <c r="AH189" i="1" s="1"/>
  <c r="AH190" i="2"/>
  <c r="Z8" i="2"/>
  <c r="Z62" i="2"/>
  <c r="AH68" i="2"/>
  <c r="AH153" i="2"/>
  <c r="Z155" i="2"/>
  <c r="AH28" i="2"/>
  <c r="Z31" i="2"/>
  <c r="AH84" i="2"/>
  <c r="Z105" i="2"/>
  <c r="AH107" i="1" s="1"/>
  <c r="AH126" i="2"/>
  <c r="AH132" i="2"/>
  <c r="Z170" i="2"/>
  <c r="AH205" i="2"/>
  <c r="Z3" i="2"/>
  <c r="Z16" i="2"/>
  <c r="AH67" i="2"/>
  <c r="AH101" i="2"/>
  <c r="Z146" i="2"/>
  <c r="Z183" i="2"/>
  <c r="AH83" i="2"/>
  <c r="AH125" i="2"/>
  <c r="Z40" i="2"/>
  <c r="Z54" i="2"/>
  <c r="Z154" i="2"/>
  <c r="AH178" i="2"/>
  <c r="BB156" i="2" l="1"/>
  <c r="BB166" i="2"/>
  <c r="BB160" i="2"/>
  <c r="BB46" i="2"/>
  <c r="BB168" i="2"/>
  <c r="BB164" i="2"/>
  <c r="BB12" i="2"/>
  <c r="BB144" i="2"/>
  <c r="Y149" i="1"/>
  <c r="AB149" i="1" s="1"/>
  <c r="BD200" i="1"/>
  <c r="BD140" i="1"/>
  <c r="BB47" i="2"/>
  <c r="BB9" i="2"/>
  <c r="BB186" i="2"/>
  <c r="BB184" i="2"/>
  <c r="BB125" i="2"/>
  <c r="AJ194" i="1"/>
  <c r="BD194" i="1" s="1"/>
  <c r="AJ189" i="1"/>
  <c r="BD189" i="1" s="1"/>
  <c r="AJ138" i="1"/>
  <c r="BD138" i="1" s="1"/>
  <c r="AJ173" i="1"/>
  <c r="BD173" i="1" s="1"/>
  <c r="AJ202" i="1"/>
  <c r="BD202" i="1" s="1"/>
  <c r="AJ155" i="1"/>
  <c r="BD155" i="1" s="1"/>
  <c r="AJ145" i="1"/>
  <c r="BD145" i="1" s="1"/>
  <c r="AJ136" i="1"/>
  <c r="AJ112" i="1"/>
  <c r="BD112" i="1" s="1"/>
  <c r="AJ107" i="1"/>
  <c r="BD107" i="1" s="1"/>
  <c r="AJ115" i="1"/>
  <c r="AJ103" i="1"/>
  <c r="BD103" i="1" s="1"/>
  <c r="AJ102" i="1"/>
  <c r="AJ113" i="1"/>
  <c r="BD113" i="1" s="1"/>
  <c r="AJ108" i="1"/>
  <c r="BD108" i="1" s="1"/>
  <c r="AJ190" i="1"/>
  <c r="BD190" i="1" s="1"/>
  <c r="AJ204" i="1"/>
  <c r="BD204" i="1" s="1"/>
  <c r="AJ127" i="1"/>
  <c r="BD127" i="1" s="1"/>
  <c r="AJ6" i="1"/>
  <c r="BD6" i="1" s="1"/>
  <c r="AJ111" i="1"/>
  <c r="BD111" i="1" s="1"/>
  <c r="AJ171" i="1"/>
  <c r="AJ130" i="1"/>
  <c r="BD130" i="1" s="1"/>
  <c r="AJ149" i="1"/>
  <c r="AJ114" i="1"/>
  <c r="AJ153" i="1"/>
  <c r="BD153" i="1" s="1"/>
  <c r="AJ109" i="1"/>
  <c r="BD109" i="1" s="1"/>
  <c r="AJ132" i="1"/>
  <c r="BD132" i="1" s="1"/>
  <c r="AJ124" i="1"/>
  <c r="BD124" i="1" s="1"/>
  <c r="AJ161" i="1"/>
  <c r="BD161" i="1" s="1"/>
  <c r="AJ87" i="1"/>
  <c r="BD87" i="1" s="1"/>
  <c r="AJ192" i="1"/>
  <c r="BD192" i="1" s="1"/>
  <c r="AJ104" i="1"/>
  <c r="BD104" i="1" s="1"/>
  <c r="AJ137" i="1"/>
  <c r="BD137" i="1" s="1"/>
  <c r="AJ150" i="1"/>
  <c r="BD150" i="1" s="1"/>
  <c r="AJ128" i="1"/>
  <c r="BD128" i="1" s="1"/>
  <c r="AJ129" i="1"/>
  <c r="BD129" i="1" s="1"/>
  <c r="AJ106" i="1"/>
  <c r="BD106" i="1" s="1"/>
  <c r="AI144" i="1"/>
  <c r="AI170" i="1"/>
  <c r="AJ170" i="1" s="1"/>
  <c r="BD170" i="1" s="1"/>
  <c r="AI186" i="1"/>
  <c r="AJ186" i="1" s="1"/>
  <c r="BD186" i="1" s="1"/>
  <c r="AI191" i="1"/>
  <c r="AJ191" i="1" s="1"/>
  <c r="BD191" i="1" s="1"/>
  <c r="AI203" i="1"/>
  <c r="AJ203" i="1" s="1"/>
  <c r="BD203" i="1" s="1"/>
  <c r="AI119" i="1"/>
  <c r="AJ119" i="1" s="1"/>
  <c r="BD119" i="1" s="1"/>
  <c r="AI193" i="1"/>
  <c r="AJ193" i="1" s="1"/>
  <c r="BD193" i="1" s="1"/>
  <c r="AI207" i="1"/>
  <c r="AJ207" i="1" s="1"/>
  <c r="BD207" i="1" s="1"/>
  <c r="AI187" i="1"/>
  <c r="AI185" i="1"/>
  <c r="AJ185" i="1" s="1"/>
  <c r="BD185" i="1" s="1"/>
  <c r="AI154" i="1"/>
  <c r="AI205" i="1"/>
  <c r="AJ205" i="1" s="1"/>
  <c r="BD205" i="1" s="1"/>
  <c r="AI174" i="1"/>
  <c r="AI158" i="1"/>
  <c r="AJ158" i="1" s="1"/>
  <c r="BD158" i="1" s="1"/>
  <c r="AI206" i="1"/>
  <c r="AJ206" i="1" s="1"/>
  <c r="BD206" i="1" s="1"/>
  <c r="AI146" i="1"/>
  <c r="AJ146" i="1" s="1"/>
  <c r="BD146" i="1" s="1"/>
  <c r="AI126" i="1"/>
  <c r="AJ126" i="1" s="1"/>
  <c r="BD126" i="1" s="1"/>
  <c r="AI142" i="1"/>
  <c r="AJ142" i="1" s="1"/>
  <c r="BD142" i="1" s="1"/>
  <c r="AI159" i="1"/>
  <c r="AI177" i="1"/>
  <c r="AJ177" i="1" s="1"/>
  <c r="BD177" i="1" s="1"/>
  <c r="AI162" i="1"/>
  <c r="AJ162" i="1" s="1"/>
  <c r="BD162" i="1" s="1"/>
  <c r="AI123" i="1"/>
  <c r="AI168" i="1"/>
  <c r="BB79" i="2"/>
  <c r="BB45" i="2"/>
  <c r="BB192" i="2"/>
  <c r="BB44" i="2"/>
  <c r="BB22" i="2"/>
  <c r="BB14" i="2"/>
  <c r="BB60" i="2"/>
  <c r="BB49" i="2"/>
  <c r="BB41" i="2"/>
  <c r="BB75" i="2"/>
  <c r="BB81" i="2"/>
  <c r="BB162" i="2"/>
  <c r="BB83" i="2"/>
  <c r="BB130" i="2"/>
  <c r="BB36" i="2"/>
  <c r="BB34" i="2"/>
  <c r="BB177" i="2"/>
  <c r="BB99" i="2"/>
  <c r="BB30" i="2"/>
  <c r="BB96" i="2"/>
  <c r="BB69" i="2"/>
  <c r="BB32" i="2"/>
  <c r="BB169" i="2"/>
  <c r="BB98" i="2"/>
  <c r="BB175" i="2"/>
  <c r="BB139" i="2"/>
  <c r="BB90" i="2"/>
  <c r="BB56" i="2"/>
  <c r="BB55" i="2"/>
  <c r="BB173" i="2"/>
  <c r="BB120" i="2"/>
  <c r="BB94" i="2"/>
  <c r="BB42" i="2"/>
  <c r="BB52" i="2"/>
  <c r="BB121" i="2"/>
  <c r="BB119" i="2"/>
  <c r="BB29" i="2"/>
  <c r="BB61" i="2"/>
  <c r="BB87" i="2"/>
  <c r="BB72" i="2"/>
  <c r="BB195" i="2"/>
  <c r="BB181" i="2"/>
  <c r="BB19" i="2"/>
  <c r="BB13" i="2"/>
  <c r="BB64" i="2"/>
  <c r="BB33" i="2"/>
  <c r="BB5" i="2"/>
  <c r="BB150" i="2"/>
  <c r="BB89" i="2"/>
  <c r="BB142" i="2"/>
  <c r="BB27" i="2"/>
  <c r="BB151" i="2"/>
  <c r="BB10" i="2"/>
  <c r="BB157" i="2"/>
  <c r="BB137" i="2"/>
  <c r="BB145" i="2"/>
  <c r="BB110" i="2"/>
  <c r="BB149" i="2"/>
  <c r="BB124" i="2"/>
  <c r="BB203" i="2"/>
  <c r="BB152" i="2"/>
  <c r="BB112" i="2"/>
  <c r="BB200" i="2"/>
  <c r="BB70" i="2"/>
  <c r="BB107" i="2"/>
  <c r="BB86" i="2"/>
  <c r="BB171" i="2"/>
  <c r="BB172" i="2"/>
  <c r="BB103" i="2"/>
  <c r="BB85" i="2"/>
  <c r="BB68" i="2"/>
  <c r="BB202" i="2"/>
  <c r="BB92" i="2"/>
  <c r="BB101" i="2"/>
  <c r="BB66" i="2"/>
  <c r="BB63" i="2"/>
  <c r="BB204" i="2"/>
  <c r="BB82" i="2"/>
  <c r="BB198" i="2"/>
  <c r="BB80" i="2"/>
  <c r="BB6" i="2"/>
  <c r="BB117" i="2"/>
  <c r="BB148" i="2"/>
  <c r="BB78" i="2"/>
  <c r="BB132" i="2"/>
  <c r="BB196" i="2"/>
  <c r="BB48" i="2"/>
  <c r="BB205" i="2"/>
  <c r="BB109" i="2"/>
  <c r="BB74" i="2"/>
  <c r="BB15" i="2"/>
  <c r="BB114" i="2"/>
  <c r="BB26" i="2"/>
  <c r="BB131" i="2"/>
  <c r="BB115" i="2"/>
  <c r="BB140" i="2"/>
  <c r="BB24" i="2"/>
  <c r="BB206" i="2"/>
  <c r="BB111" i="2"/>
  <c r="BB128" i="2"/>
  <c r="BB40" i="2"/>
  <c r="BB17" i="2"/>
  <c r="BB187" i="2"/>
  <c r="BB179" i="2"/>
  <c r="BB176" i="2"/>
  <c r="BB11" i="2"/>
  <c r="BB25" i="2"/>
  <c r="BB167" i="2"/>
  <c r="BB88" i="2"/>
  <c r="BB35" i="2"/>
  <c r="BB71" i="2"/>
  <c r="BB97" i="2"/>
  <c r="BB185" i="2"/>
  <c r="BB108" i="2"/>
  <c r="BB18" i="2"/>
  <c r="BB39" i="2"/>
  <c r="BB8" i="2"/>
  <c r="BB201" i="2"/>
  <c r="BB158" i="2"/>
  <c r="BB38" i="2"/>
  <c r="BB135" i="2"/>
  <c r="BB193" i="2"/>
  <c r="BB76" i="2"/>
  <c r="BB43" i="2"/>
  <c r="BB180" i="2"/>
  <c r="BB106" i="2"/>
  <c r="BB91" i="2"/>
  <c r="BB84" i="2"/>
  <c r="BB100" i="2"/>
  <c r="BB53" i="2"/>
  <c r="BB59" i="2"/>
  <c r="BB3" i="2"/>
  <c r="BB159" i="2"/>
  <c r="BB147" i="2"/>
  <c r="BB104" i="2"/>
  <c r="BB31" i="2"/>
  <c r="BB199" i="2"/>
  <c r="BB4" i="2"/>
  <c r="BB127" i="2"/>
  <c r="BB57" i="2"/>
  <c r="BB95" i="2"/>
  <c r="BB136" i="2"/>
  <c r="BB113" i="2"/>
  <c r="BB51" i="2"/>
  <c r="BB182" i="2"/>
  <c r="BB154" i="2"/>
  <c r="BB188" i="2"/>
  <c r="BB62" i="2"/>
  <c r="BB126" i="2"/>
  <c r="BB7" i="2"/>
  <c r="BB163" i="2"/>
  <c r="BB118" i="2"/>
  <c r="BB67" i="2"/>
  <c r="BB16" i="2"/>
  <c r="BB197" i="2"/>
  <c r="BB54" i="2"/>
  <c r="BB123" i="2"/>
  <c r="BB146" i="2"/>
  <c r="BB178" i="2"/>
  <c r="BB155" i="2"/>
  <c r="BB138" i="2"/>
  <c r="BB141" i="2"/>
  <c r="BB134" i="2"/>
  <c r="BB122" i="2"/>
  <c r="BB165" i="2"/>
  <c r="BB194" i="2"/>
  <c r="BB93" i="2"/>
  <c r="BB189" i="2"/>
  <c r="BB183" i="2"/>
  <c r="BB102" i="2"/>
  <c r="BB191" i="2"/>
  <c r="BD149" i="1" l="1"/>
  <c r="AJ187" i="1"/>
  <c r="BD187" i="1" s="1"/>
  <c r="AJ159" i="1"/>
  <c r="BD159" i="1" s="1"/>
  <c r="AJ144" i="1"/>
  <c r="BD144" i="1" s="1"/>
  <c r="AJ168" i="1"/>
  <c r="AJ123" i="1"/>
  <c r="BD123" i="1" s="1"/>
  <c r="AJ174" i="1"/>
  <c r="BD174" i="1" s="1"/>
  <c r="AJ154" i="1"/>
</calcChain>
</file>

<file path=xl/sharedStrings.xml><?xml version="1.0" encoding="utf-8"?>
<sst xmlns="http://schemas.openxmlformats.org/spreadsheetml/2006/main" count="8546" uniqueCount="1006">
  <si>
    <t xml:space="preserve">CODIGO SUBESTACION </t>
  </si>
  <si>
    <t>SERIE</t>
  </si>
  <si>
    <t>POTENCIA (KVA)</t>
  </si>
  <si>
    <t>SUBESTACION</t>
  </si>
  <si>
    <t>MATRICULA</t>
  </si>
  <si>
    <t>ZONA</t>
  </si>
  <si>
    <t>DEPARTAMENTO</t>
  </si>
  <si>
    <t>NIVEL DE TENSION PRIMARIO (KV)</t>
  </si>
  <si>
    <t>NIVEL DE TENSION SECUNDARIO (KV)</t>
  </si>
  <si>
    <t>NIVEL DE TENSION TERCEARIO (KV)</t>
  </si>
  <si>
    <t>UUCC</t>
  </si>
  <si>
    <t>REFRIGERACION</t>
  </si>
  <si>
    <t xml:space="preserve">VENTILACION </t>
  </si>
  <si>
    <t>REGULACION</t>
  </si>
  <si>
    <t>H2</t>
  </si>
  <si>
    <t>CH4</t>
  </si>
  <si>
    <t>C2H4</t>
  </si>
  <si>
    <t>C2H6</t>
  </si>
  <si>
    <t>TDGC</t>
  </si>
  <si>
    <t>CO</t>
  </si>
  <si>
    <t>CO2</t>
  </si>
  <si>
    <t>EVALUACION CO</t>
  </si>
  <si>
    <t>EVALUACION CO2</t>
  </si>
  <si>
    <t>EVALUACION TDGC</t>
  </si>
  <si>
    <t>C2H2</t>
  </si>
  <si>
    <t>EVALUACIONC2H2</t>
  </si>
  <si>
    <t>EVALUACION DGA</t>
  </si>
  <si>
    <t>RIGIDEZ DIELECTRICA</t>
  </si>
  <si>
    <t>CONTENIDO HUMEDAD</t>
  </si>
  <si>
    <t>NUMERO DE NEUTRALIZACION</t>
  </si>
  <si>
    <t>TENSION INTERFACIAL</t>
  </si>
  <si>
    <t>IC</t>
  </si>
  <si>
    <t>EVALUACION RIGIDEZ DIELECTRICA</t>
  </si>
  <si>
    <t>EVALUACION IC</t>
  </si>
  <si>
    <t>EVALUACION ADFQ</t>
  </si>
  <si>
    <t>FURANOS</t>
  </si>
  <si>
    <t>EVALUACION FURANOS</t>
  </si>
  <si>
    <t>AMPACIDAD PRIMARIO  (A)</t>
  </si>
  <si>
    <t>CARGA PRIMARIO  (A)</t>
  </si>
  <si>
    <t>AMPACIDAD SECUNDARIO  (A)</t>
  </si>
  <si>
    <t>CARGA SECUNDARIO  (A)</t>
  </si>
  <si>
    <t>AMPACIDAD TERCEARIO  (A)</t>
  </si>
  <si>
    <t>CARGA TERCEARIO (A)</t>
  </si>
  <si>
    <t>CARGABILIDAD</t>
  </si>
  <si>
    <t>EVALUACION CARGABILIDAD</t>
  </si>
  <si>
    <t>RADIADORES</t>
  </si>
  <si>
    <t>JUNTION BLOCK</t>
  </si>
  <si>
    <t>SUPERIOR</t>
  </si>
  <si>
    <t>OLTC</t>
  </si>
  <si>
    <t>EVALUACION HERMETICIDAD</t>
  </si>
  <si>
    <t>AÑO DE FABRICACION</t>
  </si>
  <si>
    <t>EDAD</t>
  </si>
  <si>
    <t>EVALUACION EDAD</t>
  </si>
  <si>
    <t>ESTUDIOS PYT</t>
  </si>
  <si>
    <t>CONDICION</t>
  </si>
  <si>
    <t>MACROACTIVIDAD</t>
  </si>
  <si>
    <t>SUBACTIVIDAD</t>
  </si>
  <si>
    <t>OBSERVACIONES</t>
  </si>
  <si>
    <t>ORIENTE</t>
  </si>
  <si>
    <t>CESAR</t>
  </si>
  <si>
    <t>13.8</t>
  </si>
  <si>
    <t>N/A</t>
  </si>
  <si>
    <t>ARIGUANI</t>
  </si>
  <si>
    <t>T1-M/M-ARN</t>
  </si>
  <si>
    <t>MAGDALENA</t>
  </si>
  <si>
    <t>ONAN</t>
  </si>
  <si>
    <t>NLTC</t>
  </si>
  <si>
    <t>P186143</t>
  </si>
  <si>
    <t>CHAMBACU</t>
  </si>
  <si>
    <t>T2-A/M-CMB</t>
  </si>
  <si>
    <t>BOLIVAR</t>
  </si>
  <si>
    <t>T1-A/M-CMB</t>
  </si>
  <si>
    <t>GRUPO</t>
  </si>
  <si>
    <t>G1</t>
  </si>
  <si>
    <t>AGUAS BLANCAS</t>
  </si>
  <si>
    <t>T1-M/M-ABA</t>
  </si>
  <si>
    <t xml:space="preserve">34.5 </t>
  </si>
  <si>
    <t>N3T1</t>
  </si>
  <si>
    <t>1LCB393904</t>
  </si>
  <si>
    <t>ALGARROBO</t>
  </si>
  <si>
    <t>T1-A/M-AGB</t>
  </si>
  <si>
    <t>ONAF</t>
  </si>
  <si>
    <t>OPERATIVA</t>
  </si>
  <si>
    <t>N3T3</t>
  </si>
  <si>
    <t>ANALISIS DGA</t>
  </si>
  <si>
    <t>CALIFICACION TDGC</t>
  </si>
  <si>
    <t>CALIFICACION C2H2</t>
  </si>
  <si>
    <t>EVALUACION</t>
  </si>
  <si>
    <t>ANALISIS ADFQ</t>
  </si>
  <si>
    <t>CALIFICACION RIGIDEZ</t>
  </si>
  <si>
    <t>CALIFICACION IC</t>
  </si>
  <si>
    <t>ANALISIS CARGABILIDAD</t>
  </si>
  <si>
    <t>CALIFICACION</t>
  </si>
  <si>
    <t>ANALISIS HERMETICIDAD</t>
  </si>
  <si>
    <t>CALIFICACION EDAD</t>
  </si>
  <si>
    <t>DGA</t>
  </si>
  <si>
    <t>ADFQ</t>
  </si>
  <si>
    <t>PREDICTIVO</t>
  </si>
  <si>
    <t xml:space="preserve">BUJES </t>
  </si>
  <si>
    <t>HERMETICIDAD</t>
  </si>
  <si>
    <t>TRANSPORTE E IZAJE</t>
  </si>
  <si>
    <t xml:space="preserve">MTTO TRAFOS </t>
  </si>
  <si>
    <t>O2</t>
  </si>
  <si>
    <t>N2</t>
  </si>
  <si>
    <t>C3H8</t>
  </si>
  <si>
    <t>SEGUIMIENTO TRIMESTRAL</t>
  </si>
  <si>
    <t>•	Inspección termográfica 	Verificación de indicadores de Temperatura
•	Inspección ocular detallada (2 veces al mes)
•	Pruebas eléctricas 
•	Evaluación de DPS</t>
  </si>
  <si>
    <t>SEGUIMIENTO PSM</t>
  </si>
  <si>
    <t xml:space="preserve">•	Muestreo de aceite 
•	Inspección ocular detallada (1 vez al mes)
•	Inspección termográfica 
•	Diagnostico de sistema pues a tierra </t>
  </si>
  <si>
    <t>ANIMAS BAJAS</t>
  </si>
  <si>
    <t>T1-M/M-ANB</t>
  </si>
  <si>
    <t xml:space="preserve">ACTIVIDADES CORRECTIVAS DE MANTENIMIENTO MENOR </t>
  </si>
  <si>
    <t xml:space="preserve">•	Secado del aceite
•	Pruebas eléctricas </t>
  </si>
  <si>
    <t xml:space="preserve">SECADO DEL ACEITE/PROGRAMAR PRUEBAS ELECTRICAS </t>
  </si>
  <si>
    <t>ACTIVIDADES CORRECTIVAS MAYORES</t>
  </si>
  <si>
    <t>•	Propuesta a Plan de inversión (PI)</t>
  </si>
  <si>
    <t>ENERGIZAR PLAN DE INVERSION</t>
  </si>
  <si>
    <t>1LCB393900</t>
  </si>
  <si>
    <t>ARJONA</t>
  </si>
  <si>
    <t>T1-M/M-ARJ</t>
  </si>
  <si>
    <t xml:space="preserve">•	Muestreo de aceite 
••	Inspección ocular detallada (1 vez al mes)
•	Inspección termográfica 
•	Diagnostico de sistema pues a tierra </t>
  </si>
  <si>
    <t>ASTREA</t>
  </si>
  <si>
    <t>T1-M/M-AST</t>
  </si>
  <si>
    <t>AYAPEL</t>
  </si>
  <si>
    <t>T1-M/M-AYA</t>
  </si>
  <si>
    <t>OCCIDENTE</t>
  </si>
  <si>
    <t>CORDOBA</t>
  </si>
  <si>
    <t>•	Inspección termográfica 
•	Verificación de Sistemas de Enfriamiento
•	Verificación de indicadores de Temperatura
•	Inspección ocular detallada (2 veces al mes)
•	Pruebas eléctricas 
•	Evaluación de DPS</t>
  </si>
  <si>
    <t>BARRANCO DE LOBA</t>
  </si>
  <si>
    <t>T1-M/M-BDL</t>
  </si>
  <si>
    <t>N3T2</t>
  </si>
  <si>
    <t>•	Aumento de capacidad de transformación 
•	Actualización de accesorios  
•	Plan de mitigación por sobrecarga mayores a el 90% y hasta 110%
•	Propuesta a Plan de inversión (PI)</t>
  </si>
  <si>
    <t>DESCARGAR TRANSFORMADOR DE POTENCIA/IMPLEMENTAR VENTILACION FORZADA</t>
  </si>
  <si>
    <t>P186144</t>
  </si>
  <si>
    <t>G3</t>
  </si>
  <si>
    <t>BAYUNCA</t>
  </si>
  <si>
    <t>T1A-A/M-BYC</t>
  </si>
  <si>
    <t>34.5</t>
  </si>
  <si>
    <t>N4T18</t>
  </si>
  <si>
    <t xml:space="preserve">•	Muestreo de aceite 
•	Pruebas eléctricas 
•	Inspección ocular detallada (1 vez al mes)
•	Inspección termográfica 
•	Diagnostico de sistema pues a tierra </t>
  </si>
  <si>
    <t>PROGRAMAR PRUEBAS ELECTRICAS</t>
  </si>
  <si>
    <t>BECERRIL</t>
  </si>
  <si>
    <t>T1-M/M-BEC</t>
  </si>
  <si>
    <t>OBSOLETA</t>
  </si>
  <si>
    <t xml:space="preserve">•	Corrección de fugas de aceite por accesorios y componentes 
•	Actualización de accesorios  
•	Actualización de Tablero 
•	Pruebas eléctricas </t>
  </si>
  <si>
    <t>CORRECCION DE FUGAS POR BUJES Y NLTC/SECADO DE LA PARTE ACTIVA Y SECADO DEL ACEITE/PROGRAMAR PRUEBAS ELECTRICAS, INCLUIR DFR/ACTUALIZAR VENTILACION FORZADA</t>
  </si>
  <si>
    <t>BERRUGAS</t>
  </si>
  <si>
    <t>T1-M/M-BER</t>
  </si>
  <si>
    <t>SUCRE</t>
  </si>
  <si>
    <t xml:space="preserve">•	Corrección de fugas de aceite por accesorios y componentes 
•	Pruebas eléctricas </t>
  </si>
  <si>
    <t>CORRECCION DE FUGAS POR SOLDADURAS/PROGRAMAR PRUEBAS ELECTRICAS</t>
  </si>
  <si>
    <t>S251104</t>
  </si>
  <si>
    <t>G2</t>
  </si>
  <si>
    <t>BOCAGRANDE</t>
  </si>
  <si>
    <t>T2-A/M-BCG</t>
  </si>
  <si>
    <t>N4T6</t>
  </si>
  <si>
    <t xml:space="preserve">•	Actualización de accesorios  
•	Pruebas eléctricas 
•	Secado del aceite </t>
  </si>
  <si>
    <t>ACTUALIZACION DE VENTILACION FORZADA/SECADO DEL ACEITE/PROGRAMAR PRUEBAS ELECTRICAS</t>
  </si>
  <si>
    <t>S251103</t>
  </si>
  <si>
    <t>T1-A/M-BCG</t>
  </si>
  <si>
    <t>BOCAS DE URE</t>
  </si>
  <si>
    <t>T1-M/M-BOU</t>
  </si>
  <si>
    <t>BOSCONIA</t>
  </si>
  <si>
    <t>T1-M/M-BOA</t>
  </si>
  <si>
    <t>N3T4</t>
  </si>
  <si>
    <t>SEGUIMIENTO A CARGABILIDAD, POSIBLE PLAN DE MITIGACION</t>
  </si>
  <si>
    <t>P185982</t>
  </si>
  <si>
    <t>BOSQUE</t>
  </si>
  <si>
    <t>T4-A/M-BQE</t>
  </si>
  <si>
    <t>N5T18</t>
  </si>
  <si>
    <t>P186142</t>
  </si>
  <si>
    <t>T3-A/M-BQE</t>
  </si>
  <si>
    <t>N4T5</t>
  </si>
  <si>
    <t>T2-A/M-BQE</t>
  </si>
  <si>
    <t>•	Corrección de fugas de aceite por accesorios y componentes 
•	Pruebas eléctricas 
•	Secado del aceite</t>
  </si>
  <si>
    <t>SECAR ACEITE/CORREGIR FUGAS /PROGRAMAR PRUEBAS ELECTRICAS</t>
  </si>
  <si>
    <t>T1-A/M-BQE</t>
  </si>
  <si>
    <t>N4T4</t>
  </si>
  <si>
    <t xml:space="preserve">•	Propuesta a Plan de inversión (PI)
•	Pruebas eléctricas </t>
  </si>
  <si>
    <t>BOSTON</t>
  </si>
  <si>
    <t>T1A-A/M-BST</t>
  </si>
  <si>
    <t>MANTENIMIENTO MAYOR PARA EXTENDER VIDA UTIL/REALIZAR PRUEBA DE BUSHING</t>
  </si>
  <si>
    <t>BUENAVISTA</t>
  </si>
  <si>
    <t>T1-M/M-BUE</t>
  </si>
  <si>
    <t>ACTIVIDADES CORRECTIVAS DE MANTENIMIENTO MAYOR</t>
  </si>
  <si>
    <t xml:space="preserve">•	Regeneración de aislamientos
•	Secado de la parte activa  
•	Pruebas eléctricas </t>
  </si>
  <si>
    <t>SECADO Y REGENERACION DE ACEITE/INCLUIR DFR</t>
  </si>
  <si>
    <t>CALAMAR</t>
  </si>
  <si>
    <t>T2A-A/M-CMR</t>
  </si>
  <si>
    <t>N4T14</t>
  </si>
  <si>
    <t>84.4.4191</t>
  </si>
  <si>
    <t>T1A-A/M-CMR</t>
  </si>
  <si>
    <t xml:space="preserve">•	Corrección de fugas de aceite por accesorios y componentes </t>
  </si>
  <si>
    <t>CORRECCION DE FUGAS POR BUJES 66KV/HABILITAR MANDO MOTOR OLTC</t>
  </si>
  <si>
    <t>P186187</t>
  </si>
  <si>
    <t>CANDELARIA</t>
  </si>
  <si>
    <t>T-KDR05</t>
  </si>
  <si>
    <t>T-KDR04</t>
  </si>
  <si>
    <t>N5T16</t>
  </si>
  <si>
    <t>T-KDR06</t>
  </si>
  <si>
    <t>EVALUAR ESTADO DE DPS Y COLAS DE TIERRA</t>
  </si>
  <si>
    <t>CAÑABRAVAL</t>
  </si>
  <si>
    <t>T1-M/M-CNB</t>
  </si>
  <si>
    <t xml:space="preserve">PROGRAMAR PRUEBAS ELECTRICAS </t>
  </si>
  <si>
    <t>CASA DE ZINC</t>
  </si>
  <si>
    <t>T1-M/M-CAC</t>
  </si>
  <si>
    <t>CASACARA</t>
  </si>
  <si>
    <t xml:space="preserve">•	Regeneración de aceite
•	Pruebas eléctricas e 
•	Secado de la parte activa  
•	Corrección de fugas de aceite por accesorios y componentes </t>
  </si>
  <si>
    <t>SECADO Y REGENERACION DE ACEITE/PROGRAMAR PRUEBAS ELECTRICAS, INCLUIR DFR/CORRECCION DE FUGAS POR RELE BUCHHOLZ</t>
  </si>
  <si>
    <t>CENTRO ALEGRE</t>
  </si>
  <si>
    <t>T1-M/M-CTA</t>
  </si>
  <si>
    <t>CORREGIR FUGAS POR RADIADORES</t>
  </si>
  <si>
    <t>CERETE</t>
  </si>
  <si>
    <t>T4-M/M-CER</t>
  </si>
  <si>
    <t>REALIZAR PRUEBAS ELECTRICAS</t>
  </si>
  <si>
    <t>T3-M/M-CER</t>
  </si>
  <si>
    <t>T2-M/M-CER</t>
  </si>
  <si>
    <t>T1-M/M-CER</t>
  </si>
  <si>
    <t>N3T5</t>
  </si>
  <si>
    <t>N4T7</t>
  </si>
  <si>
    <t xml:space="preserve">•	Actualización de accesorios  </t>
  </si>
  <si>
    <t>ACTUALIZACION DE VENTILACION FORZADA</t>
  </si>
  <si>
    <t xml:space="preserve">•	Corrección de fugas de aceite por accesorios y componentes 
•	Actualización de accesorios  </t>
  </si>
  <si>
    <t xml:space="preserve">CAMBIO DE VALVULA SOBREPRESION </t>
  </si>
  <si>
    <t>CHINU PLANTA</t>
  </si>
  <si>
    <t>T3-A/M-CPA</t>
  </si>
  <si>
    <t>N4T8</t>
  </si>
  <si>
    <t>T2-A/M-CPA</t>
  </si>
  <si>
    <t>PROGRAMAR PRUEBAS ELECTRICAS, INCLUIR DRM</t>
  </si>
  <si>
    <t>T1-A/M-CPA</t>
  </si>
  <si>
    <t>PROGRAMAR PRUEBA DRM</t>
  </si>
  <si>
    <t>N339 380</t>
  </si>
  <si>
    <t>CHIRIGUANA</t>
  </si>
  <si>
    <t>T1-M/M-CHG</t>
  </si>
  <si>
    <t>14.82</t>
  </si>
  <si>
    <t>•	Actualización de accesorios  
•	Pruebas eléctricas 
•	Secado del aceite</t>
  </si>
  <si>
    <t>SECADO DEL ACEITE/PROGRAMAR PRUEBAS ELECTRICAS/ACTUALIZACION DE VENTILACION FORZADA</t>
  </si>
  <si>
    <t>CIENAGA DE ORO</t>
  </si>
  <si>
    <t>T2-M/M-CIR</t>
  </si>
  <si>
    <t>T1-M/M-CIR</t>
  </si>
  <si>
    <t>5K0095001</t>
  </si>
  <si>
    <t>CODAZZI</t>
  </si>
  <si>
    <t>T1A-A/M-COZ</t>
  </si>
  <si>
    <t>N4T15</t>
  </si>
  <si>
    <r>
      <t>·</t>
    </r>
    <r>
      <rPr>
        <sz val="7"/>
        <color theme="1"/>
        <rFont val="Times New Roman"/>
        <family val="1"/>
      </rPr>
      <t xml:space="preserve">        </t>
    </r>
    <r>
      <rPr>
        <sz val="11"/>
        <color theme="1"/>
        <rFont val="Calibri"/>
        <family val="2"/>
        <scheme val="minor"/>
      </rPr>
      <t>Verificación de Sistemas de Enfriamiento</t>
    </r>
  </si>
  <si>
    <t>T2A-A/M-COZ</t>
  </si>
  <si>
    <r>
      <t>·</t>
    </r>
    <r>
      <rPr>
        <sz val="7"/>
        <color theme="1"/>
        <rFont val="Times New Roman"/>
        <family val="1"/>
      </rPr>
      <t xml:space="preserve">        </t>
    </r>
    <r>
      <rPr>
        <sz val="11"/>
        <color theme="1"/>
        <rFont val="Calibri"/>
        <family val="2"/>
        <scheme val="minor"/>
      </rPr>
      <t>Verificación de indicadores de Temperatura</t>
    </r>
  </si>
  <si>
    <t>1LCB393901</t>
  </si>
  <si>
    <t>COLOMBOY</t>
  </si>
  <si>
    <t>T1-M/M-CBY</t>
  </si>
  <si>
    <r>
      <t>·</t>
    </r>
    <r>
      <rPr>
        <sz val="7"/>
        <color theme="1"/>
        <rFont val="Times New Roman"/>
        <family val="1"/>
      </rPr>
      <t xml:space="preserve">        </t>
    </r>
    <r>
      <rPr>
        <sz val="11"/>
        <color theme="1"/>
        <rFont val="Calibri"/>
        <family val="2"/>
        <scheme val="minor"/>
      </rPr>
      <t>Inspección ocular detallada (2 veces al mes)</t>
    </r>
  </si>
  <si>
    <t>COROZAL</t>
  </si>
  <si>
    <t>T2-M/M-COR</t>
  </si>
  <si>
    <r>
      <t>·</t>
    </r>
    <r>
      <rPr>
        <sz val="7"/>
        <color theme="1"/>
        <rFont val="Times New Roman"/>
        <family val="1"/>
      </rPr>
      <t xml:space="preserve">        </t>
    </r>
    <r>
      <rPr>
        <sz val="11"/>
        <color theme="1"/>
        <rFont val="Calibri"/>
        <family val="2"/>
        <scheme val="minor"/>
      </rPr>
      <t xml:space="preserve">Pruebas eléctricas </t>
    </r>
  </si>
  <si>
    <t>N339381</t>
  </si>
  <si>
    <t>T1-M/M-COR</t>
  </si>
  <si>
    <t xml:space="preserve">•	Actualización de accesorios  
•	Pruebas eléctricas 
•	Corrección de fugas de aceite por accesorios y componentes </t>
  </si>
  <si>
    <t>CORRECCION DE FUGAS POR RADIADORES/ACTUALIZAR VENTILACION FORZADA/PROGRAMAR PRUEBA DRM</t>
  </si>
  <si>
    <t>COSPIQUE</t>
  </si>
  <si>
    <t>T1-A/M-COS</t>
  </si>
  <si>
    <t>COTORRA</t>
  </si>
  <si>
    <t>T2-M/M-CRR</t>
  </si>
  <si>
    <t xml:space="preserve">PROGRAMAR PRUEBAS  ELECTRICAS </t>
  </si>
  <si>
    <t>1LCB384963</t>
  </si>
  <si>
    <t>T1-M/M-CRR</t>
  </si>
  <si>
    <t>P91036971658</t>
  </si>
  <si>
    <t>COVEÑAS</t>
  </si>
  <si>
    <t>T1-M/M-COV</t>
  </si>
  <si>
    <t>REALZIAR PRUEBA DE BUSHING, SECAR LA PARTE ACTIVA</t>
  </si>
  <si>
    <t>P9173532-1309</t>
  </si>
  <si>
    <t>T2-M/M-COV</t>
  </si>
  <si>
    <t>T3-M/M-COV</t>
  </si>
  <si>
    <t>CUIVA</t>
  </si>
  <si>
    <t>T1-M/M-CVA</t>
  </si>
  <si>
    <t>CURUMANÍ</t>
  </si>
  <si>
    <t>T2-M/M-CUR</t>
  </si>
  <si>
    <t>T1-M/M-CUR</t>
  </si>
  <si>
    <t>ACTUALIZACION DE LA VENTILACION FORZADA</t>
  </si>
  <si>
    <t>EL BANCO</t>
  </si>
  <si>
    <t>T1A-M/M-EBA</t>
  </si>
  <si>
    <t>P9173521-138102</t>
  </si>
  <si>
    <t>T2A-A/M-EBA</t>
  </si>
  <si>
    <t>RECLAMAR GARANTIA A CDM SECAR ACEITE/PROGRAMAR PRUEBA DFR/ACTUALIZACION DE VENTILACION FORZADA</t>
  </si>
  <si>
    <t>EL BRILLANTE</t>
  </si>
  <si>
    <t>T1-M/M-BTE</t>
  </si>
  <si>
    <r>
      <t>·</t>
    </r>
    <r>
      <rPr>
        <sz val="7"/>
        <color theme="1"/>
        <rFont val="Times New Roman"/>
        <family val="1"/>
      </rPr>
      <t xml:space="preserve">        </t>
    </r>
    <r>
      <rPr>
        <sz val="11"/>
        <color theme="1"/>
        <rFont val="Calibri"/>
        <family val="2"/>
        <scheme val="minor"/>
      </rPr>
      <t>Evaluación de DPS</t>
    </r>
  </si>
  <si>
    <t>EL BURRO</t>
  </si>
  <si>
    <t>T1A-A/M-EBU</t>
  </si>
  <si>
    <t>CORRECCION DE FUGAS POR RADIADORES/PROGRAMAR PRUEBAS ELECTRICAS/SOLICITAR GARANTIA A D-AT</t>
  </si>
  <si>
    <t>EL CARMEN</t>
  </si>
  <si>
    <t>T1A-A/A-ECA</t>
  </si>
  <si>
    <t>T2A-A/A-ECA</t>
  </si>
  <si>
    <t>EL CORTIJO</t>
  </si>
  <si>
    <t>T2-M/M-ECJ</t>
  </si>
  <si>
    <t>T1-M/M-ECJ</t>
  </si>
  <si>
    <t>N3T6</t>
  </si>
  <si>
    <t xml:space="preserve">•	Actualización de accesorios  
•	Corrección de fugas de aceite por accesorios y componentes </t>
  </si>
  <si>
    <t>CORRECCION DE FUGAS POR RADIADORES/ACTUALIZAR VENTILACION FORZADA</t>
  </si>
  <si>
    <t>EL DESASTRE</t>
  </si>
  <si>
    <t>T1-M/M-EDE</t>
  </si>
  <si>
    <t>EL DIFICIL</t>
  </si>
  <si>
    <t>T1-M/M-EDF</t>
  </si>
  <si>
    <r>
      <t>·</t>
    </r>
    <r>
      <rPr>
        <sz val="7"/>
        <color theme="1"/>
        <rFont val="Times New Roman"/>
        <family val="1"/>
      </rPr>
      <t xml:space="preserve">        </t>
    </r>
    <r>
      <rPr>
        <sz val="11"/>
        <color theme="1"/>
        <rFont val="Calibri"/>
        <family val="2"/>
        <scheme val="minor"/>
      </rPr>
      <t xml:space="preserve">Muestreo de aceite </t>
    </r>
  </si>
  <si>
    <t>REALIZAR CONTRAMUESTRA DE ACEITE</t>
  </si>
  <si>
    <t>EL PARAISO</t>
  </si>
  <si>
    <t>T1-M/M-PAR</t>
  </si>
  <si>
    <t>•	Regeneración de aceite
•	Pruebas eléctricas e 
•	Secado del aceite</t>
  </si>
  <si>
    <t>SECADO Y REGENERACION DE ACEITE/PROGRAMAR PRUEBAS ELECTRICAS</t>
  </si>
  <si>
    <t>T2-M/M-PAR</t>
  </si>
  <si>
    <t>EL PASO</t>
  </si>
  <si>
    <t>T1A-A/M-EPA</t>
  </si>
  <si>
    <t>N4T17</t>
  </si>
  <si>
    <t>REALIZAR PRUEBA DE BUSHING</t>
  </si>
  <si>
    <t>EL VIAJANO</t>
  </si>
  <si>
    <t>T1-M/M-EVJ</t>
  </si>
  <si>
    <t>•	Pruebas eléctricas 
•	Secado del aceite</t>
  </si>
  <si>
    <t xml:space="preserve">SECADO DE LA PARTE ACTIVA Y SECADO DEL ACEITE/PROGRAMAR PRUEBAS ELECTRICAS </t>
  </si>
  <si>
    <t>FERROCARRIL</t>
  </si>
  <si>
    <t>T1-M/M-FRR</t>
  </si>
  <si>
    <t>1</t>
  </si>
  <si>
    <t>5</t>
  </si>
  <si>
    <t>SECADO Y REGENERACION DEL ACEITE/PROGRAMAR PRUEBAS ELECTRICAS/CAMBIO DE NLTC</t>
  </si>
  <si>
    <t>GALERAS</t>
  </si>
  <si>
    <t>T1-M/M-GAL</t>
  </si>
  <si>
    <t>GAMBOTE</t>
  </si>
  <si>
    <t>T2-A/M-GBT</t>
  </si>
  <si>
    <t>T1-A/M-GBT</t>
  </si>
  <si>
    <t xml:space="preserve">•	Reemplazo o Reparación de Componentes Defectuosos
•	Pruebas eléctricas  </t>
  </si>
  <si>
    <t>CORRECCION DE PUNTO CALIENTE INTERNO BUJE, REALIZAR PRUEBA DE BUSHING</t>
  </si>
  <si>
    <t>T3-A/M-GBT</t>
  </si>
  <si>
    <t>GUAMAL</t>
  </si>
  <si>
    <t>T1-M/M-GUM</t>
  </si>
  <si>
    <t>GUARANDA</t>
  </si>
  <si>
    <t>T1-M/M-GRA</t>
  </si>
  <si>
    <t>GUATAPURI</t>
  </si>
  <si>
    <t>T2-M/M-GUP</t>
  </si>
  <si>
    <t>CORECCION DE FUGAS POR EMPAQUE OLTC/CAMBIO DE BUJES A 34.5 KV/PROGRAMAR PRUEBA DRM</t>
  </si>
  <si>
    <t>173524-15310</t>
  </si>
  <si>
    <t>T1-M/M-GUP</t>
  </si>
  <si>
    <t>•	Secado del aceite
•	Propuesta a Plan de inversión (PI)</t>
  </si>
  <si>
    <t>SECADO DEL ACEITE/SEGUIMIENTO A LA CARGABILIDAD/POSIBLE PLAN DE MITIGACION</t>
  </si>
  <si>
    <t>HATILLO DE LOBA</t>
  </si>
  <si>
    <t>T1-M/M-HDL</t>
  </si>
  <si>
    <t>LA APARTADA</t>
  </si>
  <si>
    <t>T1-M/M-LPR</t>
  </si>
  <si>
    <t>LA AURORA</t>
  </si>
  <si>
    <t>T1-M/M-LAR</t>
  </si>
  <si>
    <t>LA EUROPA</t>
  </si>
  <si>
    <t>T1-M/M-LEA</t>
  </si>
  <si>
    <t>•	Inspección termográfica 
•	Verificación de indicadores de Temperatura
•	Inspección ocular detallada (2 veces al mes)
•	Pruebas eléctricas 
•	Evaluación de DPS</t>
  </si>
  <si>
    <t>173523-15510</t>
  </si>
  <si>
    <t>LA JAGUA</t>
  </si>
  <si>
    <t>T1A-A/M-LJA</t>
  </si>
  <si>
    <t>•	Mantenimiento OLTC con despiece</t>
  </si>
  <si>
    <t xml:space="preserve">MANTENIMIENTO MAYOR OLTC </t>
  </si>
  <si>
    <t>T2A-A/M-LJA</t>
  </si>
  <si>
    <t>LA MOJANA</t>
  </si>
  <si>
    <t>T1A-A/M-LMJ</t>
  </si>
  <si>
    <t xml:space="preserve">•	Pruebas eléctricas 
•	Corrección de fugas de aceite por accesorios y componentes </t>
  </si>
  <si>
    <t>CORRECCION DE FUGAS POR VALVULA DE RETENCION AUTOMATICA/REALIZAR PRUEBA DE BUSHING</t>
  </si>
  <si>
    <t>LA PAZ</t>
  </si>
  <si>
    <t>T1-M/M-LPZ</t>
  </si>
  <si>
    <t xml:space="preserve">•	Regeneración de aceite 
•	Secado de la parte activa  
•	Pintura parcial 
•	Secado del aceite
•	Pruebas eléctricas  
•	Actualización de accesorios  </t>
  </si>
  <si>
    <t>SECADO DE LA PARTE ACTIVA/SECADO Y REGENERACION DEL ACEITE/ACTUALIZACION DE LA VENTILACION FORZADA/PINTURA GENERAL DEL TANSFORMADOR/PROGRAMAR PRUEBAS ELECTRICAS, INCLUIR DRM Y DFR</t>
  </si>
  <si>
    <t>LA UNION</t>
  </si>
  <si>
    <t>T1-M/M-UNN</t>
  </si>
  <si>
    <t>LA YE</t>
  </si>
  <si>
    <t>T1-M/M-LYE</t>
  </si>
  <si>
    <t>LAS DELICIAS</t>
  </si>
  <si>
    <t>T1-M/M-LDE</t>
  </si>
  <si>
    <t>1LCB375370</t>
  </si>
  <si>
    <t>LAS PALOMAS</t>
  </si>
  <si>
    <t>T1-M/M-LPS</t>
  </si>
  <si>
    <t>LLERASCA</t>
  </si>
  <si>
    <t>T1-M/M-LLC</t>
  </si>
  <si>
    <t xml:space="preserve">CORRECCION DE FUGAS POR SOLDADURA CUBA </t>
  </si>
  <si>
    <t>LOMA DEL BALSAMO</t>
  </si>
  <si>
    <t>T1-M/M-LBS</t>
  </si>
  <si>
    <t>P9173529-14510</t>
  </si>
  <si>
    <t>LORICA</t>
  </si>
  <si>
    <t>T1-M/M-LOR</t>
  </si>
  <si>
    <t xml:space="preserve">•	Aumento de capacidad de transformación 
•	Plan de mitigación por sobrecarga mayores a el 90% y hasta 110%•	Actualización de accesorios  
•	Pruebas eléctricas </t>
  </si>
  <si>
    <t>ACTUALIZACION DE VENTILACION FORZADA/PROGRAMAR PRUEBAS ELECTRICAS, INCLUIR DFR Y DRM/DESCARGAR TRANSFORMADOR</t>
  </si>
  <si>
    <t>1LCB393902</t>
  </si>
  <si>
    <t>LOS CORDOBAS</t>
  </si>
  <si>
    <t>T1-M/M-LCB</t>
  </si>
  <si>
    <t>L30517</t>
  </si>
  <si>
    <t>MAGANGUE</t>
  </si>
  <si>
    <t>T2A-A/M-MGE</t>
  </si>
  <si>
    <t>12625/T</t>
  </si>
  <si>
    <t>T1A-A/M-MGE</t>
  </si>
  <si>
    <t>N4T16</t>
  </si>
  <si>
    <t xml:space="preserve">•	Propuesta a Plan de inversión (PI) 
•	Pruebas eléctricas </t>
  </si>
  <si>
    <t>MAJAGUAL</t>
  </si>
  <si>
    <t>T2-M/M-MAJ</t>
  </si>
  <si>
    <t>CORRECCION DE FUGAS POR RADIADORES/PROGRAMAR PRUEBAS ELECTRICAS</t>
  </si>
  <si>
    <t>T1-M/M-MAJ</t>
  </si>
  <si>
    <t>S251979</t>
  </si>
  <si>
    <t>MAMONAL</t>
  </si>
  <si>
    <t>T1-A/M-MAM</t>
  </si>
  <si>
    <t>CORRECCION DE FUGAS POR BUJES DE 13.8 KV/PROGRAMAR PRUEBAS ELECTRICAS, INCLUIR DRM</t>
  </si>
  <si>
    <t>S251990</t>
  </si>
  <si>
    <t>T2-A/M-MAM</t>
  </si>
  <si>
    <t xml:space="preserve">•	Reemplazo o Reparación de Componentes Defectuosos
•	Mantenimiento OLTC con despiece
•	Regeneración de aceite </t>
  </si>
  <si>
    <t xml:space="preserve">INSPECCION INTERNA MAYOR, ALTO CONTENIDO DE ACETILENO/PROGRAMAR PRUEBAS ELECTRICAS, INCLUIR DRM </t>
  </si>
  <si>
    <t>MANAURE BALCON DEL CESAR</t>
  </si>
  <si>
    <t>T1-M/M-MNC</t>
  </si>
  <si>
    <t>MANDINGUILLA</t>
  </si>
  <si>
    <t>T1-M/M-MAN</t>
  </si>
  <si>
    <t>MANZANILLO</t>
  </si>
  <si>
    <t>T4-A/M-MZN</t>
  </si>
  <si>
    <t>T3-A/M-MZN</t>
  </si>
  <si>
    <t>MARACAYO</t>
  </si>
  <si>
    <t>T1-M/M-MAY</t>
  </si>
  <si>
    <t>MARIA LA BAJA</t>
  </si>
  <si>
    <t>T2-M/M-MBJ</t>
  </si>
  <si>
    <t>T1-M/M-MBJ</t>
  </si>
  <si>
    <t>SECADO DE LA PARTE ACTIVA/PROGRAMAR PRUEBAS ELECTRICAS, INCLUIR DFR/ACTUALIZACION DE LA VENTILACION FORZADA</t>
  </si>
  <si>
    <t>MARIANGOLA</t>
  </si>
  <si>
    <t>T1-M/M-MAR</t>
  </si>
  <si>
    <t>MATA DE CAÑA</t>
  </si>
  <si>
    <t>T1-M/M-MAT</t>
  </si>
  <si>
    <t xml:space="preserve">•	Regeneración de aceite 
•	Secado del aceite
•	Pruebas eléctricas  </t>
  </si>
  <si>
    <t>SECADO Y REGENERACION DEL ACEITE/PROGRAMAR PRUEBAS ELECTRICAS</t>
  </si>
  <si>
    <t>T2-M/M-MAT</t>
  </si>
  <si>
    <t>MEMBRILLAL</t>
  </si>
  <si>
    <t>T1-A/M-MBR</t>
  </si>
  <si>
    <t>S251105</t>
  </si>
  <si>
    <t>T2-A/M-MBR</t>
  </si>
  <si>
    <t>SECAR ACEITE PARA MEJORAR RIGIDEZ DIELECTRICA</t>
  </si>
  <si>
    <t>MOMIL</t>
  </si>
  <si>
    <t>T1-M/M-MOM</t>
  </si>
  <si>
    <t>MOMPOX</t>
  </si>
  <si>
    <t>T1A-A/M-MOX</t>
  </si>
  <si>
    <t>MONTELIBANO</t>
  </si>
  <si>
    <t>T2-M/M-MTB</t>
  </si>
  <si>
    <t>T1-M/M-MTB</t>
  </si>
  <si>
    <t>LEL27008</t>
  </si>
  <si>
    <t>MONTERIA</t>
  </si>
  <si>
    <t>T1A-A/M-MON</t>
  </si>
  <si>
    <t xml:space="preserve">•	Reemplazo o Reparación de Componentes Defectuosos
•	Actualización de accesorios  
•	Pruebas eléctricas  </t>
  </si>
  <si>
    <t>ACTUALIZAR VENTILACION FORZADA, PROGRAMAR PRUEBAS ELECTRICAS Y REEMPLAZAR BUJES A 34.5 KV/PROGRAMAR PRUEBAS ELECTRICAS/EVALUAR ESTADO DE BUJES A 110 KV</t>
  </si>
  <si>
    <t>LEL27007</t>
  </si>
  <si>
    <t>T2A-A/M-MON</t>
  </si>
  <si>
    <t xml:space="preserve"> PROGRAMAR PRUEBAS ELECTRICAS Y REEMPLAZAR BUJES A 34.5 KV/PROGRAMAR PRUEBAS ELECTRICAS, INCLUIR  DRM/EVALUAR ESTADO DE BUJES A 110 KV</t>
  </si>
  <si>
    <t>C62030</t>
  </si>
  <si>
    <t>MONTERREY</t>
  </si>
  <si>
    <t>T1-M/M-MTE</t>
  </si>
  <si>
    <t>MOÑITOS</t>
  </si>
  <si>
    <t>T1-M/M-MNT</t>
  </si>
  <si>
    <t>A0015275-02</t>
  </si>
  <si>
    <t>NUEVA COSPIQUE</t>
  </si>
  <si>
    <t>T1-A/M-NCO</t>
  </si>
  <si>
    <t>A0015275-01</t>
  </si>
  <si>
    <t>T2-A/M-NCO</t>
  </si>
  <si>
    <t>T3-A/M-NCO</t>
  </si>
  <si>
    <t>T4-A/M-NCO</t>
  </si>
  <si>
    <t>REALIZAR SEGUIMIENTO A LA CARGABILIDAD</t>
  </si>
  <si>
    <t>NUEVA GRANADA</t>
  </si>
  <si>
    <t>T1-M/M-NGR</t>
  </si>
  <si>
    <t>NUEVA LA LOMA</t>
  </si>
  <si>
    <t>T1-A-M/M-NLLO</t>
  </si>
  <si>
    <t>NUEVA MONTERIA</t>
  </si>
  <si>
    <t>T1A-A/M-NMON</t>
  </si>
  <si>
    <t>OVEJAS</t>
  </si>
  <si>
    <t>T2-M/M-OVE</t>
  </si>
  <si>
    <t>•	Pintura parcial
•	Correccion de fugas de aceite por accesorios y componentes</t>
  </si>
  <si>
    <t>CORRECCION DE FUGAS POR RADIADORES/PINTURA PARCIAL SOBRE PARTES OXIDADAS</t>
  </si>
  <si>
    <t>173488-1156</t>
  </si>
  <si>
    <t>T1-M/M-OVE</t>
  </si>
  <si>
    <t>SECADO Y REGENERACION DEL ACEITE/INCLUIR PRUEBAS ELECTRICAS</t>
  </si>
  <si>
    <t>PAILITAS</t>
  </si>
  <si>
    <t>T1-M/M-PAI</t>
  </si>
  <si>
    <t>PANCEGUITAS</t>
  </si>
  <si>
    <t>T1-M/M-PGU</t>
  </si>
  <si>
    <t xml:space="preserve">•	Aumento de capacidad de transformación 
•	Repotenciación de unidad de transformación </t>
  </si>
  <si>
    <t xml:space="preserve">DESCARGAR TRANSFORMADOR DE POTENCIA </t>
  </si>
  <si>
    <t>PLANETA RICA</t>
  </si>
  <si>
    <t>T1-A/M-PRC</t>
  </si>
  <si>
    <t>POZO AZUL</t>
  </si>
  <si>
    <t>T1-M/M-PZL</t>
  </si>
  <si>
    <t>PRADERA</t>
  </si>
  <si>
    <t>T1-M/M-PRA</t>
  </si>
  <si>
    <t xml:space="preserve">•	Mantenimiento OLTC con despiece
•	Actualización de accesorios  </t>
  </si>
  <si>
    <t>MANTENIMIENTO MAYOR OLTC/ACTUALIZACION DE VENTILACION FORZADA</t>
  </si>
  <si>
    <t>T2-M/M-PRA</t>
  </si>
  <si>
    <t>PUEBLO NUEVO</t>
  </si>
  <si>
    <t>T1-M/M-PBN</t>
  </si>
  <si>
    <t xml:space="preserve">•	Aumento de Capacidad de Transformacion
•	Propuesta a Plan de inversión (PI)	
•	Regeneración de aislamientos
•	Secado de la parte activa  
•	Pruebas eléctricas </t>
  </si>
  <si>
    <t>T1-M/M-PLO</t>
  </si>
  <si>
    <t>N</t>
  </si>
  <si>
    <t xml:space="preserve">•	Aumento de Capacidad de Transformacion
•	Regeneración de aislamientos
•	Secado de la parte activa  </t>
  </si>
  <si>
    <t>PUERTO BADEL</t>
  </si>
  <si>
    <t>T1-M/M-PBD</t>
  </si>
  <si>
    <t>ALTO CONTENIDO DE GASES/PROGRAMAR PRUEBAS ELECTRICAS</t>
  </si>
  <si>
    <t>PUERTO ESCONDIDO</t>
  </si>
  <si>
    <t>T1-M/M-PTE</t>
  </si>
  <si>
    <t>HABILITAR SSAA EN LA INSTALACION PARA HABILITAR VENTILACION FORZADA</t>
  </si>
  <si>
    <t>PUERTO LIBERTADOR</t>
  </si>
  <si>
    <t>T1-M/M-PTL</t>
  </si>
  <si>
    <t>T2-M/M-PTL</t>
  </si>
  <si>
    <t>RIO SINU</t>
  </si>
  <si>
    <t>T2A-A/M-RSI</t>
  </si>
  <si>
    <t>L30515</t>
  </si>
  <si>
    <t>T1A-A/M-RSI</t>
  </si>
  <si>
    <t xml:space="preserve">• Actualización de accesorios  
• Corrección de fugas de aceite por accesorios y componentes        </t>
  </si>
  <si>
    <t>ACTUALIZACION DE VENTILACION FORZADA/CORRECCION DE FUGAS POR RADIADORES</t>
  </si>
  <si>
    <t>RIO VIEJO</t>
  </si>
  <si>
    <t>T2-M/M-RVJ</t>
  </si>
  <si>
    <t>T1-M/M-RVJ</t>
  </si>
  <si>
    <t>SAHAGUN</t>
  </si>
  <si>
    <t>T1-M/M-SHA</t>
  </si>
  <si>
    <t>CORRECCION DE FUGAS POR RELE BUCHHOLZ/CAMBIO DE RELE BUCHHOLZ</t>
  </si>
  <si>
    <t>1LCB393792</t>
  </si>
  <si>
    <t>T2-M/M-SHA</t>
  </si>
  <si>
    <t>SALGUERO</t>
  </si>
  <si>
    <t>T3-M/M-SGE</t>
  </si>
  <si>
    <t>T1-M/M-SGE</t>
  </si>
  <si>
    <t>P9173521-13810</t>
  </si>
  <si>
    <t>T2-M/M-SGE</t>
  </si>
  <si>
    <t>N&amp;A</t>
  </si>
  <si>
    <t>1LCB393903</t>
  </si>
  <si>
    <t>SAMPUES</t>
  </si>
  <si>
    <t>T2-M/M-SAM</t>
  </si>
  <si>
    <t>T1-M/M-SAM</t>
  </si>
  <si>
    <t>CORRECCION DE FUGAS POR VALVULAS DE DRENAJE DE ACEITE/PROGRAMAR PRUEBAS  ELECTRICAS</t>
  </si>
  <si>
    <t>1LCB384707</t>
  </si>
  <si>
    <t>SAN ANDRES DE SOTAVENTO</t>
  </si>
  <si>
    <t>T2-M/M-SAS</t>
  </si>
  <si>
    <t>T1-M/M-SAS</t>
  </si>
  <si>
    <t>SAN ANTERO</t>
  </si>
  <si>
    <t>T1-M/M-SAT</t>
  </si>
  <si>
    <t>SAN BENITO DE ABAD</t>
  </si>
  <si>
    <t>T1-M/M-SBA</t>
  </si>
  <si>
    <t>SAN BERNARDO DEL VIENTO</t>
  </si>
  <si>
    <t>T1-M/M-SBE</t>
  </si>
  <si>
    <t>SAN CARLOS</t>
  </si>
  <si>
    <t>T1-M/M-SCL</t>
  </si>
  <si>
    <t>SAN ESTANISLAO</t>
  </si>
  <si>
    <t>T1-M/M-SEO</t>
  </si>
  <si>
    <t xml:space="preserve">•	Actualización de accesorios  
•	Pruebas eléctricas </t>
  </si>
  <si>
    <t>ACTUALIZACION DE VENTILACION FORZADA/PROGRAMAR PRUEBAS ELECTRICAS, INCLUIR DRM</t>
  </si>
  <si>
    <t>SAN FELIPE</t>
  </si>
  <si>
    <t>T1-M/M-SFE</t>
  </si>
  <si>
    <t>84.4.4190</t>
  </si>
  <si>
    <t>SAN JACINTO</t>
  </si>
  <si>
    <t>T1A-A/M-SJA</t>
  </si>
  <si>
    <t>N4T13</t>
  </si>
  <si>
    <t>T2A-A/M-SJA</t>
  </si>
  <si>
    <t>SAN JUAN NEPOMUCENO</t>
  </si>
  <si>
    <t>T1-M/M-SJN</t>
  </si>
  <si>
    <t xml:space="preserve">•	Aumento de capacidad de transformación 
•	Actualización de accesorios  
•	Plan de mitigación por sobrecarga mayores a el 90% y hasta 110%
•	Pruebas eléctricas 
•	Instalación de unidad de transformación adicional </t>
  </si>
  <si>
    <t xml:space="preserve">DESCARGAR TRANSFORMADOR DE POTENCIA/CAMBIO DE RELE BUCHHOLZ/PROGRAMAR PRUEBAS ELECTRICAS </t>
  </si>
  <si>
    <t>SAN LUIS</t>
  </si>
  <si>
    <t>T1-M/M-SLS</t>
  </si>
  <si>
    <t xml:space="preserve">•	Aumento de Capacidad de Transformacion
•	Secado de la parte activa  
•	Secado del aceite
•	Pruebas eléctricas  </t>
  </si>
  <si>
    <t>SECADO DE LA PARTE ACTIVA Y SECADO DEL ACEITE /PROGRAMAR PRUEBAS ELECTRICAS, INCLUIR DFR</t>
  </si>
  <si>
    <t>SAN MARCOS</t>
  </si>
  <si>
    <t>T1A-A/M-SMC</t>
  </si>
  <si>
    <t>SAN MARTIN DE LOBA</t>
  </si>
  <si>
    <t>T1-M/M-SML</t>
  </si>
  <si>
    <t>SAN ONOFRE</t>
  </si>
  <si>
    <t>T1-M/M-SOF</t>
  </si>
  <si>
    <t>SAN PEDRO</t>
  </si>
  <si>
    <t>T1-M/M-SPD</t>
  </si>
  <si>
    <t>SAN PELAYO</t>
  </si>
  <si>
    <t>T1-M/M-SPY</t>
  </si>
  <si>
    <t>G6036</t>
  </si>
  <si>
    <t>SAN ROQUE</t>
  </si>
  <si>
    <t>T1-M/M-SRO</t>
  </si>
  <si>
    <t>•	Secado del aceite</t>
  </si>
  <si>
    <t>SECADO DEL ACEITE/RECLAMAR GARANTIA A CDM</t>
  </si>
  <si>
    <t>SANTA ELENA</t>
  </si>
  <si>
    <t>T1-M/M-STE</t>
  </si>
  <si>
    <t>SANTA INES</t>
  </si>
  <si>
    <t>T1-M/M-SAI</t>
  </si>
  <si>
    <t>SANTA LUCIA</t>
  </si>
  <si>
    <t>T1-M/M-SLC</t>
  </si>
  <si>
    <t>SANTA ROSA</t>
  </si>
  <si>
    <t>T1-M/M-SRS</t>
  </si>
  <si>
    <t>SANTA ROSA DEL SUR</t>
  </si>
  <si>
    <t>T1-M/M-SAR</t>
  </si>
  <si>
    <t>T2-M/M-SAR</t>
  </si>
  <si>
    <t>SANTA TERESA</t>
  </si>
  <si>
    <t>T1-M/M-STR</t>
  </si>
  <si>
    <t>SECADO DE LA PARTE ACTIVA Y SECADO DEL ACEITE/PROGRAMAR PRUEBAS ELECTRICAS, INCLUIR DFR</t>
  </si>
  <si>
    <t>SENA</t>
  </si>
  <si>
    <t>T1-M/M-ESA</t>
  </si>
  <si>
    <t>L30516</t>
  </si>
  <si>
    <t>SIERRA FLOR</t>
  </si>
  <si>
    <t>T1A-A/M-SIE</t>
  </si>
  <si>
    <t>ACTUALIZACION DE VENTILACION FORZADA/PROGRAMAR PRUEBAS ELECTRICAS, INCLUIR DFR</t>
  </si>
  <si>
    <t>1LCB393899</t>
  </si>
  <si>
    <t>SIMAÑA</t>
  </si>
  <si>
    <t>T1-M/M-SMN</t>
  </si>
  <si>
    <t>SIMITI</t>
  </si>
  <si>
    <t>T1-M/M-SIM</t>
  </si>
  <si>
    <t>SINCE</t>
  </si>
  <si>
    <t>T1A-A/M-SCE</t>
  </si>
  <si>
    <t>SINCELEJO PLANTA</t>
  </si>
  <si>
    <t>T1-M/M-SPA</t>
  </si>
  <si>
    <t xml:space="preserve">•	Pruebas eléctricas 
</t>
  </si>
  <si>
    <t xml:space="preserve">SECADO DE LA PARTE ACTIVA/PROGRAMAR PRUEBAS ELECTRICAS </t>
  </si>
  <si>
    <t>T1-M/M-SUC</t>
  </si>
  <si>
    <t>1LCB393905</t>
  </si>
  <si>
    <t xml:space="preserve">TALAIGUA NUEVO </t>
  </si>
  <si>
    <t>T2-M/M-TLG</t>
  </si>
  <si>
    <t>T1-M/M-TLG</t>
  </si>
  <si>
    <t>TAMALAMEQUE</t>
  </si>
  <si>
    <t>T1-M/M-TAN</t>
  </si>
  <si>
    <t>173540-16012</t>
  </si>
  <si>
    <t>TERNERA</t>
  </si>
  <si>
    <t>T3A/M-TER</t>
  </si>
  <si>
    <t>•	Pruebas eléctricas 
•	Secado del aceite
•	Reemplazo o Reparación de Componentes Defectuosos</t>
  </si>
  <si>
    <t>SECAR ACEITE/CAMBIAR BUJE A 66 KV PENDIENTE Y BUJE A 13.8 KV</t>
  </si>
  <si>
    <t>TIERRALTA</t>
  </si>
  <si>
    <t>T1A-A/M-TIE</t>
  </si>
  <si>
    <t>REALIZAR SEGUIMIENTO A LA CARGABILIDAD LADO TERCEARIO</t>
  </si>
  <si>
    <t>P9140576-1458</t>
  </si>
  <si>
    <t>TOLU</t>
  </si>
  <si>
    <t>T1-M/M-TOL</t>
  </si>
  <si>
    <t>S251003</t>
  </si>
  <si>
    <t>TOLU VIEJO</t>
  </si>
  <si>
    <t>T1A-A/M-TVJ</t>
  </si>
  <si>
    <t>SECAR EL ACEITE/PROGRAMAR PRUEBAS ELECTRICAS, INCLUIR DFR</t>
  </si>
  <si>
    <t>1LCB384361</t>
  </si>
  <si>
    <t>TRES ESQUINAS</t>
  </si>
  <si>
    <t>T1-M/M-TRE</t>
  </si>
  <si>
    <t>TRES PALMAS</t>
  </si>
  <si>
    <t>T1-M/M-TPS</t>
  </si>
  <si>
    <t>T2-M/M-TPS</t>
  </si>
  <si>
    <t>T3-M/M-TPS</t>
  </si>
  <si>
    <t>VALENCIA</t>
  </si>
  <si>
    <t>T1-M/M-VAC</t>
  </si>
  <si>
    <t xml:space="preserve">•	Aumento de capacidad de transformación 
•	Actualización de accesorios  
•Repotenciación de unidad de transformación </t>
  </si>
  <si>
    <t>T1-M/M-VAA</t>
  </si>
  <si>
    <t>VILLA ESTRELLA</t>
  </si>
  <si>
    <t>T2-A/M-VIE</t>
  </si>
  <si>
    <t>154212-15812</t>
  </si>
  <si>
    <t>ZAMBRANO</t>
  </si>
  <si>
    <t>T1A-A/M-ZMB</t>
  </si>
  <si>
    <t>SECAR ACEITE/HABILITAR MANDO MOTOR OLTC/PROGRAMAR PRUEBBAS ELECTRICAS, INCLUIR DRM</t>
  </si>
  <si>
    <t>HU619715</t>
  </si>
  <si>
    <t>T2-A/M-ZMB</t>
  </si>
  <si>
    <t>N4T2</t>
  </si>
  <si>
    <t>ZARAGOCILLA</t>
  </si>
  <si>
    <t>T3-A/M-ZRG</t>
  </si>
  <si>
    <t>P9113301-15212-2</t>
  </si>
  <si>
    <t>T2-A/M-ZRG</t>
  </si>
  <si>
    <t xml:space="preserve">•	Pruebas eléctricas 
•	Actualización de accesorios  </t>
  </si>
  <si>
    <t>P911330-15212-1</t>
  </si>
  <si>
    <t>T1-A/M-ZRG</t>
  </si>
  <si>
    <t xml:space="preserve">•	Mantenimiento OLTC con despiece
•	Pruebas eléctricas </t>
  </si>
  <si>
    <t>PROGRAMAR PRUEBAS ELECTRICAS, INCLUIR DRM/MANTENIMIENTO MAYOR OLTC</t>
  </si>
  <si>
    <t>CONDICION 4 Y 5</t>
  </si>
  <si>
    <t>CONDICION 3</t>
  </si>
  <si>
    <t>MTTO TRAFOS G1</t>
  </si>
  <si>
    <t>MTTO TRAFOS G2</t>
  </si>
  <si>
    <t>MTTO TRAFOS G3</t>
  </si>
  <si>
    <t>,</t>
  </si>
  <si>
    <t>ANTES</t>
  </si>
  <si>
    <t>339 380</t>
  </si>
  <si>
    <t>12935/T</t>
  </si>
  <si>
    <t>84.4.4192</t>
  </si>
  <si>
    <t>NO VISIBLE</t>
  </si>
  <si>
    <t>P91405761458</t>
  </si>
  <si>
    <t>P9113301-15212-1</t>
  </si>
  <si>
    <t>2 FAL</t>
  </si>
  <si>
    <t>DESPUES</t>
  </si>
  <si>
    <t>OBSERVACION</t>
  </si>
  <si>
    <t>SE ATRIBUYE A LA CARGABILIDAD</t>
  </si>
  <si>
    <t>MANTENIMIENTO REALIZADO OLTC</t>
  </si>
  <si>
    <t>ACCION DE MANTENIMIENTO EJECUTADA</t>
  </si>
  <si>
    <t>TRANSFORMADOR REEMPLAZADO</t>
  </si>
  <si>
    <t>LA SALVACION</t>
  </si>
  <si>
    <t>CANTIDAD DE USUARIOS</t>
  </si>
  <si>
    <t>T2-M/M-LOR</t>
  </si>
  <si>
    <t>L30244</t>
  </si>
  <si>
    <t>T1-M/M-SLV</t>
  </si>
  <si>
    <t>T3-M/M-GUP</t>
  </si>
  <si>
    <t>TPT2-LJA13.8</t>
  </si>
  <si>
    <t>TPT1-LJA13.8</t>
  </si>
  <si>
    <t>5K0093001</t>
  </si>
  <si>
    <t>RESPALDO</t>
  </si>
  <si>
    <t>TPTA2-COZ13.8</t>
  </si>
  <si>
    <t>TPTA1-COZ13.8</t>
  </si>
  <si>
    <t xml:space="preserve">        </t>
  </si>
  <si>
    <t>65702-00</t>
  </si>
  <si>
    <t>83,7/108.8</t>
  </si>
  <si>
    <t>209,2/271,9</t>
  </si>
  <si>
    <t>FALLADO</t>
  </si>
  <si>
    <t>El transformador fallo el 2 de Noviembre de 2025 en la Subestación Pueblo Nuevo</t>
  </si>
  <si>
    <t>TPT1-BYC13.8</t>
  </si>
  <si>
    <t>TPTA2-CMR13.8</t>
  </si>
  <si>
    <t>TPT1-MGE34.5</t>
  </si>
  <si>
    <t>TPT1-SMC13.8</t>
  </si>
  <si>
    <t>TPT1-RSI13.8</t>
  </si>
  <si>
    <t>TPT2-RSI13.8</t>
  </si>
  <si>
    <t>TPT1-TIE13.8</t>
  </si>
  <si>
    <t>110094-873</t>
  </si>
  <si>
    <t>TPTA1-BST13.8</t>
  </si>
  <si>
    <t>TPT1-SCE13.8</t>
  </si>
  <si>
    <t>TPT1-SIE13.8</t>
  </si>
  <si>
    <t>TPTA1-CMR13.8</t>
  </si>
  <si>
    <t>TPT2-MGE13.8</t>
  </si>
  <si>
    <t>TPT1-EBA13.8</t>
  </si>
  <si>
    <t>TPT1-EPA13.8</t>
  </si>
  <si>
    <t>TPT1-ZMB13.8</t>
  </si>
  <si>
    <t>TPT1-PRC13.8</t>
  </si>
  <si>
    <t>K212319</t>
  </si>
  <si>
    <t>TPT1-MON13.8</t>
  </si>
  <si>
    <t>K212320</t>
  </si>
  <si>
    <t>TPT2-MON13.8</t>
  </si>
  <si>
    <t>TPT1-MOX13.8</t>
  </si>
  <si>
    <t>TPT1-SJA13.8</t>
  </si>
  <si>
    <t>TPT2-SJA13.8</t>
  </si>
  <si>
    <t>TPT1-TVJ13.8</t>
  </si>
  <si>
    <t>1LCB384706</t>
  </si>
  <si>
    <t>TPT1-NMON13.8</t>
  </si>
  <si>
    <t xml:space="preserve">  </t>
  </si>
  <si>
    <t>POTENCIA (MVA)</t>
  </si>
  <si>
    <t>RELACION DE TRANSFORMACION KV</t>
  </si>
  <si>
    <t>34.5/13.2</t>
  </si>
  <si>
    <t>13.2</t>
  </si>
  <si>
    <t>5K0094001</t>
  </si>
  <si>
    <t>110/34.5/13.8</t>
  </si>
  <si>
    <t>34.5/13.8</t>
  </si>
  <si>
    <t>20/20/20</t>
  </si>
  <si>
    <t xml:space="preserve">110-66/34.5/13.8 </t>
  </si>
  <si>
    <t>66-110</t>
  </si>
  <si>
    <t>12EN085/1</t>
  </si>
  <si>
    <t>PGU70171</t>
  </si>
  <si>
    <t>12/12/4</t>
  </si>
  <si>
    <t>173528-16312</t>
  </si>
  <si>
    <t>45/30/15</t>
  </si>
  <si>
    <t>66/13.8 KV</t>
  </si>
  <si>
    <t>82.4.1919</t>
  </si>
  <si>
    <t>PLANTA WEG</t>
  </si>
  <si>
    <t>REVISION INTERNA</t>
  </si>
  <si>
    <t>EVALUACIÓN FURANOS</t>
  </si>
  <si>
    <t>PT100105</t>
  </si>
  <si>
    <t>EVALUACIÓN</t>
  </si>
  <si>
    <t>TPT1A-A/M-LJA13,8</t>
  </si>
  <si>
    <t>TA100239</t>
  </si>
  <si>
    <t>13,8/720</t>
  </si>
  <si>
    <t>TPT RESPALDO</t>
  </si>
  <si>
    <t>EVALUCACIÓN TDGC</t>
  </si>
  <si>
    <t>EVALUCIÓN CO</t>
  </si>
  <si>
    <t>EVALUACIÓN CO2</t>
  </si>
  <si>
    <t>EVALUACIÓN C2H2</t>
  </si>
  <si>
    <t>CONTENIDO DE HUMEDAD</t>
  </si>
  <si>
    <t>NUMERO DE NEUTRALIZACIÓN</t>
  </si>
  <si>
    <t>EVALUACIÓN RIGIDEZ DIELECTRICA</t>
  </si>
  <si>
    <t>EVALUACIÓN IC</t>
  </si>
  <si>
    <t>EVALUACIÓN ADFQ</t>
  </si>
  <si>
    <t>EV CARGABILIDAD</t>
  </si>
  <si>
    <t>EVALUACIÓN EDAD</t>
  </si>
  <si>
    <t>EVALUACIÓN DGA</t>
  </si>
  <si>
    <t>EV PIT</t>
  </si>
  <si>
    <t>H22</t>
  </si>
  <si>
    <t>O23</t>
  </si>
  <si>
    <t>N24</t>
  </si>
  <si>
    <t>CH45</t>
  </si>
  <si>
    <t>CO6</t>
  </si>
  <si>
    <t>CO27</t>
  </si>
  <si>
    <t>C2H48</t>
  </si>
  <si>
    <t>C2H69</t>
  </si>
  <si>
    <t>C2H210</t>
  </si>
  <si>
    <t>C3H811</t>
  </si>
  <si>
    <t>TDGC12</t>
  </si>
  <si>
    <t>TDGC13</t>
  </si>
  <si>
    <t>C2H214</t>
  </si>
  <si>
    <t>RIGIDEZ DIELECTRICA15</t>
  </si>
  <si>
    <t>TENSION INTERFACIAL16</t>
  </si>
  <si>
    <t>IC17</t>
  </si>
  <si>
    <t>RIGIDEZ DIELECTRICA18</t>
  </si>
  <si>
    <t>IC19</t>
  </si>
  <si>
    <t>CARGABILIDAD20</t>
  </si>
  <si>
    <t>BUJES 21</t>
  </si>
  <si>
    <t>EDAD22</t>
  </si>
  <si>
    <t>RADIADORES23</t>
  </si>
  <si>
    <t>JUNTION BLOCK24</t>
  </si>
  <si>
    <t>SUPERIOR25</t>
  </si>
  <si>
    <t>OLTC26</t>
  </si>
  <si>
    <t>EDAD28</t>
  </si>
  <si>
    <t>PREDICTIVO29</t>
  </si>
  <si>
    <t>110/13,8</t>
  </si>
  <si>
    <t>EL BOSQUE</t>
  </si>
  <si>
    <t>TPT</t>
  </si>
  <si>
    <t>110/66/13,8</t>
  </si>
  <si>
    <t>TRANSFORMADORES POR HUMEDAD</t>
  </si>
  <si>
    <t>VERIFICACIÓN DE LA CALIDAD DE LA MUESTRA</t>
  </si>
  <si>
    <t>VERIFICACION DE LA CALIDAD DE LA TOMA</t>
  </si>
  <si>
    <t>HISTORICO TOA NO CONCUERDA LA TENDENCIA</t>
  </si>
  <si>
    <t>No hay historico en el TOA</t>
  </si>
  <si>
    <t>TPTS POR HUMEDAD</t>
  </si>
  <si>
    <t>TR CON ALTO NIVEL DE ACETILENO</t>
  </si>
  <si>
    <t>N339380</t>
  </si>
  <si>
    <t>N405511</t>
  </si>
  <si>
    <t>Fuga por valvula superior de radiador</t>
  </si>
  <si>
    <t>Fuga por radiador flanche hacia la cuba, y por valvula superior en otros 2 radiadores.</t>
  </si>
  <si>
    <t xml:space="preserve">Por termometro de devanado contra la cuba, </t>
  </si>
  <si>
    <t>Cuello de radiador hacia la cuba, valvula drenaje tanque de expansión</t>
  </si>
  <si>
    <t>Por valvula inferior</t>
  </si>
  <si>
    <t>Valvula de toma de muestra, humectación de valvulas mariposa en general</t>
  </si>
  <si>
    <t xml:space="preserve"> </t>
  </si>
  <si>
    <t>Embolo valvula de toma de muestra y valvula de drenaje</t>
  </si>
  <si>
    <t>rele de flujo</t>
  </si>
  <si>
    <t>Rele de Buchholz</t>
  </si>
  <si>
    <t>fuga superior hacia la valvula de sobrepresión.</t>
  </si>
  <si>
    <t>Flanche radiador</t>
  </si>
  <si>
    <t>rele de buchholz y cuello de radiador</t>
  </si>
  <si>
    <t>valvula de radiador</t>
  </si>
  <si>
    <t>AÑO DE FABRICACION2</t>
  </si>
  <si>
    <t>EVALUACION C2H2</t>
  </si>
  <si>
    <t xml:space="preserve">ACTUALIZACION DEL SISTEMA DE REFRIGERACION </t>
  </si>
  <si>
    <t xml:space="preserve">OBSERVACION </t>
  </si>
  <si>
    <t>NORMALIZACION DE GRUPO DE CONEXIONES EN UNIDADES DE REFRIGERACION</t>
  </si>
  <si>
    <t>SECADO DEL ACEITE</t>
  </si>
  <si>
    <t xml:space="preserve">AUMENTO DE CAPACIDAD DE TRANSFORMACION Y/O INSTYALACION DE SEGUNDA UNIDAD DE TRANSFORMACION </t>
  </si>
  <si>
    <t>ACTUALIZACION DEL SISTEMA DE REFRIGERACION 
INSPECCION TERMOGRAFICA
INSPECCION OCULAR DETALLADA (2 VECES AL MES)
EVALUACION DE DPS</t>
  </si>
  <si>
    <t>RECUPERACION DE AISLAMIENTOS</t>
  </si>
  <si>
    <t>CORRECCION DE FUGAS POR ACCESORIOS</t>
  </si>
  <si>
    <t>ACTUALIZACION DE ACCESORIOS</t>
  </si>
  <si>
    <t>ACTUALIZACION DEL SISTEMA DE REFRIGERACION 
ACTUALIZACION DE ACCESORIOS</t>
  </si>
  <si>
    <t>ACTUALIZACION DEL SISTEMA DE REFRIGERACION 
RECUPERACION DE AISLAMIENTOS</t>
  </si>
  <si>
    <t>REGENERACION DE ACEITE</t>
  </si>
  <si>
    <t>INSPECCION TERMOGRAFICA
VERIFICACION DE SISTEMAS DE REFRIGERACION
VERIFICACION DE INDICADORES DE TEMEPRATURA
INSPECCION OCULAR DETALALDA (2 VECES AL MES)
EVALUACION DE DPS</t>
  </si>
  <si>
    <t>MUESTREO DE ACEITE
INSPECCION DETALLADA (1 VEZ AL MES)
INSPECCION TERMOGRAFICA
DIAGNOSTICO SISTEMA PUESTA A TIERRA</t>
  </si>
  <si>
    <t>CONTRAMUESTRA DE ACEITE
CORRECCION DE FUGAS POR ACCESORIOS</t>
  </si>
  <si>
    <t>FUGAS POR RADIADORES</t>
  </si>
  <si>
    <t>REGENERACION DE ACEITE
DESGASIFICAR</t>
  </si>
  <si>
    <t xml:space="preserve">CONTRAMUESTRA DE ACEITE
</t>
  </si>
  <si>
    <t xml:space="preserve">CONTRAMUESTRA DE ACEITE
ACTUALIZACION DEL SISTEMA DE REFRIGERACION
</t>
  </si>
  <si>
    <t>MUESTREO DE ACEITE
INSPECCION DETALLADA (1 VEZ AL MES)
INSPECCION TERMOGRAFICA
DIAGNOSTICO SISTEMA PUESTA A TIERRA
CORRECCION DE FUGAS POR ACCESORIOS</t>
  </si>
  <si>
    <t>INSPECCION TERMOGRAFICA
VERIFICACION DE SISTEMAS DE REFRIGERACION
VERIFICACION DE INDICADORES DE TEMEPRATURA
INSPECCION OCULAR DETALALDA (2 VECES AL MES)
EVALUACION DE DPS
CORRECCION DE FUGAS POR ACCESORIOS</t>
  </si>
  <si>
    <t>INSPECCION TERMOGRAFICA
VERIFICACION DE SISTEMAS DE REFRIGERACION
VERIFICACION DE INDICADORES DE TEMEPRATURA
INSPECCION OCULAR DETALALDA (2 VECES AL MES)
EVALUACION DE DPS
CONTRAMUESTRA DE ACEITE</t>
  </si>
  <si>
    <t xml:space="preserve">PINTURA PARCIAL
</t>
  </si>
  <si>
    <t>FUGAS POR VALVULA INFERIOR</t>
  </si>
  <si>
    <t>INSPECCION TERMOGRAFICA
VERIFICACION DE SISTEMAS DE REFRIGERACION
VERIFICACION DE INDICADORES DE TEMEPRATURA
INSPECCION OCULAR DETALALDA (2 VECES AL MES)
EVALUACION DE DPS
RECUPERACION DE AISLAMIENTOS</t>
  </si>
  <si>
    <t xml:space="preserve">INSPECCION TERMOGRAFICA
VERIFICACION DE SISTEMAS DE REFRIGERACION
VERIFICACION DE INDICADORES DE TEMEPRATURA
INSPECCION OCULAR DETALALDA (2 VECES AL MES)
EVALUACION DE DPS
ACTUALIZACION DEL SISTEMA DE REFRIGERACION </t>
  </si>
  <si>
    <t>4</t>
  </si>
  <si>
    <t>SEGUIMIENTO TENDENCIA GAS C2H2</t>
  </si>
  <si>
    <t>RECUPERACION DE AISLAMIENTOS
PRUEBAS ELECTRICAS
CORRECCION DE FUGAS POR ACCESORIOS</t>
  </si>
  <si>
    <t>RECUPERACION DE AISLAMIENTOS
CORRECCION DE FUGAS POR ACCESORIOS</t>
  </si>
  <si>
    <t>ACTUALIZACION DEL SISTEMA DE REFRIGERACION 
CORRECCION DE FUGAS POR ACCESORIOS</t>
  </si>
  <si>
    <t>SECADO DE LA PARTE ACTIVA
CORRECCION DE FUGAS POR ACCESORIOS</t>
  </si>
  <si>
    <t>CORRECCION DE FUGAS POR ACCESORIOS
MANTENIMIENTO OLTC CON DESPIECE
INSTALACION DE UNIDAD DE TRANSFORMACION ADICIONAL
CORRECCION DE FUGAS POR ACCESORIOS</t>
  </si>
  <si>
    <t>RECUPERACION DE AISLAMIENTOS
ACTUALIZACION DEL SISTEMA DE REFRIGERACION 
CORRECCION DE FUGAS POR ACCESORIOS</t>
  </si>
  <si>
    <t>SEGUIMIENTO TENDENCIA GAS C2H2
CORRECCION DE FUGAS POR ACCESORIOS</t>
  </si>
  <si>
    <t>ACTUALIZACION DE ACCESORIOS
ACTUALIZACION DEL SISTEMA DE REFRIGERACION 
CORRECCION DE FUGAS POR ACCESORIOS</t>
  </si>
  <si>
    <t>ACTUALIZACION DEL SISTEMA DE REFRIGERACION 
MUESTREO DE ACEITE
INSPECCION OCULAR DETALLADA (1 VEZ AL MES)
EVALUACION DE DSPT
INSPECCION TERMOGRAFICA
CORRECCION DE FUGAS POR ACCESORIOS</t>
  </si>
  <si>
    <t xml:space="preserve">CONTRAMUESTRA DE ACEITE
ACTUALIZACION DE ACCESORIOS
CORRECCION DE FUGAS POR ACCESORIOS
</t>
  </si>
  <si>
    <t>INSPECCION TERMOGRAFICA
VERIFICACION DE SISTEMAS DE REFRIGERACION
VERIFICACION DE INDICADORES DE TEMEPRATURA
INSPECCION OCULAR DETALALDA (2 VECES AL MES)
EVALUACION DE DPS
ACTUALIZACION DEL SISTEMA DE REFRIGERACION 
CORRECCION DE FUGAS POR ACCESORIOS</t>
  </si>
  <si>
    <t>"MUESTREO DE ACEITE
INSPECCION DETALLADA (1 VEZ AL MES)
INSPECCION TERMOGRAFICA
DIAGNOSTICO SISTEMA PUESTA A TIERRA"</t>
  </si>
  <si>
    <t>UBICACIÓN FUGAS</t>
  </si>
  <si>
    <t>REEMPLAZO DE FILTRO DE SILICA CUBA</t>
  </si>
  <si>
    <t>ACTUALIZACIÓN DEL SISTEMA DE REFRIGERACIÓN</t>
  </si>
  <si>
    <t>ACTUALIZACION DE FILTRO DE SILICA CUBA CONVENCIONAL POR LIBRE DE MANTENIMIENTO</t>
  </si>
  <si>
    <t>ACTUALIZACION DEL SISTEMA DE REFRIGERACION Y ACTUALIZACION DE FILTRO DE SILICA CUBA CONVENCIONAL POR LIBRE DE MANTENIMIENTO</t>
  </si>
  <si>
    <t>ACTUALIZACION DE FILTRO DE SILICA CUBA CONVENCIONAL POR LIBRE DE MANTENIMIENTO, REEMPLAZAR FILTRO DE SILICA OLTC, REEMPLAZO DE 3 TERMOMETROS DE TEMPERATURA DE DEVANADOS</t>
  </si>
  <si>
    <t>REEMPLAZO DE RELE BUCHHOLZ Y FILTRO DE SILICA GEL CUBA</t>
  </si>
  <si>
    <t>VALVULA DE SOBREPRESION CUBA 2 UNIDADES
REEMPLAZO DE FILTRO DE SILICA CUBA CONVENCIONAL POR LIBRE DE MANTENIMIENTO</t>
  </si>
  <si>
    <t xml:space="preserve">REEMPLAZO DE RELE BUCHHOLZ Y FILTRO DE SILICA GEL CUBA, ACTUALIZACION DEL SISTEMA DE REFRIGERACION </t>
  </si>
  <si>
    <t xml:space="preserve">REGENERACION DE ACEITE
REEMPLAZO DE FILTRO DE SILICA OLTC, ACTUALIZACION DEL SISTEMA DE REFRIGERACION </t>
  </si>
  <si>
    <t>ACTUALIZACION DE TERMOMETROS DE TEMPERATURA DE ACEITE Y DEVANADOS, REEMPLAZO DE FILTRO DE SILICA CUBA</t>
  </si>
  <si>
    <t>REGENERACION DE ACEITE
ACTUALIZACION DE TERMOMETROS DE TEMPERATURA DE ACEITE Y DEVANADOS, REEMPLAZO DE FILTRO DE SILICA CUBA</t>
  </si>
  <si>
    <t>ACTUALIZACION DEL SISTEMA DE REFRIGERACION, REEMPLAZO DE FILTRO DE SILICA CUBA CONVENCIONAL POR LIBRE DE MANTENIMIENTO</t>
  </si>
  <si>
    <t>ACTUALIZACION DE TERMOMETROS DE TEMPERATURA DE ACEITE Y DEVANADOS</t>
  </si>
  <si>
    <t>ACTUALIZACION DEL SISTEMA DE REFRIGERACION Y ACTUALIZACION DE FILTRO DE SILICA CUBA CONVENCIONAL POR LIBRE DE MANTENIMIENTO, REEMPLAZO DE FILTRO SILICA GEL OLTC</t>
  </si>
  <si>
    <t>REEMPLAZO DE 4 CUERPOS DE RADIADORES, REEMPLAZO DE FILTRO DE SILICA GEL OLTC</t>
  </si>
  <si>
    <t xml:space="preserve">REGENERACION DE ACEITE
ACTUALIZACION DEL SISTEMA DE REFRIGERACION </t>
  </si>
  <si>
    <t>REEMPLAZO DE FILTRO DE SILICA CUBA CONVENCIONAL POR LIBRE DE MANTENIMIENTO</t>
  </si>
  <si>
    <t xml:space="preserve">REEMPLAZO DE FILTRO DE SILICA CUBA CONVENCIONAL </t>
  </si>
  <si>
    <t>REGENERACION DE ACEITE
REEMPLAZO DE BUSHING
ACTUALIZACION DE TERMOMETROS DE TEMPERATURA DE ACEITE Y DEVANADOS (3), REEMPLAZO DE FILTRO DE SILICA OLTC, ACTUALIZACION DEL SISTEMA DE REFRIGERACION, REEMPLAZO DE VALVULA DE SOBREPRESION</t>
  </si>
  <si>
    <t>CAMBIO DE BUSHING
REEMPLAZO DE FILTRO DE SILICA CUBA, REEMPLAZO DE FILTRO DE SILICA OLTC, ACTUALIZACION DEL SISTEMA DE REFRIGERACION, ACTUALIZACION DE TERMOMETROS DE TEMPERATURA DE ACEITE Y DEVANADOS (3)</t>
  </si>
  <si>
    <t xml:space="preserve">REEMPLAZO DE FILTRO DE SILICA CUBA CONVENCIONAL POR LIBRE DE MANTENIMIENTO, REEMPLAZO DE FILTRO DE SILICA OLTC, ACTUALIZACION DEL SISTEMA DE REFRIGERACION </t>
  </si>
  <si>
    <t>ACTUALIZACION DEL SISTEMA DE REFRIGERACION, REEMPLAZO DE FILTRO DE SILICA OLTC</t>
  </si>
  <si>
    <t>REEMPLAZO DE FILTRO DE SILICA CUBA CONVENCIONAL POR LIBRE DE MANTENIMIENTO, REEMPLAZO DE FILTRO DE SILICA OLTC</t>
  </si>
  <si>
    <t>REEMPLAZO DE BUJE A 34.5 KV</t>
  </si>
  <si>
    <t>ACTUALIZACION DE TERMOMETROS DE TEMPERATURA DE ACEITE Y DEVANADOS, REEMPLAZO DE FILRO DE SILICA CUBA,  REEMPLAZO DE FILTRO DE SILICA OLTC Y ACTUALIZACION DEL SISTEMA DE REFRIGERACION</t>
  </si>
  <si>
    <t>ACTUALIZACION DEL SISTEMA DE REFRIGERACION Y REEMPLAZO DE RELE BUCHHOLZ</t>
  </si>
  <si>
    <t>ACTUALIZACION DEL SISTEMA DE REFRIGERACION, REEMPLAZO DE TERMOMETRO DE TEMPERATURA DE ACEITE Y DEVANADOS (3), REEMPLAZO DE FILTRO DE SILICA GEL CUBA CONVENCIONAL POR LIBRE DE MANTENIMIENTO, REEMPLAZO DE FILTRO DE SILICA GEL OLTC, REEMPLAZO DE VALVULA DE SOBREPRESION</t>
  </si>
  <si>
    <t>ACTUALIZACION DEL SISTEMA DE REFRIGERACION, REEMPLAZO DE FILTRO DE SILICA CUBA</t>
  </si>
  <si>
    <t xml:space="preserve">REEMPLAZO DE VALVULA DE SOBREPRESION </t>
  </si>
  <si>
    <t xml:space="preserve">VALVULA DE SOBREPRESION OLTC 1
REEMPLAZO DE FILTRO DE SILICA CUBA CONVENCIONAL, ACTUALIZACION DEL SISTEMA DE REFRIGERACION </t>
  </si>
  <si>
    <t>ACTUALIZACION DE TERMOMETROS DE TEMPERATURA DE ACEITE Y DEVANADOS (3), REEMPLAZO DE RELE BUCHHOLZ</t>
  </si>
  <si>
    <t>REEMPLAZO DE FILTRO DE SILICA CUBA, REEMPLAZO DE TERMOMETRO DE TEMPERATURA DE ACEITE Y VALVULA DE SOBREPRESION</t>
  </si>
  <si>
    <t>CAMBIO DE BUSHING
REEMPLAZO DE INDICADOR DE NIVEL CUBA Y OLTC, REEMPLAZO DE RELE BUCHHOLZ</t>
  </si>
  <si>
    <t>ACTUALIZACION DEL SISTEMA DE REFRIGERACION, REEMPLAZO DE FILTRO DE SILICA GEL OLTC</t>
  </si>
  <si>
    <t>ACTUALIZACION DEL SISTEMA DE REFRIGERACION, REEMPLAZO DE FILTRO DE SILICA GEL CUBA CONVENCIONAL POR LIBRE DE MANTENIMIENTO, REEMPLAZO DE FILTRO DE SILICA GEL OLTC</t>
  </si>
  <si>
    <t>Indicador de nivel y rele de Buchholz</t>
  </si>
  <si>
    <t>Embolo de valvula de recirculado</t>
  </si>
  <si>
    <t>Valvula de toma de muestra hacia la cuba</t>
  </si>
  <si>
    <t>Oblea radiador</t>
  </si>
  <si>
    <t>Poro en la cuba bajo la taba</t>
  </si>
  <si>
    <t>Oblea de radiador</t>
  </si>
  <si>
    <t>Valvula superior de radiador</t>
  </si>
  <si>
    <t>Valvula de recirculado</t>
  </si>
  <si>
    <t>Vavlula de drenaje, rele de Buchholz</t>
  </si>
  <si>
    <t>Oblea de radiador  x3, rele de buchholz</t>
  </si>
  <si>
    <t>Oblea de radiador x5</t>
  </si>
  <si>
    <t>Oblea de radiador x3</t>
  </si>
  <si>
    <t>Valvula de radiador x3</t>
  </si>
  <si>
    <t>MUESTREO DE ACEITE
INSPECCION DETALLADA (1 VEZ AL MES)
INSPECCION TERMOGRAFICA
DIAGNOSTICO SISTEMA PUESTA A TIERRA
coRRECCION DE FUGAS POR ACCESORIOS</t>
  </si>
  <si>
    <t xml:space="preserve">NLTC </t>
  </si>
  <si>
    <t>Tapon inferior de la cuba, valvula inferior de radiador</t>
  </si>
  <si>
    <t>Poro en la cuba bajo la caja de 13.8</t>
  </si>
  <si>
    <t xml:space="preserve">PRUEBAS ELECTRICAS 
MUESTREO DE ACEITE
INSPECCION OCULAR DETALLADA (1 VEZ AL MES)
INSPECCION TERMOGRAFICA
DIAGNOSTICO DE SISTEMA PUESTA A TIERRA
CORRECCION DE FUGAS POR ACCESORIOS
</t>
  </si>
  <si>
    <t>ALIADO</t>
  </si>
  <si>
    <t xml:space="preserve">TYS </t>
  </si>
  <si>
    <t>CDM</t>
  </si>
  <si>
    <t>CORRECCION DE FUGAS POR RELE BUCHHOLZ
SECADO DEL ACEITE
ACTUALIZACION DE FILTRO DE SILICA CUBA CONVENCIONAL POR LIBRE DE MANTENIMIENTO</t>
  </si>
  <si>
    <t>MUESTREO DE ACEITE
INSPECCION DETALLADA (1 VEZ AL MES)
INSPECCION TERMOGRAFICA
DIAGNOSTICO SISTEMA PUESTA A TIERRA
ACTUALIZACION DE ACCESORIOS</t>
  </si>
  <si>
    <t>GARANTIA CDM</t>
  </si>
  <si>
    <t>ACTUALIZACION DE TERMOMETROS DE TEMPERATURA DE ACEITE Y DEVANADOS
 ACTUALIZACIÓN DE SISTEMA DE REFRIGERACIÓN
SOLICITAR GARANTIA A CDM BAJA RIGIDEZ - SECADO DEL ACEITE</t>
  </si>
  <si>
    <t>CAUSANTE</t>
  </si>
  <si>
    <t xml:space="preserve">ENVEJECIMIENTO AVANZADO DEL PAPEL - FIN DE LA VIDA UTIL </t>
  </si>
  <si>
    <t>CARGABILIDAD - SOBRECARGA 130%</t>
  </si>
  <si>
    <t>ENVEJECIMIENTO AVANZADO DEL PAPEL - FIN DE LA VIDA UTIL - MULTIPLES DEFECTOS INTERNOS</t>
  </si>
  <si>
    <t>CARGABILIDAD - SOBRECARGA 110%</t>
  </si>
  <si>
    <t xml:space="preserve">ALTA GENERACION DE GASES </t>
  </si>
  <si>
    <t>CARGABILIDAD - SOBRECARGA 115%</t>
  </si>
  <si>
    <t>CARGABILIDAD - SOBRECARGA 120%</t>
  </si>
  <si>
    <t>ANALISIS FISICO-QUIMICO Y CROMATOGRAFIA DE GASES</t>
  </si>
  <si>
    <t xml:space="preserve">ANALISIS FISICO-QUIMICO </t>
  </si>
  <si>
    <t>HERMETICIDAD Y TEMPERATURA</t>
  </si>
  <si>
    <t xml:space="preserve">HERMETICIDAD </t>
  </si>
  <si>
    <t>ANALISIS FISICO-QUIMICO Y TEMPERATURA</t>
  </si>
  <si>
    <t>CROMATOGRAFIA</t>
  </si>
  <si>
    <t xml:space="preserve">CONTRAMUESTRA DE ACEITE
ACTUALIZACION DEL SISTEMA DE REFRIGERACION
ACTUALIZACION DE ACCESORIOS
REGENERACION DE ACEITE
</t>
  </si>
  <si>
    <t>APERTURA</t>
  </si>
  <si>
    <t>TIEMPO</t>
  </si>
  <si>
    <t>06:00 - 16:00</t>
  </si>
  <si>
    <t>07:00 - 16:00</t>
  </si>
  <si>
    <t>08:00 - 15:00</t>
  </si>
  <si>
    <t>09:00 - 13:00</t>
  </si>
  <si>
    <t>08:00 - 12:00</t>
  </si>
  <si>
    <t>08:00 - 16:00</t>
  </si>
  <si>
    <t>08:00 - 17:00</t>
  </si>
  <si>
    <t>06:30 - 17:00</t>
  </si>
  <si>
    <t>COSTO</t>
  </si>
  <si>
    <t xml:space="preserve">            </t>
  </si>
  <si>
    <t>TYS G3</t>
  </si>
  <si>
    <t>ACTUALIZACION DEL SISTEMA DE REFRIGERACION 
MANTENIMIENTO OLTC CON DESPIECE</t>
  </si>
  <si>
    <t>06:00 - 17:00</t>
  </si>
  <si>
    <t xml:space="preserve">ACTUALIZACION DEL SISTEMA DE REFRIGERACION 
ACTUALIZACION DE ACCESORIOS
CORRECCION DE FUGAS POR ACCESORIOS
MANTENIMIENTO OLTC CON DESPIECE
</t>
  </si>
  <si>
    <t>ACTUALIZACION DEL SISTEMA DE REFRIGERACION
MANTENIMIENTO OLTC CON DESPIECE
SECADO DEL ACEITE</t>
  </si>
  <si>
    <t>CDM - TYS</t>
  </si>
  <si>
    <t>07:00 - 17:00</t>
  </si>
  <si>
    <t>07:00 -  16:00</t>
  </si>
  <si>
    <t xml:space="preserve">	12/03/2026</t>
  </si>
  <si>
    <t xml:space="preserve">	24/04/2026</t>
  </si>
  <si>
    <t>09/04/202</t>
  </si>
  <si>
    <t xml:space="preserve">	20/08/2026</t>
  </si>
  <si>
    <t>08:30 - 12:30</t>
  </si>
  <si>
    <t>09:00 - 14:00</t>
  </si>
  <si>
    <t>07:00 - 15:00</t>
  </si>
  <si>
    <t xml:space="preserve">	14/05/2026</t>
  </si>
  <si>
    <t xml:space="preserve">	19/07/2026</t>
  </si>
  <si>
    <t>07:00 - 13:00</t>
  </si>
  <si>
    <t xml:space="preserve">	06/08/2026</t>
  </si>
  <si>
    <t>07:30 - 16:00</t>
  </si>
  <si>
    <t xml:space="preserve">	26/04/2026</t>
  </si>
  <si>
    <t xml:space="preserve">	24/05/2026</t>
  </si>
  <si>
    <t xml:space="preserve">	05/07/2026</t>
  </si>
  <si>
    <t xml:space="preserve">	27/09/2026</t>
  </si>
  <si>
    <t>BRIGADA TX</t>
  </si>
  <si>
    <t>ACTUALIZACIÓN DEL SISTEMA DE REFRIGERACIÓN
REEMPLAZO DE RELE BUCHHOLZ</t>
  </si>
  <si>
    <t>CUERPO DE RADIADOR
ACTUALIZACION DEL SISTEMA DE REFRIGERACION</t>
  </si>
  <si>
    <t>05:00 - 17:00</t>
  </si>
  <si>
    <t>07:30 -  17:00</t>
  </si>
  <si>
    <t>08:30 - 17:00</t>
  </si>
  <si>
    <t xml:space="preserve">SIMITI </t>
  </si>
  <si>
    <t xml:space="preserve">SANTA ROSA DEL SUR </t>
  </si>
  <si>
    <t>TPT1-NLLO13,8</t>
  </si>
  <si>
    <t>PLAN DE MITIGACION POR SOBRECARGA MAYORES A EL 90% Y HASTA 110%</t>
  </si>
  <si>
    <t>PLAN DE MITIGACION POR SOBRECARGA MAYORES A EL 90% Y HASTA 110%
CORRECCION DE FUGAS POR ACCESORIOS</t>
  </si>
  <si>
    <t>PRUEBAS ELECTRICAS
PLAN DE MITIGACION POR SOBRECARGA MAYORES A EL 90% Y HASTA 110%
RECUPERACION DE AISLAMIENTOS</t>
  </si>
  <si>
    <t xml:space="preserve">REEMPLAZO DE FILTRO DE SILICA CUBA CONVENCIONAL 
AUMENTO DE CAPACIDAD DE TRANSFORMACION Y/O INSTYALACION DE SEGUNDA UNIDAD DE TRANSFORMACION </t>
  </si>
  <si>
    <t xml:space="preserve">NORMALIZACION DE GRUPO DE CONEXIONES EN UNIDADES DE REFRIGERACION
ACTUALIZACION DE TERMOMETROS DE TEMPERATURA DE ACEITE Y DEVANADOS
AUMENTO DE CAPACIDAD DE TRANSFORMACION Y/O INSTYALACION DE SEGUNDA UNIDAD DE TRANSFORMACION </t>
  </si>
  <si>
    <t xml:space="preserve">ACTUALIZACION DE TERMOMETROS DE TEMPERATURA DE ACEITE Y DEVANADOS, ACTUALIZACION, REEMPLAZO DE FILTRO DE SILICA GEL CUBA CONVENCIONAL
AUMENTO DE CAPACIDAD DE TRANSFORMACION Y/O INSTYALACION DE SEGUNDA UNIDAD DE TRANSFORMACION </t>
  </si>
  <si>
    <t xml:space="preserve">RECUPERACION DE AISLAMIENTOS
</t>
  </si>
  <si>
    <t>ACTUALIZACION DEL SISTEMA DE REFRIGERACION, REEMPLAZO DE FILTRO DE SILICA GEL CUBA CONVENCIONAL, ACTUALIZACION DE TERMOMETROS DE TEMPERATURA DE ACEITE Y DEVANADOS
REGENERACION DE ACEITE</t>
  </si>
  <si>
    <t>PLAN DE MITIGACION POR SOBRECARGA MAYORES A EL 90% Y HASTA 110%
CORRECCION DE FUGAS POR ACCESORIOS
RECUPERACION DE AISLAMIENTOS</t>
  </si>
  <si>
    <t>AUMENTO DE CAPACIDAD DE TRANSFORMACION Y/O INSTYALACION DE SEGUNDA UNIDAD DE TRANSFORMACION 
SECADO DEL ACEITE</t>
  </si>
  <si>
    <t>INSPECCION TERMOGRAFICA
VERIFICACION DE SISTEMAS DE REFRIGERACION
VERIFICACION DE INDICADORES DE TEMEPRATURA
INSPECCION OCULAR DETALALDA (2 VECES AL MES)
EVALUACION DE DPS
CORRECCION DE FUGAS POR ACCESORIOS
RECUPERACION DE AISLAMIENTOS</t>
  </si>
  <si>
    <t>EVALUAR MONTAJE DE SISTEMA DE REFRIGERACION 
REEMPLAZO DE FILTRO DE SILICA CUBA CONVENCIONAL 
SECADO DEL ACEITE</t>
  </si>
  <si>
    <t>MUESTREO DE ACEITE
INSPECCION DETALLADA (1 VEZ AL MES)
INSPECCION TERMOGRAFICA
DIAGNOSTICO SISTEMA PUESTA A TIERRA
CORRECCION DE FUGAS POR ACCESORIOS
RECUPERACION DE AISLAMIENTOS</t>
  </si>
  <si>
    <t>NORMALIZACION DE GRUPO DE CONEXIONES EN UNIDADES DE REFRIGERACION
REEMPLAZO DE FILTRO DE SILICA GEL CUBA, ACTUALIZACION DE TERMOMETROS DE TEMPERATURA DE ACEITE Y DEVANADOS
SECADO DEL ACEITE</t>
  </si>
  <si>
    <t>ACTUALIZACION DE TERMOMETROS DE TEMPERATURA DE ACEITE Y DEVANADOS, REEMPLAZO DE FILTRO DE SILICA CUBA
SECADO DEL ACEITE</t>
  </si>
  <si>
    <t>PROPUESTA A PLAN DE INVERSION (PI)
CORRECCION DE FUGAS POR ACCESORIOS
AUMENTO DE CAPACIDAD DE TRANSFORMACION 
INSTALACION DE UNIDAD DE TRANSFORMACION ADICIONAL</t>
  </si>
  <si>
    <t>PROPUESTA A PLAN DE INVERSION (PI)
CORRECCION DE FUGAS POR ACCESORIOS
AUMENTO DE CAPACIDAD DE TRANSFORMACION 
INSTALACION DE UNIDAD DE TRANSFORMACION ADICIONAL
CORRECCION DE FUGAS POR ACCESORIOS</t>
  </si>
  <si>
    <t>RETROFIT DE PROTECCIONES MECANICAS Y TABLERO
AUMENTO DE CAUDAL DE REFRIGERACION
AUMENTO DE CAPACIDAD DEL SISTEMA DE REFRIGERACION 
MOVIMIENTO ESTRATEGICO DE TRANSFORMADORES</t>
  </si>
  <si>
    <t>CG2030</t>
  </si>
  <si>
    <t>T1-M/M-AYAR</t>
  </si>
  <si>
    <t xml:space="preserve">ACTUALIZACION Y/O REPOTENCIACION DEL SISTEMA DE REFRIGERACION </t>
  </si>
  <si>
    <t>EJECUTADA</t>
  </si>
  <si>
    <t>PENDIENTE</t>
  </si>
  <si>
    <t>T4-A/A-BQE</t>
  </si>
  <si>
    <t>T3-A/M-CER</t>
  </si>
  <si>
    <t>T4-A/M-CER</t>
  </si>
  <si>
    <t>T2-M/M-CPA</t>
  </si>
  <si>
    <t>T1-A/M-COV</t>
  </si>
  <si>
    <t>T3-A/M-COV</t>
  </si>
  <si>
    <t>T1A-A/M-NMO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</si>
</sst>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quot;$&quot;\ * #,##0_-;\-&quot;$&quot;\ * #,##0_-;_-&quot;$&quot;\ * &quot;-&quot;_-;_-@_-"/>
    <numFmt numFmtId="44" formatCode="_-&quot;$&quot;\ * #,##0.00_-;\-&quot;$&quot;\ * #,##0.00_-;_-&quot;$&quot;\ * &quot;-&quot;??_-;_-@_-"/>
    <numFmt numFmtId="164" formatCode="0.0"/>
    <numFmt numFmtId="165" formatCode="_-&quot;$&quot;\ * #,##0_-;\-&quot;$&quot;\ * #,##0_-;_-&quot;$&quot;\ * &quot;-&quot;??_-;_-@_-"/>
  </numFmts>
  <fonts count="11"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1"/>
      <name val="Symbol"/>
      <family val="1"/>
      <charset val="2"/>
    </font>
    <font>
      <sz val="7"/>
      <color theme="1"/>
      <name val="Times New Roman"/>
      <family val="1"/>
    </font>
    <font>
      <b/>
      <sz val="12"/>
      <color theme="1"/>
      <name val="Calibri"/>
      <family val="2"/>
      <scheme val="minor"/>
    </font>
    <font>
      <b/>
      <sz val="20"/>
      <color theme="1"/>
      <name val="Calibri"/>
      <family val="2"/>
      <scheme val="minor"/>
    </font>
    <font>
      <sz val="10"/>
      <color rgb="FF000000"/>
      <name val="Tahoma"/>
      <family val="2"/>
    </font>
    <font>
      <sz val="8"/>
      <name val="Calibri"/>
      <family val="2"/>
      <scheme val="minor"/>
    </font>
    <font>
      <sz val="11"/>
      <color rgb="FF000000"/>
      <name val="Calibri"/>
      <family val="2"/>
      <scheme val="minor"/>
    </font>
  </fonts>
  <fills count="14">
    <fill>
      <patternFill patternType="none"/>
    </fill>
    <fill>
      <patternFill patternType="gray125"/>
    </fill>
    <fill>
      <patternFill patternType="solid">
        <fgColor rgb="FF0070C0"/>
        <bgColor indexed="64"/>
      </patternFill>
    </fill>
    <fill>
      <patternFill patternType="solid">
        <fgColor rgb="FF92D050"/>
        <bgColor indexed="64"/>
      </patternFill>
    </fill>
    <fill>
      <patternFill patternType="solid">
        <fgColor rgb="FF00B0F0"/>
        <bgColor indexed="64"/>
      </patternFill>
    </fill>
    <fill>
      <patternFill patternType="solid">
        <fgColor theme="0"/>
        <bgColor indexed="64"/>
      </patternFill>
    </fill>
    <fill>
      <patternFill patternType="solid">
        <fgColor rgb="FFFFFF00"/>
        <bgColor indexed="64"/>
      </patternFill>
    </fill>
    <fill>
      <patternFill patternType="solid">
        <fgColor rgb="FFFF0000"/>
        <bgColor indexed="64"/>
      </patternFill>
    </fill>
    <fill>
      <patternFill patternType="solid">
        <fgColor rgb="FFFFC000"/>
        <bgColor indexed="64"/>
      </patternFill>
    </fill>
    <fill>
      <patternFill patternType="solid">
        <fgColor theme="5" tint="-0.249977111117893"/>
        <bgColor indexed="64"/>
      </patternFill>
    </fill>
    <fill>
      <patternFill patternType="solid">
        <fgColor theme="7"/>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rgb="FF00B050"/>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right/>
      <top/>
      <bottom style="medium">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s>
  <cellStyleXfs count="4">
    <xf numFmtId="0" fontId="0" fillId="0" borderId="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cellStyleXfs>
  <cellXfs count="126">
    <xf numFmtId="0" fontId="0" fillId="0" borderId="0" xfId="0"/>
    <xf numFmtId="0" fontId="2" fillId="2" borderId="1" xfId="0" applyFont="1" applyFill="1" applyBorder="1" applyAlignment="1">
      <alignment horizontal="center" vertical="center"/>
    </xf>
    <xf numFmtId="0" fontId="0" fillId="0" borderId="1" xfId="0" applyBorder="1" applyAlignment="1">
      <alignment horizontal="center" vertical="center"/>
    </xf>
    <xf numFmtId="1" fontId="0" fillId="0" borderId="1" xfId="0" applyNumberFormat="1" applyBorder="1" applyAlignment="1">
      <alignment horizontal="center" vertical="center"/>
    </xf>
    <xf numFmtId="1" fontId="0" fillId="3" borderId="1" xfId="0" applyNumberFormat="1" applyFill="1" applyBorder="1" applyAlignment="1">
      <alignment horizontal="center" vertical="center"/>
    </xf>
    <xf numFmtId="0" fontId="0" fillId="3" borderId="1" xfId="0" applyFill="1" applyBorder="1" applyAlignment="1">
      <alignment horizontal="center" vertical="center"/>
    </xf>
    <xf numFmtId="0" fontId="0" fillId="0" borderId="1" xfId="1" applyNumberFormat="1" applyFont="1" applyFill="1" applyBorder="1" applyAlignment="1">
      <alignment horizontal="center" vertical="center"/>
    </xf>
    <xf numFmtId="1" fontId="0" fillId="4" borderId="1" xfId="0" applyNumberFormat="1" applyFill="1" applyBorder="1" applyAlignment="1">
      <alignment horizontal="center" vertical="center"/>
    </xf>
    <xf numFmtId="0" fontId="0" fillId="0" borderId="1" xfId="0" applyBorder="1" applyAlignment="1">
      <alignment horizontal="center" vertical="center" wrapText="1"/>
    </xf>
    <xf numFmtId="0" fontId="0" fillId="5" borderId="1" xfId="0" applyFill="1" applyBorder="1" applyAlignment="1">
      <alignment horizontal="center" vertical="center"/>
    </xf>
    <xf numFmtId="0" fontId="0" fillId="0" borderId="1" xfId="0" applyBorder="1" applyAlignment="1">
      <alignment horizontal="center"/>
    </xf>
    <xf numFmtId="1" fontId="0" fillId="0" borderId="1" xfId="0" applyNumberFormat="1" applyBorder="1" applyAlignment="1">
      <alignment horizontal="center"/>
    </xf>
    <xf numFmtId="0" fontId="0" fillId="3" borderId="1" xfId="0" applyFill="1" applyBorder="1" applyAlignment="1">
      <alignment horizontal="center"/>
    </xf>
    <xf numFmtId="0" fontId="0" fillId="0" borderId="0" xfId="0" applyAlignment="1">
      <alignment horizontal="center" vertical="center"/>
    </xf>
    <xf numFmtId="0" fontId="0" fillId="0" borderId="2" xfId="0" applyBorder="1" applyAlignment="1">
      <alignment horizontal="center" vertical="center"/>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164" fontId="0" fillId="0" borderId="1" xfId="0" applyNumberFormat="1" applyBorder="1" applyAlignment="1">
      <alignment horizontal="center" vertical="center"/>
    </xf>
    <xf numFmtId="0" fontId="0" fillId="5" borderId="1" xfId="1" applyNumberFormat="1" applyFont="1" applyFill="1" applyBorder="1" applyAlignment="1">
      <alignment horizontal="center" vertical="center"/>
    </xf>
    <xf numFmtId="9" fontId="0" fillId="5" borderId="1" xfId="1" applyFont="1" applyFill="1" applyBorder="1" applyAlignment="1">
      <alignment horizontal="center" vertical="center"/>
    </xf>
    <xf numFmtId="0" fontId="0" fillId="0" borderId="1" xfId="1" applyNumberFormat="1" applyFont="1" applyBorder="1" applyAlignment="1">
      <alignment horizontal="center" vertical="center"/>
    </xf>
    <xf numFmtId="0" fontId="0" fillId="6" borderId="1" xfId="0" applyFill="1" applyBorder="1" applyAlignment="1">
      <alignment horizontal="center" vertical="center"/>
    </xf>
    <xf numFmtId="1" fontId="0" fillId="6" borderId="1" xfId="0" applyNumberFormat="1" applyFill="1" applyBorder="1" applyAlignment="1">
      <alignment horizontal="center" vertical="center"/>
    </xf>
    <xf numFmtId="9" fontId="0" fillId="6" borderId="1" xfId="1" applyFont="1" applyFill="1" applyBorder="1" applyAlignment="1">
      <alignment horizontal="center" vertical="center"/>
    </xf>
    <xf numFmtId="0" fontId="0" fillId="6" borderId="1" xfId="0" applyFill="1" applyBorder="1" applyAlignment="1">
      <alignment horizontal="center" vertical="center" wrapText="1"/>
    </xf>
    <xf numFmtId="0" fontId="0" fillId="6" borderId="0" xfId="0" applyFill="1" applyAlignment="1">
      <alignment horizontal="center" vertical="center"/>
    </xf>
    <xf numFmtId="165" fontId="0" fillId="0" borderId="1" xfId="2" applyNumberFormat="1" applyFont="1" applyBorder="1" applyAlignment="1">
      <alignment horizontal="center" vertical="center"/>
    </xf>
    <xf numFmtId="165" fontId="0" fillId="6" borderId="1" xfId="2" applyNumberFormat="1" applyFont="1" applyFill="1" applyBorder="1" applyAlignment="1">
      <alignment horizontal="center" vertical="center"/>
    </xf>
    <xf numFmtId="0" fontId="4" fillId="0" borderId="0" xfId="0" applyFont="1" applyAlignment="1">
      <alignment horizontal="left" vertical="center" indent="5"/>
    </xf>
    <xf numFmtId="0" fontId="4" fillId="6" borderId="0" xfId="0" applyFont="1" applyFill="1" applyAlignment="1">
      <alignment horizontal="left" vertical="center" indent="5"/>
    </xf>
    <xf numFmtId="0" fontId="0" fillId="6" borderId="1" xfId="1" applyNumberFormat="1" applyFont="1" applyFill="1" applyBorder="1" applyAlignment="1">
      <alignment horizontal="center" vertical="center"/>
    </xf>
    <xf numFmtId="0" fontId="0" fillId="0" borderId="5" xfId="0" applyBorder="1" applyAlignment="1">
      <alignment horizontal="center" vertical="center"/>
    </xf>
    <xf numFmtId="0" fontId="0" fillId="6" borderId="5" xfId="0" applyFill="1" applyBorder="1" applyAlignment="1">
      <alignment horizontal="center" vertical="center"/>
    </xf>
    <xf numFmtId="0" fontId="0" fillId="6" borderId="6" xfId="0" applyFill="1" applyBorder="1" applyAlignment="1">
      <alignment horizontal="center"/>
    </xf>
    <xf numFmtId="2" fontId="0" fillId="0" borderId="1" xfId="0" applyNumberFormat="1" applyBorder="1" applyAlignment="1">
      <alignment horizontal="center" vertical="center"/>
    </xf>
    <xf numFmtId="0" fontId="0" fillId="0" borderId="6" xfId="0" applyBorder="1" applyAlignment="1">
      <alignment horizontal="center"/>
    </xf>
    <xf numFmtId="165" fontId="0" fillId="0" borderId="5" xfId="2" applyNumberFormat="1" applyFont="1" applyBorder="1" applyAlignment="1">
      <alignment horizontal="center" vertical="center"/>
    </xf>
    <xf numFmtId="1" fontId="0" fillId="5" borderId="1" xfId="0" applyNumberFormat="1" applyFill="1" applyBorder="1" applyAlignment="1">
      <alignment horizontal="center" vertical="center"/>
    </xf>
    <xf numFmtId="2" fontId="0" fillId="6" borderId="1" xfId="0" applyNumberFormat="1" applyFill="1" applyBorder="1" applyAlignment="1">
      <alignment horizontal="center" vertical="center"/>
    </xf>
    <xf numFmtId="164" fontId="0" fillId="6" borderId="1" xfId="0" applyNumberFormat="1" applyFill="1" applyBorder="1" applyAlignment="1">
      <alignment horizontal="center" vertical="center"/>
    </xf>
    <xf numFmtId="0" fontId="0" fillId="6" borderId="0" xfId="0" applyFill="1"/>
    <xf numFmtId="0" fontId="3" fillId="0" borderId="10" xfId="0" applyFont="1" applyBorder="1" applyAlignment="1">
      <alignment horizontal="center" vertical="center"/>
    </xf>
    <xf numFmtId="0" fontId="3" fillId="0" borderId="11" xfId="0" applyFont="1" applyBorder="1" applyAlignment="1">
      <alignment horizontal="center" vertical="center"/>
    </xf>
    <xf numFmtId="0" fontId="3" fillId="0" borderId="12" xfId="0" applyFont="1" applyBorder="1" applyAlignment="1">
      <alignment horizontal="center" vertical="center"/>
    </xf>
    <xf numFmtId="165" fontId="0" fillId="0" borderId="10" xfId="0" applyNumberFormat="1" applyBorder="1" applyAlignment="1">
      <alignment horizontal="center" vertical="center"/>
    </xf>
    <xf numFmtId="165" fontId="0" fillId="0" borderId="11" xfId="0" applyNumberFormat="1" applyBorder="1" applyAlignment="1">
      <alignment horizontal="center" vertical="center"/>
    </xf>
    <xf numFmtId="165" fontId="0" fillId="0" borderId="12" xfId="0" applyNumberFormat="1" applyBorder="1" applyAlignment="1">
      <alignment horizontal="center" vertical="center"/>
    </xf>
    <xf numFmtId="0" fontId="2" fillId="2" borderId="17" xfId="0" applyFont="1" applyFill="1" applyBorder="1" applyAlignment="1">
      <alignment horizontal="center" vertical="center"/>
    </xf>
    <xf numFmtId="0" fontId="2" fillId="2" borderId="18" xfId="0" applyFont="1" applyFill="1" applyBorder="1" applyAlignment="1">
      <alignment horizontal="center" vertical="center"/>
    </xf>
    <xf numFmtId="0" fontId="0" fillId="7" borderId="1" xfId="0" applyFill="1" applyBorder="1" applyAlignment="1">
      <alignment horizontal="center" vertical="center"/>
    </xf>
    <xf numFmtId="0" fontId="0" fillId="7" borderId="1" xfId="0" applyFill="1" applyBorder="1" applyAlignment="1">
      <alignment horizontal="center"/>
    </xf>
    <xf numFmtId="0" fontId="0" fillId="8" borderId="1" xfId="0" applyFill="1" applyBorder="1" applyAlignment="1">
      <alignment horizontal="center" vertical="center"/>
    </xf>
    <xf numFmtId="0" fontId="0" fillId="9" borderId="1" xfId="0" applyFill="1" applyBorder="1" applyAlignment="1">
      <alignment horizontal="center" vertical="center"/>
    </xf>
    <xf numFmtId="0" fontId="0" fillId="10" borderId="1" xfId="0" applyFill="1" applyBorder="1" applyAlignment="1">
      <alignment horizontal="center" vertical="center"/>
    </xf>
    <xf numFmtId="0" fontId="0" fillId="3" borderId="0" xfId="0" applyFill="1"/>
    <xf numFmtId="0" fontId="0" fillId="11" borderId="1" xfId="0" applyFill="1" applyBorder="1" applyAlignment="1">
      <alignment horizontal="center"/>
    </xf>
    <xf numFmtId="1" fontId="0" fillId="11" borderId="1" xfId="0" applyNumberFormat="1" applyFill="1" applyBorder="1" applyAlignment="1">
      <alignment horizontal="center"/>
    </xf>
    <xf numFmtId="0" fontId="0" fillId="11" borderId="1" xfId="0" applyFill="1" applyBorder="1" applyAlignment="1">
      <alignment horizontal="center" vertical="center"/>
    </xf>
    <xf numFmtId="1" fontId="0" fillId="11" borderId="1" xfId="0" applyNumberFormat="1" applyFill="1" applyBorder="1" applyAlignment="1">
      <alignment horizontal="center" vertical="center"/>
    </xf>
    <xf numFmtId="164" fontId="0" fillId="0" borderId="1" xfId="0" applyNumberFormat="1" applyBorder="1" applyAlignment="1">
      <alignment horizontal="center"/>
    </xf>
    <xf numFmtId="0" fontId="0" fillId="0" borderId="15" xfId="0" applyBorder="1" applyAlignment="1">
      <alignment horizontal="center" vertical="center"/>
    </xf>
    <xf numFmtId="0" fontId="0" fillId="0" borderId="0" xfId="0" applyAlignment="1">
      <alignment horizontal="center"/>
    </xf>
    <xf numFmtId="0" fontId="0" fillId="0" borderId="1" xfId="0" applyBorder="1" applyAlignment="1">
      <alignment horizontal="center" wrapText="1"/>
    </xf>
    <xf numFmtId="0" fontId="0" fillId="0" borderId="15" xfId="0" applyBorder="1" applyAlignment="1">
      <alignment horizontal="center"/>
    </xf>
    <xf numFmtId="0" fontId="0" fillId="0" borderId="19" xfId="0" applyBorder="1" applyAlignment="1">
      <alignment horizontal="center"/>
    </xf>
    <xf numFmtId="1" fontId="0" fillId="3" borderId="1" xfId="0" applyNumberFormat="1" applyFill="1" applyBorder="1" applyAlignment="1">
      <alignment horizontal="center"/>
    </xf>
    <xf numFmtId="0" fontId="0" fillId="12" borderId="15" xfId="0" applyFill="1" applyBorder="1" applyAlignment="1">
      <alignment horizontal="center"/>
    </xf>
    <xf numFmtId="0" fontId="0" fillId="12" borderId="1" xfId="0" applyFill="1" applyBorder="1" applyAlignment="1">
      <alignment horizontal="center" vertical="center"/>
    </xf>
    <xf numFmtId="0" fontId="0" fillId="12" borderId="1" xfId="0" applyFill="1" applyBorder="1" applyAlignment="1">
      <alignment horizontal="center"/>
    </xf>
    <xf numFmtId="1" fontId="0" fillId="12" borderId="1" xfId="0" applyNumberFormat="1" applyFill="1" applyBorder="1" applyAlignment="1">
      <alignment horizontal="center"/>
    </xf>
    <xf numFmtId="0" fontId="8" fillId="0" borderId="1" xfId="0" applyFont="1" applyBorder="1" applyAlignment="1">
      <alignment horizontal="center" vertical="center" wrapText="1"/>
    </xf>
    <xf numFmtId="0" fontId="0" fillId="0" borderId="21" xfId="0" applyBorder="1" applyAlignment="1">
      <alignment horizontal="center" vertical="center"/>
    </xf>
    <xf numFmtId="0" fontId="0" fillId="0" borderId="22" xfId="0" applyBorder="1" applyAlignment="1">
      <alignment horizontal="center" vertical="center"/>
    </xf>
    <xf numFmtId="0" fontId="0" fillId="0" borderId="14" xfId="0" applyBorder="1" applyAlignment="1">
      <alignment horizontal="center"/>
    </xf>
    <xf numFmtId="0" fontId="0" fillId="0" borderId="20" xfId="0" applyBorder="1" applyAlignment="1">
      <alignment horizontal="center" vertical="center"/>
    </xf>
    <xf numFmtId="0" fontId="0" fillId="0" borderId="20" xfId="0" applyBorder="1" applyAlignment="1">
      <alignment horizontal="center"/>
    </xf>
    <xf numFmtId="1" fontId="0" fillId="0" borderId="20" xfId="0" applyNumberFormat="1" applyBorder="1" applyAlignment="1">
      <alignment horizontal="center"/>
    </xf>
    <xf numFmtId="0" fontId="0" fillId="0" borderId="20" xfId="0" applyBorder="1" applyAlignment="1">
      <alignment horizontal="center" wrapText="1"/>
    </xf>
    <xf numFmtId="0" fontId="2" fillId="2" borderId="10" xfId="0" applyFont="1" applyFill="1" applyBorder="1" applyAlignment="1">
      <alignment horizontal="center" vertical="center"/>
    </xf>
    <xf numFmtId="0" fontId="2" fillId="2" borderId="11" xfId="0" applyFont="1" applyFill="1" applyBorder="1" applyAlignment="1">
      <alignment horizontal="center" vertical="center"/>
    </xf>
    <xf numFmtId="0" fontId="2" fillId="2" borderId="20" xfId="0" applyFont="1" applyFill="1" applyBorder="1" applyAlignment="1">
      <alignment horizontal="center" vertical="center"/>
    </xf>
    <xf numFmtId="3" fontId="0" fillId="11" borderId="1" xfId="0" applyNumberFormat="1" applyFill="1" applyBorder="1" applyAlignment="1">
      <alignment horizontal="center" vertical="center"/>
    </xf>
    <xf numFmtId="14" fontId="0" fillId="11" borderId="1" xfId="0" applyNumberFormat="1" applyFill="1" applyBorder="1" applyAlignment="1">
      <alignment horizontal="center" vertical="center"/>
    </xf>
    <xf numFmtId="49" fontId="0" fillId="0" borderId="1" xfId="0" applyNumberFormat="1" applyBorder="1" applyAlignment="1">
      <alignment horizontal="center" vertical="center"/>
    </xf>
    <xf numFmtId="0" fontId="3" fillId="0" borderId="1" xfId="0" applyFont="1" applyBorder="1"/>
    <xf numFmtId="0" fontId="0" fillId="12" borderId="20" xfId="0" applyFill="1" applyBorder="1" applyAlignment="1">
      <alignment horizontal="center"/>
    </xf>
    <xf numFmtId="0" fontId="0" fillId="12" borderId="16" xfId="0" applyFill="1" applyBorder="1" applyAlignment="1">
      <alignment horizontal="center" vertical="center"/>
    </xf>
    <xf numFmtId="0" fontId="0" fillId="12" borderId="19" xfId="0" applyFill="1" applyBorder="1" applyAlignment="1">
      <alignment horizontal="center" vertical="center"/>
    </xf>
    <xf numFmtId="0" fontId="0" fillId="12" borderId="19" xfId="0" applyFill="1" applyBorder="1" applyAlignment="1">
      <alignment horizontal="center"/>
    </xf>
    <xf numFmtId="0" fontId="0" fillId="12" borderId="19" xfId="0" applyFill="1" applyBorder="1" applyAlignment="1">
      <alignment horizontal="center" wrapText="1"/>
    </xf>
    <xf numFmtId="0" fontId="0" fillId="7" borderId="0" xfId="0" applyFill="1"/>
    <xf numFmtId="0" fontId="0" fillId="0" borderId="24" xfId="0" applyBorder="1" applyAlignment="1">
      <alignment horizontal="center"/>
    </xf>
    <xf numFmtId="0" fontId="2" fillId="2" borderId="25" xfId="0" applyFont="1" applyFill="1" applyBorder="1" applyAlignment="1">
      <alignment horizontal="center" vertical="center"/>
    </xf>
    <xf numFmtId="0" fontId="10" fillId="0" borderId="18" xfId="0" applyFont="1" applyBorder="1" applyAlignment="1">
      <alignment horizontal="center"/>
    </xf>
    <xf numFmtId="0" fontId="0" fillId="0" borderId="18" xfId="0" applyBorder="1" applyAlignment="1">
      <alignment horizontal="center"/>
    </xf>
    <xf numFmtId="0" fontId="0" fillId="0" borderId="26" xfId="0" applyBorder="1" applyAlignment="1">
      <alignment horizontal="center"/>
    </xf>
    <xf numFmtId="0" fontId="2" fillId="13" borderId="1" xfId="0" applyFont="1" applyFill="1" applyBorder="1" applyAlignment="1">
      <alignment horizontal="center" vertical="center"/>
    </xf>
    <xf numFmtId="0" fontId="2" fillId="9" borderId="1" xfId="0" applyFont="1" applyFill="1" applyBorder="1" applyAlignment="1">
      <alignment horizontal="center" vertical="center"/>
    </xf>
    <xf numFmtId="0" fontId="0" fillId="0" borderId="1" xfId="1" applyNumberFormat="1" applyFont="1" applyBorder="1" applyAlignment="1">
      <alignment horizontal="center"/>
    </xf>
    <xf numFmtId="0" fontId="10" fillId="0" borderId="1" xfId="0" applyFont="1" applyBorder="1" applyAlignment="1">
      <alignment horizontal="center" vertical="center" wrapText="1"/>
    </xf>
    <xf numFmtId="0" fontId="10" fillId="0" borderId="1" xfId="0" applyFont="1" applyBorder="1" applyAlignment="1">
      <alignment horizontal="center" wrapText="1"/>
    </xf>
    <xf numFmtId="0" fontId="0" fillId="5" borderId="1" xfId="0" applyFill="1" applyBorder="1" applyAlignment="1">
      <alignment horizontal="center"/>
    </xf>
    <xf numFmtId="0" fontId="0" fillId="0" borderId="0" xfId="0" applyAlignment="1">
      <alignment horizontal="center" wrapText="1"/>
    </xf>
    <xf numFmtId="0" fontId="0" fillId="6" borderId="1" xfId="0" applyFill="1" applyBorder="1" applyAlignment="1">
      <alignment horizontal="center"/>
    </xf>
    <xf numFmtId="1" fontId="0" fillId="5" borderId="1" xfId="0" applyNumberFormat="1" applyFill="1" applyBorder="1" applyAlignment="1">
      <alignment horizontal="center"/>
    </xf>
    <xf numFmtId="0" fontId="3" fillId="5" borderId="1" xfId="0" applyFont="1" applyFill="1" applyBorder="1" applyAlignment="1">
      <alignment horizontal="center" vertical="center"/>
    </xf>
    <xf numFmtId="0" fontId="0" fillId="5" borderId="1" xfId="0" applyFill="1" applyBorder="1" applyAlignment="1">
      <alignment horizontal="center" wrapText="1"/>
    </xf>
    <xf numFmtId="14" fontId="0" fillId="0" borderId="1" xfId="0" applyNumberFormat="1" applyBorder="1" applyAlignment="1">
      <alignment horizontal="center"/>
    </xf>
    <xf numFmtId="14" fontId="0" fillId="0" borderId="1" xfId="0" applyNumberFormat="1" applyBorder="1" applyAlignment="1">
      <alignment horizontal="center" vertical="center"/>
    </xf>
    <xf numFmtId="42" fontId="0" fillId="0" borderId="1" xfId="3" applyFont="1" applyBorder="1" applyAlignment="1">
      <alignment horizontal="center"/>
    </xf>
    <xf numFmtId="42" fontId="0" fillId="0" borderId="0" xfId="3" applyFont="1" applyAlignment="1">
      <alignment horizontal="center"/>
    </xf>
    <xf numFmtId="0" fontId="0" fillId="13" borderId="1" xfId="0" applyFill="1" applyBorder="1" applyAlignment="1">
      <alignment horizontal="center" vertical="center"/>
    </xf>
    <xf numFmtId="14" fontId="10" fillId="0" borderId="1" xfId="0" applyNumberFormat="1" applyFont="1" applyBorder="1" applyAlignment="1">
      <alignment horizontal="center"/>
    </xf>
    <xf numFmtId="0" fontId="10" fillId="0" borderId="24" xfId="0" applyFont="1" applyBorder="1" applyAlignment="1">
      <alignment horizontal="center"/>
    </xf>
    <xf numFmtId="14" fontId="10" fillId="0" borderId="20" xfId="0" applyNumberFormat="1" applyFont="1" applyBorder="1" applyAlignment="1">
      <alignment horizontal="center"/>
    </xf>
    <xf numFmtId="0" fontId="10" fillId="0" borderId="25" xfId="0" applyFont="1" applyBorder="1" applyAlignment="1">
      <alignment horizontal="center"/>
    </xf>
    <xf numFmtId="164" fontId="0" fillId="5" borderId="1" xfId="0" applyNumberFormat="1" applyFill="1" applyBorder="1" applyAlignment="1">
      <alignment horizontal="center"/>
    </xf>
    <xf numFmtId="0" fontId="10" fillId="0" borderId="1" xfId="0" applyFont="1" applyBorder="1" applyAlignment="1">
      <alignment horizontal="center"/>
    </xf>
    <xf numFmtId="0" fontId="0" fillId="0" borderId="2" xfId="0" applyBorder="1" applyAlignment="1">
      <alignment horizontal="center"/>
    </xf>
    <xf numFmtId="0" fontId="0" fillId="0" borderId="23" xfId="0" applyBorder="1" applyAlignment="1">
      <alignment horizontal="center"/>
    </xf>
    <xf numFmtId="0" fontId="0" fillId="0" borderId="22" xfId="0" applyBorder="1" applyAlignment="1">
      <alignment horizontal="center" vertical="center"/>
    </xf>
    <xf numFmtId="0" fontId="6" fillId="0" borderId="7" xfId="0" applyFont="1" applyBorder="1" applyAlignment="1">
      <alignment horizontal="center" vertical="center"/>
    </xf>
    <xf numFmtId="0" fontId="6" fillId="0" borderId="8" xfId="0" applyFont="1" applyBorder="1" applyAlignment="1">
      <alignment horizontal="center" vertical="center"/>
    </xf>
    <xf numFmtId="0" fontId="6" fillId="0" borderId="9" xfId="0" applyFont="1" applyBorder="1" applyAlignment="1">
      <alignment horizontal="center" vertical="center"/>
    </xf>
    <xf numFmtId="0" fontId="0" fillId="0" borderId="2" xfId="0" applyBorder="1" applyAlignment="1">
      <alignment horizontal="center" vertical="center"/>
    </xf>
    <xf numFmtId="0" fontId="7" fillId="0" borderId="13" xfId="0" applyFont="1" applyBorder="1" applyAlignment="1">
      <alignment horizontal="center" vertical="center"/>
    </xf>
  </cellXfs>
  <cellStyles count="4">
    <cellStyle name="Moneda" xfId="2" builtinId="4"/>
    <cellStyle name="Moneda [0]" xfId="3" builtinId="7"/>
    <cellStyle name="Normal" xfId="0" builtinId="0"/>
    <cellStyle name="Porcentaje" xfId="1" builtinId="5"/>
  </cellStyles>
  <dxfs count="114">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top style="thin">
          <color indexed="64"/>
        </top>
      </border>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rgb="FF0070C0"/>
        </patternFill>
      </fill>
      <alignment horizontal="center" vertical="center" textRotation="0" wrapText="0" indent="0" justifyLastLine="0" shrinkToFit="0" readingOrder="0"/>
      <border diagonalUp="0" diagonalDown="0" outline="0">
        <left style="thin">
          <color indexed="64"/>
        </left>
        <right style="thin">
          <color indexed="64"/>
        </right>
        <top/>
        <bottom/>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left style="thin">
          <color indexed="64"/>
        </left>
        <top style="thin">
          <color indexed="64"/>
        </top>
        <bottom style="thin">
          <color indexed="64"/>
        </bottom>
      </border>
    </dxf>
    <dxf>
      <alignment horizontal="center"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rgb="FF0070C0"/>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8A08E11-7DB0-1F4A-8AD2-1C8047123FC1}" name="Tabla2" displayName="Tabla2" ref="D6:L39" totalsRowShown="0" headerRowDxfId="113" dataDxfId="111" headerRowBorderDxfId="112" tableBorderDxfId="110">
  <autoFilter ref="D6:L39" xr:uid="{9FB871BD-0603-514E-89C9-92ACC3909877}"/>
  <sortState xmlns:xlrd2="http://schemas.microsoft.com/office/spreadsheetml/2017/richdata2" ref="D7:K37">
    <sortCondition ref="K6:K37"/>
  </sortState>
  <tableColumns count="9">
    <tableColumn id="1" xr3:uid="{1895BA1E-7C37-F64A-8986-D22C7B83354D}" name="SERIE" dataDxfId="109"/>
    <tableColumn id="2" xr3:uid="{EDA2EB05-3366-1944-8E89-A766839D83DD}" name="POTENCIA (KVA)" dataDxfId="108"/>
    <tableColumn id="3" xr3:uid="{B92E5ECC-EFB2-354B-9C45-E510254737B3}" name="GRUPO" dataDxfId="107"/>
    <tableColumn id="4" xr3:uid="{2C8AF463-6D90-3443-A215-D7740CE70137}" name="SUBESTACION" dataDxfId="106"/>
    <tableColumn id="5" xr3:uid="{0D72F1EF-99D4-EC45-93D1-CAE743DA343B}" name="MATRICULA" dataDxfId="105"/>
    <tableColumn id="6" xr3:uid="{CE1BCA85-B1AA-9544-B729-545CCCA2BBE8}" name="RIGIDEZ DIELECTRICA" dataDxfId="104"/>
    <tableColumn id="7" xr3:uid="{404DC119-BB6E-BE46-A145-F1AE90C8ACB0}" name="CONTENIDO HUMEDAD" dataDxfId="103"/>
    <tableColumn id="8" xr3:uid="{B02E0A6E-C5B9-734E-B364-5E747C756BD2}" name="VERIFICACION DE LA CALIDAD DE LA TOMA" dataDxfId="102">
      <calculatedColumnFormula>I7+J7</calculatedColumnFormula>
    </tableColumn>
    <tableColumn id="9" xr3:uid="{733A068C-450C-764E-BBF9-92850F03DE6E}" name="OBSERVACION" dataDxfId="101"/>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5691D1-FA62-F142-A7D7-C4C0D38696AF}" name="Tabla1" displayName="Tabla1" ref="B2:CU27" totalsRowShown="0" headerRowDxfId="100" headerRowBorderDxfId="99" tableBorderDxfId="98">
  <autoFilter ref="B2:CU27" xr:uid="{005691D1-FA62-F142-A7D7-C4C0D38696AF}"/>
  <tableColumns count="98">
    <tableColumn id="1" xr3:uid="{E5F04FC5-3558-B64C-90C4-AC8827858664}" name="SERIE" dataDxfId="97"/>
    <tableColumn id="2" xr3:uid="{AB929CA0-D194-C64B-8463-452FA4D75EFD}" name="POTENCIA (MVA)" dataDxfId="96"/>
    <tableColumn id="3" xr3:uid="{53965E36-6351-BB46-928B-D059E98C613A}" name="RELACION DE TRANSFORMACION KV" dataDxfId="95"/>
    <tableColumn id="4" xr3:uid="{C12CC789-3FED-3D42-A03C-FFE2DA449826}" name="SUBESTACION" dataDxfId="94"/>
    <tableColumn id="5" xr3:uid="{F0A52921-2F8F-5B44-BCFC-C595E71DCFE4}" name="MATRICULA" dataDxfId="93"/>
    <tableColumn id="6" xr3:uid="{D490DC15-B1D2-6A41-955F-F91A1EFD75A8}" name="ZONA" dataDxfId="92"/>
    <tableColumn id="7" xr3:uid="{9910304A-B424-004C-A276-928332C0ED28}" name="DEPARTAMENTO" dataDxfId="91"/>
    <tableColumn id="8" xr3:uid="{82D76C0C-80AD-F149-A0FB-B66FE4B8D00E}" name="H2" dataDxfId="90"/>
    <tableColumn id="9" xr3:uid="{5F75AA48-E596-C94B-9935-8EAB6E6192B8}" name="CH4" dataDxfId="89"/>
    <tableColumn id="10" xr3:uid="{8350E3CF-DC05-A945-A78F-3DF981EA0251}" name="CO" dataDxfId="88"/>
    <tableColumn id="11" xr3:uid="{CFCF8D0D-E823-2343-BA99-2FACDE42FB50}" name="C2H4" dataDxfId="87"/>
    <tableColumn id="12" xr3:uid="{518407B2-EA80-DC40-9B3B-EFDFB40E8BA5}" name="C2H6" dataDxfId="86"/>
    <tableColumn id="13" xr3:uid="{BE39BB35-917B-1048-A1D6-E4EDCC8CF529}" name="C3H8" dataDxfId="85"/>
    <tableColumn id="14" xr3:uid="{7F223DCD-748D-3343-A692-5E19FDE51613}" name="O2" dataDxfId="84"/>
    <tableColumn id="15" xr3:uid="{C6DED064-E702-4C4D-A18A-054B8805B271}" name="N2" dataDxfId="83"/>
    <tableColumn id="16" xr3:uid="{4C7392E3-D66E-8342-AD09-71E7413B6524}" name="CO2" dataDxfId="82"/>
    <tableColumn id="17" xr3:uid="{2A882749-1BF8-4043-8C70-6307FEE540AD}" name="C2H2" dataDxfId="81"/>
    <tableColumn id="18" xr3:uid="{1CE5EAE7-A189-DE4B-96AA-D645A083EBB1}" name="TDGC" dataDxfId="80"/>
    <tableColumn id="19" xr3:uid="{CC69CB9F-A047-304B-9AC5-C40E7B8DFCE9}" name="EVALUCACIÓN TDGC" dataDxfId="79"/>
    <tableColumn id="20" xr3:uid="{CA2A2B8F-0287-2D4A-AFEB-03810D8988C7}" name="EVALUCIÓN CO" dataDxfId="78"/>
    <tableColumn id="21" xr3:uid="{68EEFA0C-6AED-D349-8821-05B8501EE36F}" name="EVALUACIÓN CO2" dataDxfId="77"/>
    <tableColumn id="22" xr3:uid="{B54ACD49-7E67-7E46-8C29-FFB56AEB30D1}" name="EVALUACIÓN C2H2" dataDxfId="76"/>
    <tableColumn id="23" xr3:uid="{F270F453-5866-6B4F-863D-A9451D320DEA}" name="EVALUACIÓN DGA" dataDxfId="75"/>
    <tableColumn id="24" xr3:uid="{ADFC9217-2293-4341-8524-9E09B1DC8697}" name="RIGIDEZ DIELECTRICA" dataDxfId="74"/>
    <tableColumn id="25" xr3:uid="{F1653BF1-5744-014F-9D51-16394BF32190}" name="CONTENIDO DE HUMEDAD" dataDxfId="73"/>
    <tableColumn id="26" xr3:uid="{664966AA-4D21-AA44-AA92-C580A27EB243}" name="NUMERO DE NEUTRALIZACIÓN" dataDxfId="72"/>
    <tableColumn id="27" xr3:uid="{7E0056BC-DC83-2948-85B8-EFF9D1D379E5}" name="TENSION INTERFACIAL" dataDxfId="71"/>
    <tableColumn id="28" xr3:uid="{D1E7CF04-E916-F541-9B03-EA5869CCFB34}" name="IC" dataDxfId="70"/>
    <tableColumn id="29" xr3:uid="{434EE0D8-8964-844E-9FAF-3C2745339345}" name="FURANOS" dataDxfId="69"/>
    <tableColumn id="30" xr3:uid="{57D69140-17FF-D64B-83CB-394EDE8FF87E}" name="EVALUACIÓN RIGIDEZ DIELECTRICA" dataDxfId="68"/>
    <tableColumn id="31" xr3:uid="{1EB07B76-83AC-1444-876C-D2B5466E975D}" name="EVALUACIÓN IC" dataDxfId="67"/>
    <tableColumn id="32" xr3:uid="{17F8DCC0-F6FA-9D44-BBDF-5E833398FF05}" name="EVALUACIÓN ADFQ" dataDxfId="66"/>
    <tableColumn id="33" xr3:uid="{AD001502-5ECE-524A-AF2A-6B6BB9E94D7B}" name="EVALUACIÓN FURANOS" dataDxfId="65"/>
    <tableColumn id="34" xr3:uid="{D632DA19-B55C-5C4C-ACC3-37C307C413AD}" name="REFRIGERACION" dataDxfId="64"/>
    <tableColumn id="35" xr3:uid="{4D9EFD36-0897-DB42-A6E5-01B29CFC0D2E}" name="VENTILACION " dataDxfId="63"/>
    <tableColumn id="36" xr3:uid="{8936D4E6-095E-2443-A68D-5BB64B30A5D0}" name="REGULACION" dataDxfId="62"/>
    <tableColumn id="37" xr3:uid="{2B0B060A-B698-7449-9F02-4486E03DE5A2}" name="H22" dataDxfId="61"/>
    <tableColumn id="38" xr3:uid="{AC7FB584-E41D-3C4F-A817-5B5F0846AE44}" name="O23" dataDxfId="60"/>
    <tableColumn id="39" xr3:uid="{9467ACDA-128E-834C-B05B-5931A524407B}" name="N24" dataDxfId="59"/>
    <tableColumn id="40" xr3:uid="{AB194AFF-1268-7245-943C-BBDF188942EE}" name="CH45" dataDxfId="58"/>
    <tableColumn id="41" xr3:uid="{65FE4A41-DBB2-764D-815F-34BA4B831D4E}" name="CO6" dataDxfId="57"/>
    <tableColumn id="42" xr3:uid="{EF5D87ED-C93E-EC40-932D-CE72A4E01F84}" name="CO27" dataDxfId="56"/>
    <tableColumn id="43" xr3:uid="{DF8016A6-E4C2-B748-A31D-6B2AE9419852}" name="C2H48" dataDxfId="55"/>
    <tableColumn id="44" xr3:uid="{AF723386-C1E0-6F43-82BA-1E5F1AEF66C7}" name="C2H69" dataDxfId="54"/>
    <tableColumn id="45" xr3:uid="{8630027C-5502-D84C-B72F-ADB72C016068}" name="C2H210" dataDxfId="53"/>
    <tableColumn id="46" xr3:uid="{F1059883-C4C0-8B42-B73A-FF7FFCE23F12}" name="C3H811" dataDxfId="52"/>
    <tableColumn id="47" xr3:uid="{57D63620-312C-3743-A24F-6F169780282F}" name="TDGC12" dataDxfId="51"/>
    <tableColumn id="48" xr3:uid="{21EDFBF4-50A5-884E-B8C5-C72ADFB84B62}" name="TDGC13" dataDxfId="50"/>
    <tableColumn id="49" xr3:uid="{26B6CACF-48B8-644E-B801-DDA1A0BBE13F}" name="C2H214" dataDxfId="49"/>
    <tableColumn id="50" xr3:uid="{63747F5A-ED1B-F142-A166-5B55F84AB434}" name="DGA" dataDxfId="48"/>
    <tableColumn id="51" xr3:uid="{A4D90D07-4C70-D74A-906A-6C29489FDBFD}" name="RIGIDEZ DIELECTRICA15" dataDxfId="47"/>
    <tableColumn id="52" xr3:uid="{255B6C55-2910-E340-AAFB-FF1326002578}" name="CONTENIDO HUMEDAD" dataDxfId="46"/>
    <tableColumn id="53" xr3:uid="{6123AAC9-38DC-B844-A530-0E7564C54C7D}" name="NUMERO DE NEUTRALIZACION" dataDxfId="45"/>
    <tableColumn id="54" xr3:uid="{D7ECFFC1-9BBB-3643-9554-8C3550EE1493}" name="TENSION INTERFACIAL16" dataDxfId="44"/>
    <tableColumn id="55" xr3:uid="{DA5FA4AC-9A67-F64C-950D-6F8268D23D86}" name="IC17" dataDxfId="43"/>
    <tableColumn id="56" xr3:uid="{C78D618F-B607-7B43-B327-C566306EDA72}" name="RIGIDEZ DIELECTRICA18" dataDxfId="42"/>
    <tableColumn id="57" xr3:uid="{4A42797C-89B8-5047-A937-6ABEAEB0D996}" name="IC19" dataDxfId="41"/>
    <tableColumn id="58" xr3:uid="{FA728C8E-C882-D344-9099-DDEAF166673B}" name="ADFQ" dataDxfId="40"/>
    <tableColumn id="59" xr3:uid="{E9EDB9C3-19D5-1145-A97E-959DBEA0217A}" name="PREDICTIVO" dataDxfId="39"/>
    <tableColumn id="60" xr3:uid="{A75F80AD-93C7-8848-97E6-4C73C79E094E}" name="AMPACIDAD PRIMARIO  (A)" dataDxfId="38"/>
    <tableColumn id="61" xr3:uid="{DAD5B291-212A-7641-8792-77A5695AA289}" name="CARGA PRIMARIO  (A)" dataDxfId="37"/>
    <tableColumn id="62" xr3:uid="{330A6891-982A-EE4E-A64D-0C08A02434D0}" name="AMPACIDAD SECUNDARIO  (A)" dataDxfId="36"/>
    <tableColumn id="63" xr3:uid="{D70FDD24-1B88-B242-8295-B6A0548D4138}" name="CARGA SECUNDARIO  (A)" dataDxfId="35"/>
    <tableColumn id="64" xr3:uid="{BE9CC565-0C5A-A944-9F9E-15D7DCFD0FF1}" name="AMPACIDAD TERCEARIO  (A)" dataDxfId="34"/>
    <tableColumn id="65" xr3:uid="{59CB712A-0DF8-2947-84D7-304E4E748AE5}" name="CARGA TERCEARIO (A)" dataDxfId="33"/>
    <tableColumn id="66" xr3:uid="{85E41D0E-1BB2-3247-87F8-E777CB6BF911}" name="CARGABILIDAD" dataDxfId="32"/>
    <tableColumn id="67" xr3:uid="{DCA512B1-700C-1C40-A3E6-CD38BFB8AC30}" name="CARGABILIDAD20" dataDxfId="31"/>
    <tableColumn id="68" xr3:uid="{F2E17A04-5B9C-594A-B0AB-A2664A078C22}" name="BUJES " dataDxfId="30"/>
    <tableColumn id="69" xr3:uid="{1F2C0309-D6CB-F241-BB45-B6EF269FFE50}" name="BUJES 21" dataDxfId="29"/>
    <tableColumn id="70" xr3:uid="{C15DF25D-A88A-4744-AE18-755B04D85B48}" name="RADIADORES" dataDxfId="28"/>
    <tableColumn id="71" xr3:uid="{6F70BBEA-C016-EF45-85F8-3D573394399C}" name="JUNTION BLOCK" dataDxfId="27"/>
    <tableColumn id="72" xr3:uid="{8C47A0E6-D191-F049-91EC-3029950E0EE9}" name="SUPERIOR" dataDxfId="26"/>
    <tableColumn id="73" xr3:uid="{A9F652C0-3497-5C48-A30D-D62A28B2F59E}" name="OLTC" dataDxfId="25"/>
    <tableColumn id="74" xr3:uid="{E1AE9755-5C67-164C-B2B7-C582AEF00F00}" name="HERMETICIDAD" dataDxfId="24"/>
    <tableColumn id="75" xr3:uid="{1F185D4A-E41B-0F40-98D2-1E50798FF0C1}" name="AÑO DE FABRICACION" dataDxfId="23"/>
    <tableColumn id="76" xr3:uid="{39B79FA1-91CD-AF45-8DCE-412A5214B306}" name="EDAD" dataDxfId="22"/>
    <tableColumn id="77" xr3:uid="{E97919AD-0561-9246-A570-0A3385409290}" name="EDAD22" dataDxfId="21"/>
    <tableColumn id="78" xr3:uid="{21377CBF-F5D2-024B-8791-7168C7468693}" name="RADIADORES23" dataDxfId="20"/>
    <tableColumn id="79" xr3:uid="{455BA3A4-27B0-F842-86B3-C7B1E469297E}" name="JUNTION BLOCK24" dataDxfId="19"/>
    <tableColumn id="80" xr3:uid="{4FF07435-181B-BD4A-AA4E-A88E9544A483}" name="SUPERIOR25" dataDxfId="18"/>
    <tableColumn id="81" xr3:uid="{20BB9363-D477-724B-B479-A8864BE5E83B}" name="OLTC26" dataDxfId="17"/>
    <tableColumn id="82" xr3:uid="{7579E98F-B30D-4247-A919-33B92C9C6BF3}" name="EVALUACION HERMETICIDAD" dataDxfId="16"/>
    <tableColumn id="83" xr3:uid="{D0A5A404-120C-FB41-BB4B-4410E0B7B8AB}" name="AÑO DE FABRICACION2" dataDxfId="15"/>
    <tableColumn id="84" xr3:uid="{1C16569A-06A0-F941-9729-CCAA3F902F67}" name="EDAD28" dataDxfId="14"/>
    <tableColumn id="85" xr3:uid="{97A5BA75-0DB6-0248-91B7-1A451119B31D}" name="EVALUACIÓN EDAD" dataDxfId="13"/>
    <tableColumn id="89" xr3:uid="{287FCDD8-EEFF-BF4C-9A35-C2A969AB2745}" name="EV CARGABILIDAD" dataDxfId="12"/>
    <tableColumn id="90" xr3:uid="{3D17180B-3099-374C-B20F-BAAC4D1FCB9C}" name="EV PIT" dataDxfId="11"/>
    <tableColumn id="91" xr3:uid="{6A43140F-718E-3E44-B473-05CE52B296EC}" name="CONDICION" dataDxfId="10"/>
    <tableColumn id="92" xr3:uid="{7988A141-6101-1E4E-B4BB-D04D376D462E}" name="MACROACTIVIDAD" dataDxfId="9"/>
    <tableColumn id="93" xr3:uid="{2BD9C2D8-611F-8C4E-843C-398B681C12A4}" name="SUBACTIVIDAD" dataDxfId="8"/>
    <tableColumn id="94" xr3:uid="{DA218F9D-F51E-9542-B5EC-9BCFF611082A}" name="OBSERVACIONES" dataDxfId="7"/>
    <tableColumn id="95" xr3:uid="{9C95A4A5-C240-C34D-B568-78EDDD1B66EE}" name="NIVEL DE TENSION PRIMARIO (KV)" dataDxfId="6"/>
    <tableColumn id="96" xr3:uid="{FB38CAA3-CF9B-4D46-8FC4-3A57EFBD41C8}" name="NIVEL DE TENSION SECUNDARIO (KV)" dataDxfId="5"/>
    <tableColumn id="97" xr3:uid="{4E0F1C94-C3C8-F947-84CC-977C1DBD75F1}" name="NIVEL DE TENSION TERCEARIO (KV)" dataDxfId="4"/>
    <tableColumn id="98" xr3:uid="{277A1F17-6040-D841-99F4-36836D1853F6}" name="TRANSPORTE E IZAJE" dataDxfId="3"/>
    <tableColumn id="99" xr3:uid="{7FCF068F-0204-B342-BA1C-EC99D0158E31}" name="MTTO TRAFOS " dataDxfId="2"/>
    <tableColumn id="100" xr3:uid="{DF348CFA-A5E3-7446-8915-781D305A713D}" name="PREDICTIVO29" dataDxfId="1"/>
    <tableColumn id="101" xr3:uid="{A4694FAD-E595-7E4A-81FA-85D814987436}" name="UUCC" dataDxfId="0"/>
  </tableColumns>
  <tableStyleInfo name="TableStyleLight9"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EAF902-EE19-9A44-9631-8D629A80208D}">
  <sheetPr codeName="Hoja1"/>
  <dimension ref="D5:AH47"/>
  <sheetViews>
    <sheetView showGridLines="0" topLeftCell="B30" workbookViewId="0">
      <selection activeCell="H47" sqref="H47"/>
    </sheetView>
  </sheetViews>
  <sheetFormatPr baseColWidth="10" defaultRowHeight="15" x14ac:dyDescent="0.2"/>
  <cols>
    <col min="3" max="3" width="8.33203125" customWidth="1"/>
    <col min="4" max="4" width="16.33203125" bestFit="1" customWidth="1"/>
    <col min="5" max="5" width="15.83203125" customWidth="1"/>
    <col min="7" max="7" width="17.33203125" bestFit="1" customWidth="1"/>
    <col min="8" max="8" width="12.83203125" customWidth="1"/>
    <col min="9" max="9" width="19.5" customWidth="1"/>
    <col min="10" max="10" width="21.1640625" customWidth="1"/>
    <col min="11" max="11" width="39.5" bestFit="1" customWidth="1"/>
    <col min="12" max="12" width="39.5" customWidth="1"/>
    <col min="17" max="17" width="14.6640625" bestFit="1" customWidth="1"/>
    <col min="18" max="18" width="13.5" bestFit="1" customWidth="1"/>
    <col min="19" max="19" width="6.6640625" bestFit="1" customWidth="1"/>
    <col min="20" max="20" width="13.83203125" bestFit="1" customWidth="1"/>
    <col min="21" max="21" width="11.1640625" bestFit="1" customWidth="1"/>
    <col min="26" max="26" width="10.6640625" bestFit="1" customWidth="1"/>
    <col min="27" max="27" width="13.5" bestFit="1" customWidth="1"/>
    <col min="28" max="28" width="11.6640625" bestFit="1" customWidth="1"/>
    <col min="29" max="29" width="12.6640625" bestFit="1" customWidth="1"/>
    <col min="30" max="30" width="17.33203125" bestFit="1" customWidth="1"/>
    <col min="31" max="31" width="19" bestFit="1" customWidth="1"/>
    <col min="32" max="32" width="37.5" bestFit="1" customWidth="1"/>
  </cols>
  <sheetData>
    <row r="5" spans="4:34" ht="16" thickBot="1" x14ac:dyDescent="0.25">
      <c r="D5" s="118" t="s">
        <v>790</v>
      </c>
      <c r="E5" s="118"/>
      <c r="F5" s="118"/>
      <c r="G5" s="118"/>
      <c r="H5" s="118"/>
      <c r="I5" s="118"/>
      <c r="J5" s="118"/>
      <c r="K5" s="118"/>
      <c r="L5" s="61"/>
      <c r="Q5" s="118" t="s">
        <v>796</v>
      </c>
      <c r="R5" s="118"/>
      <c r="S5" s="118"/>
      <c r="T5" s="118"/>
      <c r="U5" s="118"/>
      <c r="V5" s="118"/>
      <c r="Z5" s="119" t="s">
        <v>795</v>
      </c>
      <c r="AA5" s="119"/>
      <c r="AB5" s="119"/>
      <c r="AC5" s="119"/>
      <c r="AD5" s="119"/>
      <c r="AE5" s="119"/>
      <c r="AF5" s="119"/>
    </row>
    <row r="6" spans="4:34" ht="16" thickBot="1" x14ac:dyDescent="0.25">
      <c r="D6" s="92" t="s">
        <v>1</v>
      </c>
      <c r="E6" s="80" t="s">
        <v>2</v>
      </c>
      <c r="F6" s="80" t="s">
        <v>72</v>
      </c>
      <c r="G6" s="80" t="s">
        <v>3</v>
      </c>
      <c r="H6" s="80" t="s">
        <v>4</v>
      </c>
      <c r="I6" s="80" t="s">
        <v>27</v>
      </c>
      <c r="J6" s="80" t="s">
        <v>28</v>
      </c>
      <c r="K6" s="80" t="s">
        <v>792</v>
      </c>
      <c r="L6" s="80" t="s">
        <v>669</v>
      </c>
      <c r="Q6" s="1" t="s">
        <v>1</v>
      </c>
      <c r="R6" s="1" t="s">
        <v>2</v>
      </c>
      <c r="S6" s="1" t="s">
        <v>72</v>
      </c>
      <c r="T6" s="1" t="s">
        <v>3</v>
      </c>
      <c r="U6" s="1" t="s">
        <v>4</v>
      </c>
      <c r="V6" s="1" t="s">
        <v>24</v>
      </c>
      <c r="Z6" s="79" t="s">
        <v>1</v>
      </c>
      <c r="AA6" s="79" t="s">
        <v>2</v>
      </c>
      <c r="AB6" s="79" t="s">
        <v>3</v>
      </c>
      <c r="AC6" s="79" t="s">
        <v>4</v>
      </c>
      <c r="AD6" s="79" t="s">
        <v>27</v>
      </c>
      <c r="AE6" s="79" t="s">
        <v>28</v>
      </c>
      <c r="AF6" s="79" t="s">
        <v>791</v>
      </c>
    </row>
    <row r="7" spans="4:34" x14ac:dyDescent="0.2">
      <c r="D7" s="91">
        <v>6817</v>
      </c>
      <c r="E7" s="10">
        <v>35000</v>
      </c>
      <c r="F7" s="10" t="s">
        <v>152</v>
      </c>
      <c r="G7" s="10" t="s">
        <v>425</v>
      </c>
      <c r="H7" s="10" t="s">
        <v>426</v>
      </c>
      <c r="I7" s="10">
        <v>18</v>
      </c>
      <c r="J7" s="10">
        <v>18</v>
      </c>
      <c r="K7" s="10">
        <f t="shared" ref="K7:K37" si="0">I7+J7</f>
        <v>36</v>
      </c>
      <c r="L7" s="75"/>
      <c r="M7" s="90"/>
      <c r="Q7" s="10">
        <v>56220119</v>
      </c>
      <c r="R7" s="10">
        <v>5000</v>
      </c>
      <c r="S7" s="10" t="s">
        <v>73</v>
      </c>
      <c r="T7" s="10" t="s">
        <v>393</v>
      </c>
      <c r="U7" s="10" t="s">
        <v>394</v>
      </c>
      <c r="V7" s="10">
        <v>35</v>
      </c>
      <c r="W7" s="90"/>
      <c r="Z7" s="2">
        <v>200029</v>
      </c>
      <c r="AA7" s="2">
        <v>2200</v>
      </c>
      <c r="AB7" s="2" t="s">
        <v>501</v>
      </c>
      <c r="AC7" s="2" t="s">
        <v>696</v>
      </c>
      <c r="AD7" s="10">
        <v>20</v>
      </c>
      <c r="AE7" s="10">
        <v>25</v>
      </c>
      <c r="AF7" s="75">
        <f t="shared" ref="AF7:AF15" si="1">SUM(AD7+AE7)</f>
        <v>45</v>
      </c>
      <c r="AG7" s="90"/>
    </row>
    <row r="8" spans="4:34" x14ac:dyDescent="0.2">
      <c r="D8" s="91" t="s">
        <v>592</v>
      </c>
      <c r="E8" s="10">
        <v>2500</v>
      </c>
      <c r="F8" s="10" t="s">
        <v>73</v>
      </c>
      <c r="G8" s="10" t="s">
        <v>593</v>
      </c>
      <c r="H8" s="10" t="s">
        <v>594</v>
      </c>
      <c r="I8" s="10">
        <v>15</v>
      </c>
      <c r="J8" s="10">
        <v>24</v>
      </c>
      <c r="K8" s="10">
        <f t="shared" si="0"/>
        <v>39</v>
      </c>
      <c r="L8" s="10"/>
      <c r="M8" s="90"/>
      <c r="Q8" s="10">
        <v>78730113</v>
      </c>
      <c r="R8" s="10">
        <v>4000</v>
      </c>
      <c r="S8" s="10" t="s">
        <v>73</v>
      </c>
      <c r="T8" s="10" t="s">
        <v>578</v>
      </c>
      <c r="U8" s="10" t="s">
        <v>579</v>
      </c>
      <c r="V8" s="10">
        <v>11.3</v>
      </c>
      <c r="W8" s="90"/>
      <c r="Z8" s="2" t="s">
        <v>699</v>
      </c>
      <c r="AA8" s="2">
        <v>200</v>
      </c>
      <c r="AB8" s="2" t="s">
        <v>179</v>
      </c>
      <c r="AC8" s="2" t="s">
        <v>700</v>
      </c>
      <c r="AD8" s="10">
        <v>21</v>
      </c>
      <c r="AE8" s="10">
        <v>25</v>
      </c>
      <c r="AF8" s="75">
        <f t="shared" si="1"/>
        <v>46</v>
      </c>
      <c r="AG8" s="90"/>
    </row>
    <row r="9" spans="4:34" x14ac:dyDescent="0.2">
      <c r="D9" s="91" t="s">
        <v>158</v>
      </c>
      <c r="E9" s="10">
        <v>33000</v>
      </c>
      <c r="F9" s="10" t="s">
        <v>152</v>
      </c>
      <c r="G9" s="10" t="s">
        <v>153</v>
      </c>
      <c r="H9" s="10" t="s">
        <v>159</v>
      </c>
      <c r="I9" s="10">
        <v>22</v>
      </c>
      <c r="J9" s="10">
        <v>19</v>
      </c>
      <c r="K9" s="10">
        <f t="shared" si="0"/>
        <v>41</v>
      </c>
      <c r="L9" s="10"/>
      <c r="M9" s="90"/>
      <c r="Q9" s="10">
        <v>200100</v>
      </c>
      <c r="R9" s="10">
        <v>6500</v>
      </c>
      <c r="S9" s="10" t="s">
        <v>73</v>
      </c>
      <c r="T9" s="10" t="s">
        <v>237</v>
      </c>
      <c r="U9" s="10" t="s">
        <v>239</v>
      </c>
      <c r="V9" s="10">
        <v>2.2999999999999998</v>
      </c>
      <c r="W9" s="90"/>
      <c r="Z9" s="2">
        <v>201265</v>
      </c>
      <c r="AA9" s="2">
        <v>2400</v>
      </c>
      <c r="AB9" s="2" t="s">
        <v>432</v>
      </c>
      <c r="AC9" s="2" t="s">
        <v>713</v>
      </c>
      <c r="AD9" s="10">
        <v>41</v>
      </c>
      <c r="AE9" s="10">
        <v>5</v>
      </c>
      <c r="AF9" s="75">
        <f t="shared" si="1"/>
        <v>46</v>
      </c>
      <c r="AG9" s="90"/>
    </row>
    <row r="10" spans="4:34" x14ac:dyDescent="0.2">
      <c r="D10" s="91">
        <v>200108</v>
      </c>
      <c r="E10" s="10">
        <v>12500</v>
      </c>
      <c r="F10" s="10" t="s">
        <v>73</v>
      </c>
      <c r="G10" s="10" t="s">
        <v>481</v>
      </c>
      <c r="H10" s="10" t="s">
        <v>485</v>
      </c>
      <c r="I10" s="10">
        <v>23</v>
      </c>
      <c r="J10" s="10">
        <v>18</v>
      </c>
      <c r="K10" s="10">
        <f t="shared" si="0"/>
        <v>41</v>
      </c>
      <c r="L10" s="93"/>
      <c r="M10" s="90"/>
      <c r="Q10" s="10" t="s">
        <v>427</v>
      </c>
      <c r="R10" s="10">
        <v>33000</v>
      </c>
      <c r="S10" s="10" t="s">
        <v>152</v>
      </c>
      <c r="T10" s="10" t="s">
        <v>167</v>
      </c>
      <c r="U10" s="10" t="s">
        <v>176</v>
      </c>
      <c r="V10" s="10">
        <v>3.7</v>
      </c>
      <c r="W10" s="90"/>
      <c r="Z10" s="2">
        <v>200033</v>
      </c>
      <c r="AA10" s="2">
        <v>5600</v>
      </c>
      <c r="AB10" s="2" t="s">
        <v>477</v>
      </c>
      <c r="AC10" s="2" t="s">
        <v>708</v>
      </c>
      <c r="AD10" s="10">
        <v>18</v>
      </c>
      <c r="AE10" s="10">
        <v>29</v>
      </c>
      <c r="AF10" s="75">
        <f t="shared" si="1"/>
        <v>47</v>
      </c>
      <c r="AG10" s="90"/>
    </row>
    <row r="11" spans="4:34" x14ac:dyDescent="0.2">
      <c r="D11" s="91">
        <v>200005</v>
      </c>
      <c r="E11" s="10">
        <v>6000</v>
      </c>
      <c r="F11" s="10" t="s">
        <v>73</v>
      </c>
      <c r="G11" s="10" t="s">
        <v>330</v>
      </c>
      <c r="H11" s="10" t="s">
        <v>331</v>
      </c>
      <c r="I11" s="10">
        <v>19</v>
      </c>
      <c r="J11" s="10">
        <v>23</v>
      </c>
      <c r="K11" s="10">
        <f t="shared" si="0"/>
        <v>42</v>
      </c>
      <c r="L11" s="10"/>
      <c r="M11" s="90"/>
      <c r="Q11" s="10">
        <v>176976</v>
      </c>
      <c r="R11" s="10">
        <v>4000</v>
      </c>
      <c r="S11" s="10" t="s">
        <v>73</v>
      </c>
      <c r="T11" s="10" t="s">
        <v>434</v>
      </c>
      <c r="U11" s="10" t="s">
        <v>435</v>
      </c>
      <c r="V11" s="10">
        <v>35</v>
      </c>
      <c r="W11" s="90"/>
      <c r="Z11" s="2" t="s">
        <v>711</v>
      </c>
      <c r="AA11" s="2">
        <v>10755</v>
      </c>
      <c r="AB11" s="2" t="s">
        <v>438</v>
      </c>
      <c r="AC11" s="2" t="s">
        <v>712</v>
      </c>
      <c r="AD11" s="10">
        <v>19</v>
      </c>
      <c r="AE11" s="10">
        <v>28</v>
      </c>
      <c r="AF11" s="75">
        <f t="shared" si="1"/>
        <v>47</v>
      </c>
      <c r="AG11" s="90"/>
    </row>
    <row r="12" spans="4:34" x14ac:dyDescent="0.2">
      <c r="D12" s="91">
        <v>430659</v>
      </c>
      <c r="E12" s="10">
        <v>20000</v>
      </c>
      <c r="F12" s="10" t="s">
        <v>152</v>
      </c>
      <c r="G12" s="10" t="s">
        <v>324</v>
      </c>
      <c r="H12" s="10" t="s">
        <v>326</v>
      </c>
      <c r="I12" s="10">
        <v>27</v>
      </c>
      <c r="J12" s="10">
        <v>17</v>
      </c>
      <c r="K12" s="10">
        <f t="shared" si="0"/>
        <v>44</v>
      </c>
      <c r="L12" s="10"/>
      <c r="M12" s="90"/>
      <c r="Q12" s="10">
        <v>8681</v>
      </c>
      <c r="R12" s="10">
        <v>4000</v>
      </c>
      <c r="S12" s="10" t="s">
        <v>73</v>
      </c>
      <c r="T12" s="10" t="s">
        <v>364</v>
      </c>
      <c r="U12" s="10" t="s">
        <v>365</v>
      </c>
      <c r="V12" s="10">
        <v>9.6999999999999993</v>
      </c>
      <c r="W12" s="90"/>
      <c r="Z12" s="70" t="s">
        <v>740</v>
      </c>
      <c r="AA12" s="2">
        <v>150</v>
      </c>
      <c r="AB12" s="2" t="s">
        <v>241</v>
      </c>
      <c r="AC12" s="2" t="s">
        <v>685</v>
      </c>
      <c r="AD12" s="10">
        <v>26</v>
      </c>
      <c r="AE12" s="10">
        <v>22</v>
      </c>
      <c r="AF12" s="75">
        <f t="shared" si="1"/>
        <v>48</v>
      </c>
      <c r="AG12" s="90"/>
    </row>
    <row r="13" spans="4:34" x14ac:dyDescent="0.2">
      <c r="D13" s="91" t="s">
        <v>427</v>
      </c>
      <c r="E13" s="10">
        <v>33000</v>
      </c>
      <c r="F13" s="10" t="s">
        <v>152</v>
      </c>
      <c r="G13" s="10" t="s">
        <v>167</v>
      </c>
      <c r="H13" s="10" t="s">
        <v>176</v>
      </c>
      <c r="I13" s="10">
        <v>26</v>
      </c>
      <c r="J13" s="10">
        <v>19</v>
      </c>
      <c r="K13" s="10">
        <f t="shared" si="0"/>
        <v>45</v>
      </c>
      <c r="L13" s="10"/>
      <c r="M13" s="90"/>
      <c r="Z13" s="2">
        <v>200034</v>
      </c>
      <c r="AA13" s="2">
        <v>3700</v>
      </c>
      <c r="AB13" s="2" t="s">
        <v>589</v>
      </c>
      <c r="AC13" s="2" t="s">
        <v>702</v>
      </c>
      <c r="AD13" s="10">
        <v>24</v>
      </c>
      <c r="AE13" s="10">
        <v>25</v>
      </c>
      <c r="AF13" s="75">
        <f t="shared" si="1"/>
        <v>49</v>
      </c>
      <c r="AG13" s="90"/>
    </row>
    <row r="14" spans="4:34" x14ac:dyDescent="0.2">
      <c r="D14" s="91" t="s">
        <v>280</v>
      </c>
      <c r="E14" s="10">
        <v>14000</v>
      </c>
      <c r="F14" s="10" t="s">
        <v>73</v>
      </c>
      <c r="G14" s="10" t="s">
        <v>278</v>
      </c>
      <c r="H14" s="10" t="s">
        <v>281</v>
      </c>
      <c r="I14" s="10">
        <v>34</v>
      </c>
      <c r="J14" s="10">
        <v>11</v>
      </c>
      <c r="K14" s="10">
        <f t="shared" si="0"/>
        <v>45</v>
      </c>
      <c r="L14" s="10"/>
      <c r="M14" s="90"/>
      <c r="Z14" s="2">
        <v>26044</v>
      </c>
      <c r="AA14" s="2">
        <v>150</v>
      </c>
      <c r="AB14" s="2" t="s">
        <v>187</v>
      </c>
      <c r="AC14" s="2" t="s">
        <v>703</v>
      </c>
      <c r="AD14" s="10">
        <v>26</v>
      </c>
      <c r="AE14" s="10">
        <v>23</v>
      </c>
      <c r="AF14" s="75">
        <f t="shared" si="1"/>
        <v>49</v>
      </c>
      <c r="AG14" s="90"/>
    </row>
    <row r="15" spans="4:34" x14ac:dyDescent="0.2">
      <c r="D15" s="91" t="s">
        <v>687</v>
      </c>
      <c r="E15" s="10">
        <v>1000</v>
      </c>
      <c r="F15" s="10" t="s">
        <v>73</v>
      </c>
      <c r="G15" s="10" t="s">
        <v>317</v>
      </c>
      <c r="H15" s="10" t="s">
        <v>318</v>
      </c>
      <c r="I15" s="10">
        <v>14</v>
      </c>
      <c r="J15" s="10">
        <v>31</v>
      </c>
      <c r="K15" s="10">
        <f t="shared" si="0"/>
        <v>45</v>
      </c>
      <c r="L15" s="10"/>
      <c r="M15" s="90"/>
      <c r="Z15" s="2" t="s">
        <v>743</v>
      </c>
      <c r="AA15" s="2">
        <v>150</v>
      </c>
      <c r="AB15" s="2" t="s">
        <v>545</v>
      </c>
      <c r="AC15" s="2" t="s">
        <v>714</v>
      </c>
      <c r="AD15" s="10">
        <v>28</v>
      </c>
      <c r="AE15" s="10">
        <v>22</v>
      </c>
      <c r="AF15" s="75">
        <f t="shared" si="1"/>
        <v>50</v>
      </c>
      <c r="AG15" s="90"/>
      <c r="AH15" t="s">
        <v>794</v>
      </c>
    </row>
    <row r="16" spans="4:34" x14ac:dyDescent="0.2">
      <c r="D16" s="91">
        <v>112268</v>
      </c>
      <c r="E16" s="10">
        <v>250</v>
      </c>
      <c r="F16" s="10" t="s">
        <v>73</v>
      </c>
      <c r="G16" s="10" t="s">
        <v>628</v>
      </c>
      <c r="H16" s="10" t="s">
        <v>631</v>
      </c>
      <c r="I16" s="10">
        <v>25</v>
      </c>
      <c r="J16" s="10">
        <v>20</v>
      </c>
      <c r="K16" s="10">
        <f t="shared" si="0"/>
        <v>45</v>
      </c>
      <c r="L16" s="10"/>
      <c r="M16" s="90"/>
    </row>
    <row r="17" spans="4:13" x14ac:dyDescent="0.2">
      <c r="D17" s="91" t="s">
        <v>642</v>
      </c>
      <c r="E17" s="10">
        <v>6000</v>
      </c>
      <c r="F17" s="10" t="s">
        <v>73</v>
      </c>
      <c r="G17" s="10" t="s">
        <v>639</v>
      </c>
      <c r="H17" s="10" t="s">
        <v>643</v>
      </c>
      <c r="I17" s="10">
        <v>23</v>
      </c>
      <c r="J17" s="10">
        <v>22</v>
      </c>
      <c r="K17" s="10">
        <f t="shared" si="0"/>
        <v>45</v>
      </c>
      <c r="L17" s="10"/>
      <c r="M17" s="90"/>
    </row>
    <row r="18" spans="4:13" x14ac:dyDescent="0.2">
      <c r="D18" s="91">
        <v>582568</v>
      </c>
      <c r="E18" s="10">
        <v>20000</v>
      </c>
      <c r="F18" s="10" t="s">
        <v>152</v>
      </c>
      <c r="G18" s="10" t="s">
        <v>258</v>
      </c>
      <c r="H18" s="10" t="s">
        <v>259</v>
      </c>
      <c r="I18" s="10">
        <v>27</v>
      </c>
      <c r="J18" s="10">
        <v>19</v>
      </c>
      <c r="K18" s="10">
        <f t="shared" si="0"/>
        <v>46</v>
      </c>
      <c r="L18" s="10"/>
      <c r="M18" s="90"/>
    </row>
    <row r="19" spans="4:13" x14ac:dyDescent="0.2">
      <c r="D19" s="91">
        <v>8681</v>
      </c>
      <c r="E19" s="10">
        <v>4000</v>
      </c>
      <c r="F19" s="10" t="s">
        <v>73</v>
      </c>
      <c r="G19" s="10" t="s">
        <v>364</v>
      </c>
      <c r="H19" s="10" t="s">
        <v>365</v>
      </c>
      <c r="I19" s="10">
        <v>23</v>
      </c>
      <c r="J19" s="10">
        <v>23</v>
      </c>
      <c r="K19" s="10">
        <f t="shared" si="0"/>
        <v>46</v>
      </c>
      <c r="L19" s="10"/>
      <c r="M19" s="90"/>
    </row>
    <row r="20" spans="4:13" x14ac:dyDescent="0.2">
      <c r="D20" s="91">
        <v>78750113</v>
      </c>
      <c r="E20" s="10">
        <v>5000</v>
      </c>
      <c r="F20" s="10" t="s">
        <v>73</v>
      </c>
      <c r="G20" s="10" t="s">
        <v>473</v>
      </c>
      <c r="H20" s="10" t="s">
        <v>474</v>
      </c>
      <c r="I20" s="10">
        <v>33</v>
      </c>
      <c r="J20" s="10">
        <v>13</v>
      </c>
      <c r="K20" s="10">
        <f t="shared" si="0"/>
        <v>46</v>
      </c>
      <c r="L20" s="10"/>
      <c r="M20" s="90"/>
    </row>
    <row r="21" spans="4:13" x14ac:dyDescent="0.2">
      <c r="D21" s="91">
        <v>154224</v>
      </c>
      <c r="E21" s="10">
        <v>12500</v>
      </c>
      <c r="F21" s="10" t="s">
        <v>73</v>
      </c>
      <c r="G21" s="10" t="s">
        <v>510</v>
      </c>
      <c r="H21" s="10" t="s">
        <v>511</v>
      </c>
      <c r="I21" s="10">
        <v>30</v>
      </c>
      <c r="J21" s="10">
        <v>16</v>
      </c>
      <c r="K21" s="10">
        <f t="shared" si="0"/>
        <v>46</v>
      </c>
      <c r="L21" s="10"/>
      <c r="M21" s="90"/>
    </row>
    <row r="22" spans="4:13" x14ac:dyDescent="0.2">
      <c r="D22" s="91">
        <v>200715</v>
      </c>
      <c r="E22" s="10">
        <v>6500</v>
      </c>
      <c r="F22" s="10" t="s">
        <v>73</v>
      </c>
      <c r="G22" s="10" t="s">
        <v>605</v>
      </c>
      <c r="H22" s="10" t="s">
        <v>607</v>
      </c>
      <c r="I22" s="10">
        <v>36</v>
      </c>
      <c r="J22" s="10">
        <v>10</v>
      </c>
      <c r="K22" s="10">
        <f t="shared" si="0"/>
        <v>46</v>
      </c>
      <c r="L22" s="10"/>
      <c r="M22" s="90"/>
    </row>
    <row r="23" spans="4:13" x14ac:dyDescent="0.2">
      <c r="D23" s="91">
        <v>200104</v>
      </c>
      <c r="E23" s="10">
        <v>6500</v>
      </c>
      <c r="F23" s="10" t="s">
        <v>73</v>
      </c>
      <c r="G23" s="10" t="s">
        <v>123</v>
      </c>
      <c r="H23" s="10" t="s">
        <v>124</v>
      </c>
      <c r="I23" s="10">
        <v>26</v>
      </c>
      <c r="J23" s="10">
        <v>21</v>
      </c>
      <c r="K23" s="10">
        <f t="shared" si="0"/>
        <v>47</v>
      </c>
      <c r="L23" s="10"/>
      <c r="M23" s="90"/>
    </row>
    <row r="24" spans="4:13" x14ac:dyDescent="0.2">
      <c r="D24" s="91" t="s">
        <v>151</v>
      </c>
      <c r="E24" s="10">
        <v>33000</v>
      </c>
      <c r="F24" s="10" t="s">
        <v>152</v>
      </c>
      <c r="G24" s="10" t="s">
        <v>153</v>
      </c>
      <c r="H24" s="10" t="s">
        <v>154</v>
      </c>
      <c r="I24" s="10">
        <v>22</v>
      </c>
      <c r="J24" s="10">
        <v>25</v>
      </c>
      <c r="K24" s="10">
        <f t="shared" si="0"/>
        <v>47</v>
      </c>
      <c r="L24" s="10"/>
      <c r="M24" s="90"/>
    </row>
    <row r="25" spans="4:13" x14ac:dyDescent="0.2">
      <c r="D25" s="91" t="s">
        <v>231</v>
      </c>
      <c r="E25" s="10">
        <v>12500</v>
      </c>
      <c r="F25" s="10" t="s">
        <v>73</v>
      </c>
      <c r="G25" s="10" t="s">
        <v>232</v>
      </c>
      <c r="H25" s="10" t="s">
        <v>233</v>
      </c>
      <c r="I25" s="10">
        <v>22</v>
      </c>
      <c r="J25" s="10">
        <v>25</v>
      </c>
      <c r="K25" s="10">
        <f t="shared" si="0"/>
        <v>47</v>
      </c>
      <c r="L25" s="10"/>
      <c r="M25" s="90"/>
    </row>
    <row r="26" spans="4:13" x14ac:dyDescent="0.2">
      <c r="D26" s="91">
        <v>7740131</v>
      </c>
      <c r="E26" s="10">
        <v>7875</v>
      </c>
      <c r="F26" s="10" t="s">
        <v>73</v>
      </c>
      <c r="G26" s="10" t="s">
        <v>334</v>
      </c>
      <c r="H26" s="10" t="s">
        <v>679</v>
      </c>
      <c r="I26" s="10">
        <v>22</v>
      </c>
      <c r="J26" s="10">
        <v>26</v>
      </c>
      <c r="K26" s="10">
        <f t="shared" si="0"/>
        <v>48</v>
      </c>
      <c r="L26" s="10"/>
      <c r="M26" s="90"/>
    </row>
    <row r="27" spans="4:13" x14ac:dyDescent="0.2">
      <c r="D27" s="91" t="s">
        <v>378</v>
      </c>
      <c r="E27" s="10">
        <v>20000</v>
      </c>
      <c r="F27" s="10" t="s">
        <v>152</v>
      </c>
      <c r="G27" s="10" t="s">
        <v>379</v>
      </c>
      <c r="H27" s="10" t="s">
        <v>380</v>
      </c>
      <c r="I27" s="10">
        <v>32</v>
      </c>
      <c r="J27" s="10">
        <v>16</v>
      </c>
      <c r="K27" s="10">
        <f t="shared" si="0"/>
        <v>48</v>
      </c>
      <c r="L27" s="10"/>
      <c r="M27" s="90"/>
    </row>
    <row r="28" spans="4:13" x14ac:dyDescent="0.2">
      <c r="D28" s="91" t="s">
        <v>389</v>
      </c>
      <c r="E28" s="10">
        <v>33000</v>
      </c>
      <c r="F28" s="10" t="s">
        <v>152</v>
      </c>
      <c r="G28" s="10" t="s">
        <v>387</v>
      </c>
      <c r="H28" s="10" t="s">
        <v>390</v>
      </c>
      <c r="I28" s="10">
        <v>28</v>
      </c>
      <c r="J28" s="10">
        <v>20</v>
      </c>
      <c r="K28" s="10">
        <f t="shared" si="0"/>
        <v>48</v>
      </c>
      <c r="L28" s="10"/>
      <c r="M28" s="90"/>
    </row>
    <row r="29" spans="4:13" x14ac:dyDescent="0.2">
      <c r="D29" s="91">
        <v>173510</v>
      </c>
      <c r="E29" s="10">
        <v>4000</v>
      </c>
      <c r="F29" s="10" t="s">
        <v>73</v>
      </c>
      <c r="G29" s="10" t="s">
        <v>486</v>
      </c>
      <c r="H29" s="10" t="s">
        <v>487</v>
      </c>
      <c r="I29" s="10">
        <v>28</v>
      </c>
      <c r="J29" s="10">
        <v>20</v>
      </c>
      <c r="K29" s="10">
        <f t="shared" si="0"/>
        <v>48</v>
      </c>
      <c r="L29" s="10"/>
      <c r="M29" s="90"/>
    </row>
    <row r="30" spans="4:13" x14ac:dyDescent="0.2">
      <c r="D30" s="91">
        <v>1057474108</v>
      </c>
      <c r="E30" s="10">
        <v>60000</v>
      </c>
      <c r="F30" s="10" t="s">
        <v>134</v>
      </c>
      <c r="G30" s="10" t="s">
        <v>289</v>
      </c>
      <c r="H30" s="10" t="s">
        <v>290</v>
      </c>
      <c r="I30" s="10">
        <v>32</v>
      </c>
      <c r="J30" s="10">
        <v>17</v>
      </c>
      <c r="K30" s="10">
        <f t="shared" si="0"/>
        <v>49</v>
      </c>
      <c r="L30" s="10"/>
      <c r="M30" s="90"/>
    </row>
    <row r="31" spans="4:13" x14ac:dyDescent="0.2">
      <c r="D31" s="91">
        <v>200103</v>
      </c>
      <c r="E31" s="10">
        <v>6500</v>
      </c>
      <c r="F31" s="10" t="s">
        <v>73</v>
      </c>
      <c r="G31" s="10" t="s">
        <v>343</v>
      </c>
      <c r="H31" s="10" t="s">
        <v>344</v>
      </c>
      <c r="I31" s="10">
        <v>27</v>
      </c>
      <c r="J31" s="10">
        <v>22</v>
      </c>
      <c r="K31" s="10">
        <f t="shared" si="0"/>
        <v>49</v>
      </c>
      <c r="L31" s="10"/>
      <c r="M31" s="90"/>
    </row>
    <row r="32" spans="4:13" x14ac:dyDescent="0.2">
      <c r="D32" s="91" t="s">
        <v>397</v>
      </c>
      <c r="E32" s="10">
        <v>33000</v>
      </c>
      <c r="F32" s="10" t="s">
        <v>152</v>
      </c>
      <c r="G32" s="10" t="s">
        <v>398</v>
      </c>
      <c r="H32" s="10" t="s">
        <v>399</v>
      </c>
      <c r="I32" s="10">
        <v>38</v>
      </c>
      <c r="J32" s="10">
        <v>11</v>
      </c>
      <c r="K32" s="10">
        <f t="shared" si="0"/>
        <v>49</v>
      </c>
      <c r="L32" s="10"/>
      <c r="M32" s="90"/>
    </row>
    <row r="33" spans="4:13" x14ac:dyDescent="0.2">
      <c r="D33" s="91">
        <v>148223</v>
      </c>
      <c r="E33" s="10">
        <v>500</v>
      </c>
      <c r="F33" s="10" t="s">
        <v>73</v>
      </c>
      <c r="G33" s="10" t="s">
        <v>420</v>
      </c>
      <c r="H33" s="10" t="s">
        <v>421</v>
      </c>
      <c r="I33" s="10">
        <v>33</v>
      </c>
      <c r="J33" s="10">
        <v>16</v>
      </c>
      <c r="K33" s="10">
        <f t="shared" si="0"/>
        <v>49</v>
      </c>
      <c r="L33" s="10"/>
      <c r="M33" s="90"/>
    </row>
    <row r="34" spans="4:13" x14ac:dyDescent="0.2">
      <c r="D34" s="91" t="s">
        <v>437</v>
      </c>
      <c r="E34" s="10">
        <v>40000</v>
      </c>
      <c r="F34" s="10" t="s">
        <v>134</v>
      </c>
      <c r="G34" s="10" t="s">
        <v>438</v>
      </c>
      <c r="H34" s="10" t="s">
        <v>439</v>
      </c>
      <c r="I34" s="10">
        <v>18</v>
      </c>
      <c r="J34" s="10">
        <v>31</v>
      </c>
      <c r="K34" s="10">
        <f t="shared" si="0"/>
        <v>49</v>
      </c>
      <c r="L34" s="94" t="s">
        <v>793</v>
      </c>
      <c r="M34" s="90"/>
    </row>
    <row r="35" spans="4:13" x14ac:dyDescent="0.2">
      <c r="D35" s="91" t="s">
        <v>650</v>
      </c>
      <c r="E35" s="10">
        <v>35000</v>
      </c>
      <c r="F35" s="10" t="s">
        <v>152</v>
      </c>
      <c r="G35" s="10" t="s">
        <v>645</v>
      </c>
      <c r="H35" s="10" t="s">
        <v>651</v>
      </c>
      <c r="I35" s="10">
        <v>37</v>
      </c>
      <c r="J35" s="10">
        <v>12</v>
      </c>
      <c r="K35" s="10">
        <f t="shared" si="0"/>
        <v>49</v>
      </c>
      <c r="L35" s="10"/>
      <c r="M35" s="90"/>
    </row>
    <row r="36" spans="4:13" x14ac:dyDescent="0.2">
      <c r="D36" s="91">
        <v>148224</v>
      </c>
      <c r="E36" s="10">
        <v>500</v>
      </c>
      <c r="F36" s="10" t="s">
        <v>73</v>
      </c>
      <c r="G36" s="10" t="s">
        <v>304</v>
      </c>
      <c r="H36" s="10" t="s">
        <v>308</v>
      </c>
      <c r="I36" s="10">
        <v>11.3</v>
      </c>
      <c r="J36" s="10">
        <v>38</v>
      </c>
      <c r="K36" s="10">
        <f t="shared" si="0"/>
        <v>49.3</v>
      </c>
      <c r="L36" s="10"/>
      <c r="M36" s="90"/>
    </row>
    <row r="37" spans="4:13" x14ac:dyDescent="0.2">
      <c r="D37" s="91">
        <v>1057609398</v>
      </c>
      <c r="E37" s="10">
        <v>2500</v>
      </c>
      <c r="F37" s="10" t="s">
        <v>73</v>
      </c>
      <c r="G37" s="10" t="s">
        <v>418</v>
      </c>
      <c r="H37" s="10" t="s">
        <v>419</v>
      </c>
      <c r="I37" s="10">
        <v>29</v>
      </c>
      <c r="J37" s="10">
        <v>26</v>
      </c>
      <c r="K37" s="10">
        <f t="shared" si="0"/>
        <v>55</v>
      </c>
      <c r="L37" s="94" t="s">
        <v>793</v>
      </c>
      <c r="M37" s="90"/>
    </row>
    <row r="38" spans="4:13" x14ac:dyDescent="0.2">
      <c r="D38" s="95">
        <v>1058995730</v>
      </c>
      <c r="E38" s="94">
        <v>3000</v>
      </c>
      <c r="F38" s="94" t="s">
        <v>73</v>
      </c>
      <c r="G38" s="94" t="s">
        <v>507</v>
      </c>
      <c r="H38" s="94" t="s">
        <v>508</v>
      </c>
      <c r="I38" s="94">
        <v>11.3</v>
      </c>
      <c r="J38" s="94">
        <v>51</v>
      </c>
      <c r="K38" s="94">
        <f>I38+J38</f>
        <v>62.3</v>
      </c>
      <c r="L38" s="94" t="s">
        <v>793</v>
      </c>
      <c r="M38" s="90"/>
    </row>
    <row r="39" spans="4:13" x14ac:dyDescent="0.2">
      <c r="D39" s="95" t="s">
        <v>503</v>
      </c>
      <c r="E39" s="94">
        <v>45000</v>
      </c>
      <c r="F39" s="94" t="s">
        <v>134</v>
      </c>
      <c r="G39" s="94" t="s">
        <v>501</v>
      </c>
      <c r="H39" s="94" t="s">
        <v>504</v>
      </c>
      <c r="I39" s="94">
        <v>17</v>
      </c>
      <c r="J39" s="94">
        <v>38</v>
      </c>
      <c r="K39" s="94">
        <f>I39+J39</f>
        <v>55</v>
      </c>
      <c r="L39" s="94" t="s">
        <v>793</v>
      </c>
      <c r="M39" s="90"/>
    </row>
    <row r="42" spans="4:13" x14ac:dyDescent="0.2">
      <c r="G42" t="s">
        <v>974</v>
      </c>
      <c r="H42" t="s">
        <v>683</v>
      </c>
    </row>
    <row r="43" spans="4:13" x14ac:dyDescent="0.2">
      <c r="G43" t="s">
        <v>973</v>
      </c>
      <c r="H43" s="101" t="s">
        <v>596</v>
      </c>
    </row>
    <row r="44" spans="4:13" x14ac:dyDescent="0.2">
      <c r="G44" t="s">
        <v>479</v>
      </c>
      <c r="H44" s="101" t="s">
        <v>480</v>
      </c>
    </row>
    <row r="45" spans="4:13" x14ac:dyDescent="0.2">
      <c r="G45" t="s">
        <v>553</v>
      </c>
      <c r="H45" s="101" t="s">
        <v>554</v>
      </c>
    </row>
    <row r="46" spans="4:13" x14ac:dyDescent="0.2">
      <c r="G46" t="s">
        <v>498</v>
      </c>
    </row>
    <row r="47" spans="4:13" x14ac:dyDescent="0.2">
      <c r="G47" t="s">
        <v>611</v>
      </c>
    </row>
  </sheetData>
  <mergeCells count="3">
    <mergeCell ref="D5:K5"/>
    <mergeCell ref="Q5:V5"/>
    <mergeCell ref="Z5:AF5"/>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2"/>
  <dimension ref="A1:BN231"/>
  <sheetViews>
    <sheetView tabSelected="1" topLeftCell="S1" zoomScale="117" zoomScaleNormal="100" workbookViewId="0">
      <selection activeCell="AM1" sqref="AM1:AS207"/>
    </sheetView>
  </sheetViews>
  <sheetFormatPr baseColWidth="10" defaultRowHeight="15" x14ac:dyDescent="0.2"/>
  <cols>
    <col min="1" max="1" width="23.6640625" style="61" customWidth="1"/>
    <col min="2" max="2" width="16.33203125" style="61" customWidth="1"/>
    <col min="3" max="3" width="19.5" style="61" customWidth="1"/>
    <col min="4" max="4" width="11.5" style="61" customWidth="1"/>
    <col min="5" max="5" width="27.1640625" style="61" customWidth="1"/>
    <col min="6" max="6" width="15.6640625" style="61" customWidth="1"/>
    <col min="7" max="7" width="11.83203125" style="61" customWidth="1"/>
    <col min="8" max="8" width="20.83203125" style="61" customWidth="1"/>
    <col min="9" max="9" width="14.83203125" style="61" customWidth="1"/>
    <col min="10" max="10" width="13" style="61" customWidth="1"/>
    <col min="11" max="11" width="17.5" style="61" customWidth="1"/>
    <col min="12" max="12" width="33.5" style="61" customWidth="1"/>
    <col min="13" max="13" width="35.6640625" style="61" customWidth="1"/>
    <col min="14" max="14" width="33.83203125" style="61" customWidth="1"/>
    <col min="15" max="15" width="12" style="61" customWidth="1"/>
    <col min="16" max="16" width="8.83203125" style="61" customWidth="1"/>
    <col min="17" max="17" width="9.83203125" style="61" customWidth="1"/>
    <col min="18" max="19" width="10.83203125" style="61" customWidth="1"/>
    <col min="20" max="20" width="12.1640625" style="61" customWidth="1"/>
    <col min="21" max="21" width="8.83203125" style="61" customWidth="1"/>
    <col min="22" max="22" width="12.6640625" style="61" customWidth="1"/>
    <col min="23" max="23" width="15.33203125" style="61" customWidth="1"/>
    <col min="24" max="24" width="16.33203125" style="61" customWidth="1"/>
    <col min="25" max="25" width="17.6640625" style="61" customWidth="1"/>
    <col min="26" max="26" width="16.6640625" style="61" customWidth="1"/>
    <col min="27" max="27" width="14.6640625" style="61" customWidth="1"/>
    <col min="28" max="28" width="16.6640625" style="61" customWidth="1"/>
    <col min="29" max="29" width="19" style="61" customWidth="1"/>
    <col min="30" max="30" width="21.33203125" style="61" customWidth="1"/>
    <col min="31" max="31" width="27.6640625" style="61" customWidth="1"/>
    <col min="32" max="32" width="20.1640625" style="61" customWidth="1"/>
    <col min="33" max="33" width="12" style="61" customWidth="1"/>
    <col min="34" max="34" width="31.33203125" style="61" customWidth="1"/>
    <col min="35" max="35" width="14.5" style="61" customWidth="1"/>
    <col min="36" max="36" width="17.6640625" style="61" customWidth="1"/>
    <col min="37" max="37" width="15" style="61" customWidth="1"/>
    <col min="38" max="38" width="21.5" style="61" customWidth="1"/>
    <col min="39" max="39" width="24.83203125" style="61" customWidth="1"/>
    <col min="40" max="40" width="20" style="61" customWidth="1"/>
    <col min="41" max="41" width="27.5" style="61" customWidth="1"/>
    <col min="42" max="42" width="22.6640625" style="61" customWidth="1"/>
    <col min="43" max="43" width="25.5" style="61" customWidth="1"/>
    <col min="44" max="44" width="20.1640625" style="61" customWidth="1"/>
    <col min="45" max="45" width="13.83203125" style="61" customWidth="1"/>
    <col min="46" max="46" width="30.6640625" style="61" customWidth="1"/>
    <col min="47" max="47" width="17.83203125" style="61" customWidth="1"/>
    <col min="48" max="48" width="20.1640625" style="61" customWidth="1"/>
    <col min="49" max="49" width="15.5" style="61" customWidth="1"/>
    <col min="50" max="50" width="11.1640625" style="61" customWidth="1"/>
    <col min="51" max="51" width="26.33203125" style="61" customWidth="1"/>
    <col min="52" max="52" width="20" style="61" customWidth="1"/>
    <col min="53" max="53" width="5.6640625" style="61" customWidth="1"/>
    <col min="54" max="54" width="17.6640625" style="61" customWidth="1"/>
    <col min="55" max="55" width="13" style="61" customWidth="1"/>
    <col min="56" max="56" width="11.1640625" style="61" customWidth="1"/>
    <col min="57" max="57" width="58" style="61" customWidth="1"/>
    <col min="58" max="58" width="31.33203125" style="102" customWidth="1"/>
    <col min="59" max="59" width="65.33203125" style="102" customWidth="1"/>
    <col min="60" max="60" width="25" style="61" customWidth="1"/>
    <col min="61" max="61" width="12.1640625" style="61" customWidth="1"/>
    <col min="62" max="62" width="76.83203125" style="61" customWidth="1"/>
    <col min="63" max="63" width="11.5" style="61" customWidth="1"/>
    <col min="64" max="64" width="12.1640625" style="61" customWidth="1"/>
    <col min="65" max="65" width="20.5" style="61" customWidth="1"/>
    <col min="66" max="66" width="57.1640625" style="61" bestFit="1" customWidth="1"/>
    <col min="67" max="87" width="11.5" style="61" customWidth="1"/>
    <col min="88" max="16384" width="10.83203125" style="61"/>
  </cols>
  <sheetData>
    <row r="1" spans="1:66" x14ac:dyDescent="0.2">
      <c r="A1" s="1" t="s">
        <v>0</v>
      </c>
      <c r="B1" s="1" t="s">
        <v>1</v>
      </c>
      <c r="C1" s="1" t="s">
        <v>2</v>
      </c>
      <c r="D1" s="1" t="s">
        <v>72</v>
      </c>
      <c r="E1" s="1" t="s">
        <v>3</v>
      </c>
      <c r="F1" s="1" t="s">
        <v>4</v>
      </c>
      <c r="G1" s="1" t="s">
        <v>5</v>
      </c>
      <c r="H1" s="1" t="s">
        <v>6</v>
      </c>
      <c r="I1" s="1" t="s">
        <v>11</v>
      </c>
      <c r="J1" s="1" t="s">
        <v>11</v>
      </c>
      <c r="K1" s="1" t="s">
        <v>13</v>
      </c>
      <c r="L1" s="1" t="s">
        <v>7</v>
      </c>
      <c r="M1" s="1" t="s">
        <v>8</v>
      </c>
      <c r="N1" s="1" t="s">
        <v>9</v>
      </c>
      <c r="O1" s="1" t="s">
        <v>10</v>
      </c>
      <c r="P1" s="1" t="s">
        <v>14</v>
      </c>
      <c r="Q1" s="1" t="s">
        <v>15</v>
      </c>
      <c r="R1" s="1" t="s">
        <v>16</v>
      </c>
      <c r="S1" s="1" t="s">
        <v>17</v>
      </c>
      <c r="T1" s="1" t="s">
        <v>18</v>
      </c>
      <c r="U1" s="1" t="s">
        <v>19</v>
      </c>
      <c r="V1" s="1" t="s">
        <v>20</v>
      </c>
      <c r="W1" s="1" t="s">
        <v>21</v>
      </c>
      <c r="X1" s="1" t="s">
        <v>22</v>
      </c>
      <c r="Y1" s="1" t="s">
        <v>23</v>
      </c>
      <c r="Z1" s="97" t="s">
        <v>814</v>
      </c>
      <c r="AA1" s="1" t="s">
        <v>24</v>
      </c>
      <c r="AB1" s="96" t="s">
        <v>26</v>
      </c>
      <c r="AC1" s="1" t="s">
        <v>27</v>
      </c>
      <c r="AD1" s="1" t="s">
        <v>28</v>
      </c>
      <c r="AE1" s="1" t="s">
        <v>29</v>
      </c>
      <c r="AF1" s="1" t="s">
        <v>30</v>
      </c>
      <c r="AG1" s="1" t="s">
        <v>31</v>
      </c>
      <c r="AH1" s="1" t="s">
        <v>32</v>
      </c>
      <c r="AI1" s="1" t="s">
        <v>33</v>
      </c>
      <c r="AJ1" s="96" t="s">
        <v>34</v>
      </c>
      <c r="AK1" s="1" t="s">
        <v>35</v>
      </c>
      <c r="AL1" s="96" t="s">
        <v>36</v>
      </c>
      <c r="AM1" s="1" t="s">
        <v>37</v>
      </c>
      <c r="AN1" s="1" t="s">
        <v>38</v>
      </c>
      <c r="AO1" s="1" t="s">
        <v>39</v>
      </c>
      <c r="AP1" s="1" t="s">
        <v>40</v>
      </c>
      <c r="AQ1" s="1" t="s">
        <v>41</v>
      </c>
      <c r="AR1" s="1" t="s">
        <v>42</v>
      </c>
      <c r="AS1" s="1" t="s">
        <v>43</v>
      </c>
      <c r="AT1" s="96" t="s">
        <v>44</v>
      </c>
      <c r="AU1" s="1" t="s">
        <v>45</v>
      </c>
      <c r="AV1" s="1" t="s">
        <v>46</v>
      </c>
      <c r="AW1" s="1" t="s">
        <v>47</v>
      </c>
      <c r="AX1" s="1" t="s">
        <v>48</v>
      </c>
      <c r="AY1" s="96" t="s">
        <v>49</v>
      </c>
      <c r="AZ1" s="1" t="s">
        <v>50</v>
      </c>
      <c r="BA1" s="1" t="s">
        <v>51</v>
      </c>
      <c r="BB1" s="96" t="s">
        <v>52</v>
      </c>
      <c r="BC1" s="96" t="s">
        <v>53</v>
      </c>
      <c r="BD1" s="1" t="s">
        <v>54</v>
      </c>
      <c r="BE1" s="1" t="s">
        <v>55</v>
      </c>
      <c r="BF1" s="1" t="s">
        <v>855</v>
      </c>
      <c r="BG1" s="1" t="s">
        <v>816</v>
      </c>
      <c r="BH1" s="1" t="s">
        <v>675</v>
      </c>
      <c r="BI1" s="1" t="s">
        <v>909</v>
      </c>
      <c r="BJ1" s="1" t="s">
        <v>916</v>
      </c>
      <c r="BK1" s="1" t="s">
        <v>931</v>
      </c>
      <c r="BL1" s="1" t="s">
        <v>932</v>
      </c>
      <c r="BM1" s="1" t="s">
        <v>941</v>
      </c>
      <c r="BN1" s="1" t="s">
        <v>996</v>
      </c>
    </row>
    <row r="2" spans="1:66" ht="96" x14ac:dyDescent="0.2">
      <c r="A2" s="2">
        <v>20026566</v>
      </c>
      <c r="B2" s="2">
        <v>64999953</v>
      </c>
      <c r="C2" s="2">
        <v>2000</v>
      </c>
      <c r="D2" s="2" t="s">
        <v>73</v>
      </c>
      <c r="E2" s="2" t="s">
        <v>74</v>
      </c>
      <c r="F2" s="2" t="s">
        <v>75</v>
      </c>
      <c r="G2" s="2" t="s">
        <v>58</v>
      </c>
      <c r="H2" s="2" t="s">
        <v>59</v>
      </c>
      <c r="I2" s="2" t="s">
        <v>65</v>
      </c>
      <c r="J2" s="2" t="s">
        <v>61</v>
      </c>
      <c r="K2" s="2" t="s">
        <v>66</v>
      </c>
      <c r="L2" s="2" t="s">
        <v>76</v>
      </c>
      <c r="M2" s="2" t="s">
        <v>60</v>
      </c>
      <c r="N2" s="2" t="s">
        <v>61</v>
      </c>
      <c r="O2" s="2" t="s">
        <v>77</v>
      </c>
      <c r="P2" s="2">
        <v>9.1999999999999993</v>
      </c>
      <c r="Q2" s="2">
        <v>3.1</v>
      </c>
      <c r="R2" s="2">
        <v>3.2</v>
      </c>
      <c r="S2" s="2">
        <v>0.5</v>
      </c>
      <c r="T2" s="2">
        <f t="shared" ref="T2:T65" si="0">SUM(P2:S2)</f>
        <v>16</v>
      </c>
      <c r="U2" s="2">
        <v>332</v>
      </c>
      <c r="V2" s="2">
        <v>1992</v>
      </c>
      <c r="W2" s="2" t="str">
        <f t="shared" ref="W2:W33" si="1">IF(U2&gt;=750,"5",IF(U2&gt;=550,"4",IF(U2&gt;=300,"3",IF(U2&gt;=100,"2","1"))))</f>
        <v>3</v>
      </c>
      <c r="X2" s="2" t="str">
        <f t="shared" ref="X2:X33" si="2">IF(V2&gt;=7001,"5",IF(V2&gt;=5000,"4",IF(V2&gt;=3000,"3",IF(V2&gt;=1500,"2","1"))))</f>
        <v>2</v>
      </c>
      <c r="Y2" s="2" t="str">
        <f t="shared" ref="Y2:Y33" si="3">IF(T2&gt;=401,"5",IF(T2&gt;=301,"4",IF(T2&gt;=201,"3",IF(T2&gt;=95,"2","1"))))</f>
        <v>1</v>
      </c>
      <c r="Z2" s="3" t="str">
        <f t="shared" ref="Z2:Z33" si="4">IF(AA2&gt;=7,"5",IF(AA2&gt;=6,"4",IF(AA2&gt;=5,"3",IF(AA2&gt;=2,"2","1"))))</f>
        <v>1</v>
      </c>
      <c r="AA2" s="2">
        <v>0.3</v>
      </c>
      <c r="AB2" s="3">
        <f>(W2+X2+Y2+Z2)/4</f>
        <v>1.75</v>
      </c>
      <c r="AC2" s="2">
        <v>46</v>
      </c>
      <c r="AD2" s="2">
        <v>9</v>
      </c>
      <c r="AE2" s="2">
        <v>0.02</v>
      </c>
      <c r="AF2" s="2">
        <v>39.6</v>
      </c>
      <c r="AG2" s="2">
        <f t="shared" ref="AG2:AG33" si="5">AF2/AE2</f>
        <v>1980</v>
      </c>
      <c r="AH2" s="2" t="str">
        <f t="shared" ref="AH2:AH33" si="6">IF(AC2&lt;=16,"5",IF(AC2&lt;=20,"4",IF(AC2&lt;=25,"3",IF(AC2&lt;=33,"2","1"))))</f>
        <v>1</v>
      </c>
      <c r="AI2" s="3" t="str">
        <f t="shared" ref="AI2:AI33" si="7">IF(AG2&lt;=713,"5",IF(AG2&lt;=999,"4",IF(AG2&lt;=1130,"3",IF(AG2&lt;=1499,"2","1"))))</f>
        <v>1</v>
      </c>
      <c r="AJ2" s="3">
        <f t="shared" ref="AJ2:AJ33" si="8">AH2*0.8+AI2*0.2</f>
        <v>1</v>
      </c>
      <c r="AK2" s="2">
        <v>14</v>
      </c>
      <c r="AL2" s="2" t="str">
        <f t="shared" ref="AL2:AL65" si="9">IF(AK2&gt;=5500,"5",IF(AK2&gt;=4800,"4",IF(AK2&gt;=3600,"3",IF(AK2&gt;=2400,"2","1"))))</f>
        <v>1</v>
      </c>
      <c r="AM2" s="2">
        <v>502</v>
      </c>
      <c r="AN2" s="2">
        <v>88</v>
      </c>
      <c r="AO2" s="2">
        <v>1255.0999999999999</v>
      </c>
      <c r="AP2" s="2">
        <v>88</v>
      </c>
      <c r="AQ2" s="2" t="s">
        <v>61</v>
      </c>
      <c r="AR2" s="2" t="s">
        <v>61</v>
      </c>
      <c r="AS2" s="6">
        <v>88</v>
      </c>
      <c r="AT2" s="2" t="str">
        <f>IF(AS2&lt;60,"1",IF(AS2&lt;=65,"2",IF(AS2&lt;=75,"3",IF(AS2&lt;=95,"4","5"))))</f>
        <v>4</v>
      </c>
      <c r="AU2" s="2">
        <v>1</v>
      </c>
      <c r="AV2" s="2">
        <v>1</v>
      </c>
      <c r="AW2" s="2">
        <v>1</v>
      </c>
      <c r="AX2" s="2">
        <v>1</v>
      </c>
      <c r="AY2" s="2">
        <v>2</v>
      </c>
      <c r="AZ2" s="2">
        <v>2010</v>
      </c>
      <c r="BA2" s="2">
        <f t="shared" ref="BA2:BA65" si="10">2025-AZ2</f>
        <v>15</v>
      </c>
      <c r="BB2" s="2" t="str">
        <f t="shared" ref="BB2:BB65" si="11">IF(BA2&gt;=30,"5",IF(BA2&gt;=26,"4",IF(BA2&gt;=19,"3",IF(BA2&gt;=7,"2","1"))))</f>
        <v>2</v>
      </c>
      <c r="BC2" s="3">
        <v>1</v>
      </c>
      <c r="BD2" s="7">
        <f>(AB2*0.2)+(AJ2*0.23)+(AL2*0.05)+(AT2*0.1)+(AY2*0.18)+(BB2*0.05)+(BC2*0.19)</f>
        <v>1.6800000000000002</v>
      </c>
      <c r="BE2" s="8" t="s">
        <v>835</v>
      </c>
      <c r="BF2" s="8" t="s">
        <v>894</v>
      </c>
      <c r="BG2" s="8" t="s">
        <v>856</v>
      </c>
      <c r="BH2" s="10">
        <v>1298</v>
      </c>
      <c r="BI2" s="2" t="s">
        <v>967</v>
      </c>
      <c r="BJ2" s="10"/>
      <c r="BK2" s="107">
        <v>46096</v>
      </c>
      <c r="BL2" s="10" t="s">
        <v>933</v>
      </c>
      <c r="BM2" s="10"/>
    </row>
    <row r="3" spans="1:66" ht="96" x14ac:dyDescent="0.2">
      <c r="A3" s="2">
        <v>20026576</v>
      </c>
      <c r="B3" s="2" t="s">
        <v>78</v>
      </c>
      <c r="C3" s="2">
        <v>6500</v>
      </c>
      <c r="D3" s="2" t="s">
        <v>73</v>
      </c>
      <c r="E3" s="2" t="s">
        <v>79</v>
      </c>
      <c r="F3" s="2" t="s">
        <v>80</v>
      </c>
      <c r="G3" s="2" t="s">
        <v>58</v>
      </c>
      <c r="H3" s="2" t="s">
        <v>64</v>
      </c>
      <c r="I3" s="2" t="s">
        <v>81</v>
      </c>
      <c r="J3" s="2" t="s">
        <v>82</v>
      </c>
      <c r="K3" s="2" t="s">
        <v>66</v>
      </c>
      <c r="L3" s="2" t="s">
        <v>76</v>
      </c>
      <c r="M3" s="2" t="s">
        <v>60</v>
      </c>
      <c r="N3" s="2" t="s">
        <v>61</v>
      </c>
      <c r="O3" s="2" t="s">
        <v>83</v>
      </c>
      <c r="P3" s="2">
        <v>3.7</v>
      </c>
      <c r="Q3" s="2">
        <v>10</v>
      </c>
      <c r="R3" s="2">
        <v>2</v>
      </c>
      <c r="S3" s="2">
        <v>1.3</v>
      </c>
      <c r="T3" s="2">
        <f t="shared" si="0"/>
        <v>17</v>
      </c>
      <c r="U3" s="2">
        <v>1058</v>
      </c>
      <c r="V3" s="2">
        <v>1988</v>
      </c>
      <c r="W3" s="2" t="str">
        <f t="shared" si="1"/>
        <v>5</v>
      </c>
      <c r="X3" s="2" t="str">
        <f t="shared" si="2"/>
        <v>2</v>
      </c>
      <c r="Y3" s="2" t="str">
        <f t="shared" si="3"/>
        <v>1</v>
      </c>
      <c r="Z3" s="3" t="str">
        <f t="shared" si="4"/>
        <v>1</v>
      </c>
      <c r="AA3" s="10">
        <v>0</v>
      </c>
      <c r="AB3" s="3">
        <f t="shared" ref="AB3:AB66" si="12">(W3+X3+Y3+Z3)/4</f>
        <v>2.25</v>
      </c>
      <c r="AC3" s="10">
        <v>56</v>
      </c>
      <c r="AD3" s="10">
        <v>5</v>
      </c>
      <c r="AE3" s="10">
        <v>0.02</v>
      </c>
      <c r="AF3" s="10">
        <v>35.200000000000003</v>
      </c>
      <c r="AG3" s="2">
        <f t="shared" si="5"/>
        <v>1760</v>
      </c>
      <c r="AH3" s="2" t="str">
        <f t="shared" si="6"/>
        <v>1</v>
      </c>
      <c r="AI3" s="3" t="str">
        <f t="shared" si="7"/>
        <v>1</v>
      </c>
      <c r="AJ3" s="3">
        <f t="shared" si="8"/>
        <v>1</v>
      </c>
      <c r="AK3" s="2">
        <v>14</v>
      </c>
      <c r="AL3" s="2" t="str">
        <f t="shared" si="9"/>
        <v>1</v>
      </c>
      <c r="AM3" s="2">
        <v>108.77</v>
      </c>
      <c r="AN3" s="2">
        <v>92.454499999999996</v>
      </c>
      <c r="AO3" s="2">
        <v>271.89999999999998</v>
      </c>
      <c r="AP3" s="2">
        <v>231.11499999999998</v>
      </c>
      <c r="AQ3" s="2" t="s">
        <v>61</v>
      </c>
      <c r="AR3" s="2" t="s">
        <v>61</v>
      </c>
      <c r="AS3" s="11">
        <v>65</v>
      </c>
      <c r="AT3" s="2" t="str">
        <f t="shared" ref="AT3:AT65" si="13">IF(AS3&lt;60,"1",IF(AS3&lt;=65,"2",IF(AS3&lt;=75,"3",IF(AS3&lt;=95,"4","5"))))</f>
        <v>2</v>
      </c>
      <c r="AU3" s="10">
        <v>1</v>
      </c>
      <c r="AV3" s="10">
        <v>1</v>
      </c>
      <c r="AW3" s="10">
        <v>1</v>
      </c>
      <c r="AX3" s="10" t="s">
        <v>61</v>
      </c>
      <c r="AY3" s="2">
        <v>2</v>
      </c>
      <c r="AZ3" s="2">
        <v>2022</v>
      </c>
      <c r="BA3" s="2">
        <f t="shared" si="10"/>
        <v>3</v>
      </c>
      <c r="BB3" s="2" t="str">
        <f>IF(BA3&gt;=30,"5",IF(BA3&gt;=26,"4",IF(BA3&gt;=19,"3",IF(BA3&gt;=7,"2","1"))))</f>
        <v>1</v>
      </c>
      <c r="BC3" s="3">
        <v>1</v>
      </c>
      <c r="BD3" s="7">
        <f>(AB3*0.2)+(AJ3*0.23)+(AL3*0.05)+(AT3*0.1)+(AY3*0.18)+(BB3*0.05)+(BC3*0.19)</f>
        <v>1.53</v>
      </c>
      <c r="BE3" s="8" t="s">
        <v>835</v>
      </c>
      <c r="BF3" s="62" t="s">
        <v>895</v>
      </c>
      <c r="BG3" s="62"/>
      <c r="BH3" s="10">
        <v>2593</v>
      </c>
      <c r="BI3" s="10" t="s">
        <v>967</v>
      </c>
      <c r="BJ3" s="10"/>
      <c r="BK3" s="107">
        <v>46173</v>
      </c>
      <c r="BL3" s="10" t="s">
        <v>934</v>
      </c>
      <c r="BM3" s="10"/>
    </row>
    <row r="4" spans="1:66" ht="48" x14ac:dyDescent="0.2">
      <c r="A4" s="2">
        <v>20016578</v>
      </c>
      <c r="B4" s="2">
        <v>71842703</v>
      </c>
      <c r="C4" s="2">
        <v>500</v>
      </c>
      <c r="D4" s="2" t="s">
        <v>73</v>
      </c>
      <c r="E4" s="21" t="s">
        <v>109</v>
      </c>
      <c r="F4" s="9" t="s">
        <v>110</v>
      </c>
      <c r="G4" s="2" t="s">
        <v>70</v>
      </c>
      <c r="H4" s="2" t="s">
        <v>70</v>
      </c>
      <c r="I4" s="2" t="s">
        <v>65</v>
      </c>
      <c r="J4" s="2" t="s">
        <v>61</v>
      </c>
      <c r="K4" s="2" t="s">
        <v>66</v>
      </c>
      <c r="L4" s="10" t="s">
        <v>76</v>
      </c>
      <c r="M4" s="10" t="s">
        <v>60</v>
      </c>
      <c r="N4" s="10" t="s">
        <v>61</v>
      </c>
      <c r="O4" s="10" t="s">
        <v>77</v>
      </c>
      <c r="P4" s="2">
        <v>2.1</v>
      </c>
      <c r="Q4" s="2">
        <v>2.5</v>
      </c>
      <c r="R4" s="2">
        <v>5.4</v>
      </c>
      <c r="S4" s="2">
        <v>0.3</v>
      </c>
      <c r="T4" s="2">
        <f t="shared" si="0"/>
        <v>10.3</v>
      </c>
      <c r="U4" s="2">
        <v>234</v>
      </c>
      <c r="V4" s="2">
        <v>1768</v>
      </c>
      <c r="W4" s="2" t="str">
        <f t="shared" si="1"/>
        <v>2</v>
      </c>
      <c r="X4" s="2" t="str">
        <f t="shared" si="2"/>
        <v>2</v>
      </c>
      <c r="Y4" s="2" t="str">
        <f t="shared" si="3"/>
        <v>1</v>
      </c>
      <c r="Z4" s="3" t="str">
        <f t="shared" si="4"/>
        <v>1</v>
      </c>
      <c r="AA4" s="10">
        <v>0.1</v>
      </c>
      <c r="AB4" s="3">
        <f t="shared" si="12"/>
        <v>1.5</v>
      </c>
      <c r="AC4" s="10">
        <v>43</v>
      </c>
      <c r="AD4" s="10">
        <v>16</v>
      </c>
      <c r="AE4" s="10">
        <v>0.02</v>
      </c>
      <c r="AF4" s="10">
        <v>38.6</v>
      </c>
      <c r="AG4" s="2">
        <f t="shared" si="5"/>
        <v>1930</v>
      </c>
      <c r="AH4" s="2" t="str">
        <f t="shared" si="6"/>
        <v>1</v>
      </c>
      <c r="AI4" s="3" t="str">
        <f t="shared" si="7"/>
        <v>1</v>
      </c>
      <c r="AJ4" s="3">
        <f t="shared" si="8"/>
        <v>1</v>
      </c>
      <c r="AK4" s="2">
        <v>14</v>
      </c>
      <c r="AL4" s="9" t="str">
        <f t="shared" si="9"/>
        <v>1</v>
      </c>
      <c r="AM4" s="57">
        <v>8.3699999999999992</v>
      </c>
      <c r="AN4" s="57">
        <v>3.0131999999999994</v>
      </c>
      <c r="AO4" s="57">
        <v>20.92</v>
      </c>
      <c r="AP4" s="57">
        <v>7.5312000000000001</v>
      </c>
      <c r="AQ4" s="57" t="s">
        <v>61</v>
      </c>
      <c r="AR4" s="57" t="s">
        <v>61</v>
      </c>
      <c r="AS4" s="56">
        <v>66</v>
      </c>
      <c r="AT4" s="9" t="str">
        <f t="shared" si="13"/>
        <v>3</v>
      </c>
      <c r="AU4" s="55">
        <v>1</v>
      </c>
      <c r="AV4" s="55">
        <v>1</v>
      </c>
      <c r="AW4" s="55">
        <v>1</v>
      </c>
      <c r="AX4" s="55" t="s">
        <v>61</v>
      </c>
      <c r="AY4" s="9">
        <v>3</v>
      </c>
      <c r="AZ4" s="57">
        <v>1998</v>
      </c>
      <c r="BA4" s="57">
        <f t="shared" si="10"/>
        <v>27</v>
      </c>
      <c r="BB4" s="9" t="str">
        <f t="shared" si="11"/>
        <v>4</v>
      </c>
      <c r="BC4" s="37">
        <v>5</v>
      </c>
      <c r="BD4" s="7">
        <f>(AB4*0.2)+(AJ4*0.23)+(AL4*0.05)+(AT4*0.1)+(AY4*0.18)+(BB4*0.05)+(BC4*0.19)</f>
        <v>2.5700000000000003</v>
      </c>
      <c r="BE4" s="62" t="s">
        <v>843</v>
      </c>
      <c r="BF4" s="106" t="s">
        <v>802</v>
      </c>
      <c r="BG4" s="62" t="s">
        <v>856</v>
      </c>
      <c r="BH4" s="10">
        <v>302</v>
      </c>
      <c r="BI4" s="10" t="s">
        <v>911</v>
      </c>
      <c r="BJ4" s="10" t="s">
        <v>925</v>
      </c>
      <c r="BK4" s="107">
        <v>45769</v>
      </c>
      <c r="BL4" s="10" t="s">
        <v>935</v>
      </c>
      <c r="BM4" s="109">
        <v>59000000</v>
      </c>
    </row>
    <row r="5" spans="1:66" ht="64" x14ac:dyDescent="0.2">
      <c r="A5" s="2">
        <v>20700074</v>
      </c>
      <c r="B5" s="2">
        <v>71145953</v>
      </c>
      <c r="C5" s="2">
        <v>2000</v>
      </c>
      <c r="D5" s="2" t="s">
        <v>73</v>
      </c>
      <c r="E5" s="2" t="s">
        <v>62</v>
      </c>
      <c r="F5" s="2" t="s">
        <v>63</v>
      </c>
      <c r="G5" s="2" t="s">
        <v>58</v>
      </c>
      <c r="H5" s="2" t="s">
        <v>64</v>
      </c>
      <c r="I5" s="2" t="s">
        <v>65</v>
      </c>
      <c r="J5" s="2" t="s">
        <v>61</v>
      </c>
      <c r="K5" s="2" t="s">
        <v>66</v>
      </c>
      <c r="L5" s="10" t="s">
        <v>76</v>
      </c>
      <c r="M5" s="10" t="s">
        <v>60</v>
      </c>
      <c r="N5" s="10" t="s">
        <v>61</v>
      </c>
      <c r="O5" s="10" t="s">
        <v>77</v>
      </c>
      <c r="P5" s="2">
        <v>6.4</v>
      </c>
      <c r="Q5" s="2">
        <v>2.5</v>
      </c>
      <c r="R5" s="2">
        <v>9.1</v>
      </c>
      <c r="S5" s="2">
        <v>0.3</v>
      </c>
      <c r="T5" s="2">
        <f t="shared" si="0"/>
        <v>18.3</v>
      </c>
      <c r="U5" s="2">
        <v>299</v>
      </c>
      <c r="V5" s="2">
        <v>2123</v>
      </c>
      <c r="W5" s="2" t="str">
        <f t="shared" si="1"/>
        <v>2</v>
      </c>
      <c r="X5" s="2" t="str">
        <f t="shared" si="2"/>
        <v>2</v>
      </c>
      <c r="Y5" s="2" t="str">
        <f t="shared" si="3"/>
        <v>1</v>
      </c>
      <c r="Z5" s="3" t="str">
        <f t="shared" si="4"/>
        <v>2</v>
      </c>
      <c r="AA5" s="10">
        <v>3</v>
      </c>
      <c r="AB5" s="3">
        <f t="shared" si="12"/>
        <v>1.75</v>
      </c>
      <c r="AC5" s="10">
        <v>11.3</v>
      </c>
      <c r="AD5" s="10">
        <v>47</v>
      </c>
      <c r="AE5" s="10">
        <v>0.05</v>
      </c>
      <c r="AF5" s="10">
        <v>27.6</v>
      </c>
      <c r="AG5" s="2">
        <f t="shared" si="5"/>
        <v>552</v>
      </c>
      <c r="AH5" s="2" t="str">
        <f t="shared" si="6"/>
        <v>5</v>
      </c>
      <c r="AI5" s="3" t="str">
        <f t="shared" si="7"/>
        <v>5</v>
      </c>
      <c r="AJ5" s="3">
        <f t="shared" si="8"/>
        <v>5</v>
      </c>
      <c r="AK5" s="2">
        <v>14392</v>
      </c>
      <c r="AL5" s="2" t="str">
        <f t="shared" si="9"/>
        <v>5</v>
      </c>
      <c r="AM5" s="2">
        <v>33.5</v>
      </c>
      <c r="AN5" s="2">
        <v>6.1204499999999999</v>
      </c>
      <c r="AO5" s="2">
        <v>83.7</v>
      </c>
      <c r="AP5" s="2">
        <v>15.3</v>
      </c>
      <c r="AQ5" s="2" t="s">
        <v>61</v>
      </c>
      <c r="AR5" s="2" t="s">
        <v>61</v>
      </c>
      <c r="AS5" s="11">
        <v>101</v>
      </c>
      <c r="AT5" s="2" t="str">
        <f t="shared" si="13"/>
        <v>5</v>
      </c>
      <c r="AU5" s="10">
        <v>1</v>
      </c>
      <c r="AV5" s="10">
        <v>1</v>
      </c>
      <c r="AW5" s="10">
        <v>5</v>
      </c>
      <c r="AX5" s="10" t="s">
        <v>61</v>
      </c>
      <c r="AY5" s="2">
        <v>5</v>
      </c>
      <c r="AZ5" s="2">
        <v>1984</v>
      </c>
      <c r="BA5" s="2">
        <f t="shared" si="10"/>
        <v>41</v>
      </c>
      <c r="BB5" s="2" t="str">
        <f t="shared" si="11"/>
        <v>5</v>
      </c>
      <c r="BC5" s="3">
        <v>1</v>
      </c>
      <c r="BD5" s="7">
        <v>5</v>
      </c>
      <c r="BE5" s="62" t="s">
        <v>991</v>
      </c>
      <c r="BF5" s="62" t="s">
        <v>891</v>
      </c>
      <c r="BG5" s="62" t="s">
        <v>993</v>
      </c>
      <c r="BH5" s="10">
        <v>82</v>
      </c>
      <c r="BI5" s="10" t="s">
        <v>967</v>
      </c>
      <c r="BJ5" s="10" t="s">
        <v>917</v>
      </c>
      <c r="BK5" s="107">
        <v>46075</v>
      </c>
      <c r="BL5" s="10" t="s">
        <v>935</v>
      </c>
      <c r="BM5" s="10"/>
    </row>
    <row r="6" spans="1:66" ht="64" x14ac:dyDescent="0.2">
      <c r="A6" s="10">
        <v>20026574</v>
      </c>
      <c r="B6" s="10" t="s">
        <v>117</v>
      </c>
      <c r="C6" s="10">
        <v>2500</v>
      </c>
      <c r="D6" s="10" t="s">
        <v>73</v>
      </c>
      <c r="E6" s="10" t="s">
        <v>118</v>
      </c>
      <c r="F6" s="10" t="s">
        <v>119</v>
      </c>
      <c r="G6" s="10" t="s">
        <v>58</v>
      </c>
      <c r="H6" s="10" t="s">
        <v>59</v>
      </c>
      <c r="I6" s="10" t="s">
        <v>65</v>
      </c>
      <c r="J6" s="10" t="s">
        <v>61</v>
      </c>
      <c r="K6" s="10" t="s">
        <v>66</v>
      </c>
      <c r="L6" s="10" t="s">
        <v>76</v>
      </c>
      <c r="M6" s="10" t="s">
        <v>60</v>
      </c>
      <c r="N6" s="10" t="s">
        <v>61</v>
      </c>
      <c r="O6" s="10" t="s">
        <v>77</v>
      </c>
      <c r="P6" s="10">
        <v>40</v>
      </c>
      <c r="Q6" s="10">
        <v>16.600000000000001</v>
      </c>
      <c r="R6" s="10">
        <v>2.2999999999999998</v>
      </c>
      <c r="S6" s="10">
        <v>1.8</v>
      </c>
      <c r="T6" s="2">
        <f t="shared" si="0"/>
        <v>60.699999999999996</v>
      </c>
      <c r="U6" s="10">
        <v>1081</v>
      </c>
      <c r="V6" s="10">
        <v>2959</v>
      </c>
      <c r="W6" s="2" t="str">
        <f t="shared" si="1"/>
        <v>5</v>
      </c>
      <c r="X6" s="2" t="str">
        <f t="shared" si="2"/>
        <v>2</v>
      </c>
      <c r="Y6" s="2" t="str">
        <f t="shared" si="3"/>
        <v>1</v>
      </c>
      <c r="Z6" s="3" t="str">
        <f t="shared" si="4"/>
        <v>1</v>
      </c>
      <c r="AA6" s="10">
        <v>0.3</v>
      </c>
      <c r="AB6" s="3">
        <f t="shared" si="12"/>
        <v>2.25</v>
      </c>
      <c r="AC6" s="10">
        <v>54</v>
      </c>
      <c r="AD6" s="10">
        <v>7</v>
      </c>
      <c r="AE6" s="10">
        <v>0.02</v>
      </c>
      <c r="AF6" s="10">
        <v>44.1</v>
      </c>
      <c r="AG6" s="2">
        <f t="shared" si="5"/>
        <v>2205</v>
      </c>
      <c r="AH6" s="2" t="str">
        <f t="shared" si="6"/>
        <v>1</v>
      </c>
      <c r="AI6" s="3" t="str">
        <f t="shared" si="7"/>
        <v>1</v>
      </c>
      <c r="AJ6" s="3">
        <f t="shared" si="8"/>
        <v>1</v>
      </c>
      <c r="AK6" s="2">
        <v>14</v>
      </c>
      <c r="AL6" s="2" t="str">
        <f t="shared" si="9"/>
        <v>1</v>
      </c>
      <c r="AM6" s="10">
        <v>41.84</v>
      </c>
      <c r="AN6" s="10">
        <v>24.685600000000001</v>
      </c>
      <c r="AO6" s="10">
        <v>104.6</v>
      </c>
      <c r="AP6" s="10">
        <v>61.713999999999992</v>
      </c>
      <c r="AQ6" s="10" t="s">
        <v>61</v>
      </c>
      <c r="AR6" s="10" t="s">
        <v>61</v>
      </c>
      <c r="AS6" s="10">
        <v>59</v>
      </c>
      <c r="AT6" s="2" t="str">
        <f t="shared" si="13"/>
        <v>1</v>
      </c>
      <c r="AU6" s="10">
        <v>1</v>
      </c>
      <c r="AV6" s="10">
        <v>1</v>
      </c>
      <c r="AW6" s="10">
        <v>1</v>
      </c>
      <c r="AX6" s="10" t="s">
        <v>61</v>
      </c>
      <c r="AY6" s="2">
        <v>1</v>
      </c>
      <c r="AZ6" s="10">
        <v>2022</v>
      </c>
      <c r="BA6" s="2">
        <f t="shared" si="10"/>
        <v>3</v>
      </c>
      <c r="BB6" s="2" t="str">
        <f t="shared" si="11"/>
        <v>1</v>
      </c>
      <c r="BC6" s="3">
        <v>1</v>
      </c>
      <c r="BD6" s="7">
        <f>(AB6*0.2)+(AJ6*0.23)+(AL6*0.05)+(AT6*0.1)+(AY6*0.18)+(BB6*0.05)+(BC6*0.19)</f>
        <v>1.25</v>
      </c>
      <c r="BE6" s="62" t="s">
        <v>828</v>
      </c>
      <c r="BF6" s="62"/>
      <c r="BG6" s="62"/>
      <c r="BH6" s="10">
        <v>1393</v>
      </c>
      <c r="BI6" s="10"/>
      <c r="BJ6" s="10"/>
      <c r="BK6" s="107">
        <v>46264</v>
      </c>
      <c r="BL6" s="10" t="s">
        <v>950</v>
      </c>
      <c r="BM6" s="10"/>
    </row>
    <row r="7" spans="1:66" ht="64" x14ac:dyDescent="0.2">
      <c r="A7" s="10">
        <v>20700377</v>
      </c>
      <c r="B7" s="10">
        <v>1079537152</v>
      </c>
      <c r="C7" s="10">
        <v>10000</v>
      </c>
      <c r="D7" s="10" t="s">
        <v>73</v>
      </c>
      <c r="E7" s="10" t="s">
        <v>121</v>
      </c>
      <c r="F7" s="10" t="s">
        <v>122</v>
      </c>
      <c r="G7" s="10" t="s">
        <v>58</v>
      </c>
      <c r="H7" s="10" t="s">
        <v>59</v>
      </c>
      <c r="I7" s="10" t="s">
        <v>81</v>
      </c>
      <c r="J7" s="10" t="s">
        <v>82</v>
      </c>
      <c r="K7" s="10" t="s">
        <v>66</v>
      </c>
      <c r="L7" s="10" t="s">
        <v>76</v>
      </c>
      <c r="M7" s="10" t="s">
        <v>60</v>
      </c>
      <c r="N7" s="10" t="s">
        <v>61</v>
      </c>
      <c r="O7" s="10" t="s">
        <v>83</v>
      </c>
      <c r="P7" s="10">
        <v>9.4</v>
      </c>
      <c r="Q7" s="10">
        <v>8.6</v>
      </c>
      <c r="R7" s="10">
        <v>3.5</v>
      </c>
      <c r="S7" s="10">
        <v>1.4</v>
      </c>
      <c r="T7" s="2">
        <f t="shared" si="0"/>
        <v>22.9</v>
      </c>
      <c r="U7" s="10">
        <v>969</v>
      </c>
      <c r="V7" s="10">
        <v>1648</v>
      </c>
      <c r="W7" s="2" t="str">
        <f t="shared" si="1"/>
        <v>5</v>
      </c>
      <c r="X7" s="2" t="str">
        <f t="shared" si="2"/>
        <v>2</v>
      </c>
      <c r="Y7" s="2" t="str">
        <f t="shared" si="3"/>
        <v>1</v>
      </c>
      <c r="Z7" s="3" t="str">
        <f t="shared" si="4"/>
        <v>1</v>
      </c>
      <c r="AA7" s="10">
        <v>0</v>
      </c>
      <c r="AB7" s="3">
        <f t="shared" si="12"/>
        <v>2.25</v>
      </c>
      <c r="AC7" s="10">
        <v>52</v>
      </c>
      <c r="AD7" s="10">
        <v>8</v>
      </c>
      <c r="AE7" s="10">
        <v>0.02</v>
      </c>
      <c r="AF7" s="10">
        <v>46.5</v>
      </c>
      <c r="AG7" s="2">
        <f t="shared" si="5"/>
        <v>2325</v>
      </c>
      <c r="AH7" s="2" t="str">
        <f t="shared" si="6"/>
        <v>1</v>
      </c>
      <c r="AI7" s="3" t="str">
        <f t="shared" si="7"/>
        <v>1</v>
      </c>
      <c r="AJ7" s="3">
        <f t="shared" si="8"/>
        <v>1</v>
      </c>
      <c r="AK7" s="2">
        <v>14</v>
      </c>
      <c r="AL7" s="2" t="str">
        <f t="shared" si="9"/>
        <v>1</v>
      </c>
      <c r="AM7" s="10">
        <v>167.3</v>
      </c>
      <c r="AN7" s="10">
        <v>418.25</v>
      </c>
      <c r="AO7" s="10">
        <v>418.4</v>
      </c>
      <c r="AP7" s="10">
        <v>1045.9999999999998</v>
      </c>
      <c r="AQ7" s="10" t="s">
        <v>61</v>
      </c>
      <c r="AR7" s="10" t="s">
        <v>61</v>
      </c>
      <c r="AS7" s="10">
        <v>40</v>
      </c>
      <c r="AT7" s="2" t="str">
        <f t="shared" si="13"/>
        <v>1</v>
      </c>
      <c r="AU7" s="10">
        <v>1</v>
      </c>
      <c r="AV7" s="10">
        <v>1</v>
      </c>
      <c r="AW7" s="10">
        <v>1</v>
      </c>
      <c r="AX7" s="10" t="s">
        <v>61</v>
      </c>
      <c r="AY7" s="2">
        <v>1</v>
      </c>
      <c r="AZ7" s="10">
        <v>2023</v>
      </c>
      <c r="BA7" s="2">
        <f t="shared" si="10"/>
        <v>2</v>
      </c>
      <c r="BB7" s="2" t="str">
        <f t="shared" si="11"/>
        <v>1</v>
      </c>
      <c r="BC7" s="3">
        <v>1</v>
      </c>
      <c r="BD7" s="7">
        <f>(AB7*0.2)+(AJ7*0.23)+(AL7*0.05)+(AT7*0.1)+(AY7*0.18)+(BB7*0.05)+(BC7*0.19)</f>
        <v>1.25</v>
      </c>
      <c r="BE7" s="62" t="s">
        <v>828</v>
      </c>
      <c r="BF7" s="62"/>
      <c r="BG7" s="62"/>
      <c r="BH7" s="10">
        <v>5690</v>
      </c>
      <c r="BI7" s="10"/>
      <c r="BJ7" s="10"/>
      <c r="BK7" s="107">
        <v>46264</v>
      </c>
      <c r="BL7" s="10" t="s">
        <v>950</v>
      </c>
      <c r="BM7" s="10"/>
    </row>
    <row r="8" spans="1:66" ht="48" x14ac:dyDescent="0.2">
      <c r="A8" s="10">
        <v>20056569</v>
      </c>
      <c r="B8" s="10">
        <v>200104</v>
      </c>
      <c r="C8" s="10">
        <v>6500</v>
      </c>
      <c r="D8" s="10" t="s">
        <v>73</v>
      </c>
      <c r="E8" s="12" t="s">
        <v>123</v>
      </c>
      <c r="F8" s="101" t="s">
        <v>995</v>
      </c>
      <c r="G8" s="10" t="s">
        <v>125</v>
      </c>
      <c r="H8" s="10" t="s">
        <v>126</v>
      </c>
      <c r="I8" s="10" t="s">
        <v>81</v>
      </c>
      <c r="J8" s="10" t="s">
        <v>82</v>
      </c>
      <c r="K8" s="10" t="s">
        <v>66</v>
      </c>
      <c r="L8" s="10" t="s">
        <v>76</v>
      </c>
      <c r="M8" s="10" t="s">
        <v>60</v>
      </c>
      <c r="N8" s="10" t="s">
        <v>61</v>
      </c>
      <c r="O8" s="10" t="s">
        <v>83</v>
      </c>
      <c r="P8" s="10">
        <v>48</v>
      </c>
      <c r="Q8" s="10">
        <v>15.8</v>
      </c>
      <c r="R8" s="10">
        <v>14.1</v>
      </c>
      <c r="S8" s="10">
        <v>2</v>
      </c>
      <c r="T8" s="2">
        <f t="shared" si="0"/>
        <v>79.899999999999991</v>
      </c>
      <c r="U8" s="10">
        <v>1077</v>
      </c>
      <c r="V8" s="10">
        <v>7117</v>
      </c>
      <c r="W8" s="2" t="str">
        <f t="shared" si="1"/>
        <v>5</v>
      </c>
      <c r="X8" s="2" t="str">
        <f t="shared" si="2"/>
        <v>5</v>
      </c>
      <c r="Y8" s="2" t="str">
        <f t="shared" si="3"/>
        <v>1</v>
      </c>
      <c r="Z8" s="3" t="str">
        <f t="shared" si="4"/>
        <v>1</v>
      </c>
      <c r="AA8" s="10">
        <v>0</v>
      </c>
      <c r="AB8" s="3">
        <f t="shared" si="12"/>
        <v>3</v>
      </c>
      <c r="AC8" s="10">
        <v>26</v>
      </c>
      <c r="AD8" s="10">
        <v>21</v>
      </c>
      <c r="AE8" s="10">
        <v>0.02</v>
      </c>
      <c r="AF8" s="10">
        <v>4.5</v>
      </c>
      <c r="AG8" s="2">
        <f t="shared" si="5"/>
        <v>225</v>
      </c>
      <c r="AH8" s="2" t="str">
        <f t="shared" si="6"/>
        <v>2</v>
      </c>
      <c r="AI8" s="3" t="str">
        <f t="shared" si="7"/>
        <v>5</v>
      </c>
      <c r="AJ8" s="3">
        <f t="shared" si="8"/>
        <v>2.6</v>
      </c>
      <c r="AK8" s="2">
        <v>113</v>
      </c>
      <c r="AL8" s="2" t="str">
        <f t="shared" si="9"/>
        <v>1</v>
      </c>
      <c r="AM8" s="10">
        <v>108.77</v>
      </c>
      <c r="AN8" s="10">
        <v>96.642144999999985</v>
      </c>
      <c r="AO8" s="10">
        <v>271.95</v>
      </c>
      <c r="AP8" s="10">
        <v>241.62757499999998</v>
      </c>
      <c r="AQ8" s="10" t="s">
        <v>61</v>
      </c>
      <c r="AR8" s="10" t="s">
        <v>61</v>
      </c>
      <c r="AS8" s="10">
        <v>95</v>
      </c>
      <c r="AT8" s="2" t="str">
        <f t="shared" si="13"/>
        <v>4</v>
      </c>
      <c r="AU8" s="10">
        <v>1</v>
      </c>
      <c r="AV8" s="10">
        <v>1</v>
      </c>
      <c r="AW8" s="10">
        <v>1</v>
      </c>
      <c r="AX8" s="10" t="s">
        <v>61</v>
      </c>
      <c r="AY8" s="2">
        <v>3</v>
      </c>
      <c r="AZ8" s="10">
        <v>1999</v>
      </c>
      <c r="BA8" s="2">
        <f t="shared" si="10"/>
        <v>26</v>
      </c>
      <c r="BB8" s="2" t="str">
        <f t="shared" si="11"/>
        <v>4</v>
      </c>
      <c r="BC8" s="3">
        <v>1</v>
      </c>
      <c r="BD8" s="7">
        <f>(AB8*0.2)+(AJ8*0.23)+(AL8*0.05)+(AT8*0.1)+(AY8*0.18)+(BB8*0.05)+(BC8*0.19)</f>
        <v>2.5780000000000003</v>
      </c>
      <c r="BE8" s="62" t="s">
        <v>825</v>
      </c>
      <c r="BF8" s="62"/>
      <c r="BG8" s="62" t="s">
        <v>915</v>
      </c>
      <c r="BH8" s="10">
        <v>10449</v>
      </c>
      <c r="BI8" s="10" t="s">
        <v>911</v>
      </c>
      <c r="BJ8" s="10" t="s">
        <v>925</v>
      </c>
      <c r="BK8" s="107">
        <v>46184</v>
      </c>
      <c r="BL8" s="10" t="s">
        <v>936</v>
      </c>
      <c r="BM8" s="109">
        <v>67000000</v>
      </c>
      <c r="BN8" s="61" t="s">
        <v>997</v>
      </c>
    </row>
    <row r="9" spans="1:66" ht="64" x14ac:dyDescent="0.2">
      <c r="A9" s="10">
        <v>20700350</v>
      </c>
      <c r="B9" s="10">
        <v>1057609444</v>
      </c>
      <c r="C9" s="10">
        <v>6000</v>
      </c>
      <c r="D9" s="10" t="s">
        <v>73</v>
      </c>
      <c r="E9" s="10" t="s">
        <v>128</v>
      </c>
      <c r="F9" s="101" t="s">
        <v>129</v>
      </c>
      <c r="G9" s="10" t="s">
        <v>58</v>
      </c>
      <c r="H9" s="10" t="s">
        <v>70</v>
      </c>
      <c r="I9" s="10" t="s">
        <v>65</v>
      </c>
      <c r="J9" s="10" t="s">
        <v>82</v>
      </c>
      <c r="K9" s="10" t="s">
        <v>66</v>
      </c>
      <c r="L9" s="10" t="s">
        <v>76</v>
      </c>
      <c r="M9" s="10" t="s">
        <v>60</v>
      </c>
      <c r="N9" s="10" t="s">
        <v>61</v>
      </c>
      <c r="O9" s="10" t="s">
        <v>130</v>
      </c>
      <c r="P9" s="10">
        <v>4.9000000000000004</v>
      </c>
      <c r="Q9" s="10">
        <v>65</v>
      </c>
      <c r="R9" s="10">
        <v>5.2</v>
      </c>
      <c r="S9" s="10">
        <v>26</v>
      </c>
      <c r="T9" s="2">
        <f t="shared" si="0"/>
        <v>101.10000000000001</v>
      </c>
      <c r="U9" s="10">
        <v>690</v>
      </c>
      <c r="V9" s="10">
        <v>16655</v>
      </c>
      <c r="W9" s="2" t="str">
        <f t="shared" si="1"/>
        <v>4</v>
      </c>
      <c r="X9" s="2" t="str">
        <f t="shared" si="2"/>
        <v>5</v>
      </c>
      <c r="Y9" s="2" t="str">
        <f t="shared" si="3"/>
        <v>2</v>
      </c>
      <c r="Z9" s="3" t="str">
        <f t="shared" si="4"/>
        <v>1</v>
      </c>
      <c r="AA9" s="10">
        <v>0</v>
      </c>
      <c r="AB9" s="3">
        <f t="shared" si="12"/>
        <v>3</v>
      </c>
      <c r="AC9" s="10">
        <v>58</v>
      </c>
      <c r="AD9" s="10">
        <v>8</v>
      </c>
      <c r="AE9" s="10">
        <v>0.02</v>
      </c>
      <c r="AF9" s="10">
        <v>40</v>
      </c>
      <c r="AG9" s="2">
        <f t="shared" si="5"/>
        <v>2000</v>
      </c>
      <c r="AH9" s="2" t="str">
        <f t="shared" si="6"/>
        <v>1</v>
      </c>
      <c r="AI9" s="3" t="str">
        <f t="shared" si="7"/>
        <v>1</v>
      </c>
      <c r="AJ9" s="3">
        <f t="shared" si="8"/>
        <v>1</v>
      </c>
      <c r="AK9" s="2">
        <v>28</v>
      </c>
      <c r="AL9" s="2" t="str">
        <f t="shared" si="9"/>
        <v>1</v>
      </c>
      <c r="AM9" s="10">
        <v>100.41</v>
      </c>
      <c r="AN9" s="10">
        <v>125.51249999999999</v>
      </c>
      <c r="AO9" s="10">
        <v>251.02</v>
      </c>
      <c r="AP9" s="10">
        <v>313.77500000000003</v>
      </c>
      <c r="AQ9" s="10" t="s">
        <v>61</v>
      </c>
      <c r="AR9" s="10" t="s">
        <v>61</v>
      </c>
      <c r="AS9" s="10">
        <v>125</v>
      </c>
      <c r="AT9" s="2" t="str">
        <f t="shared" si="13"/>
        <v>5</v>
      </c>
      <c r="AU9" s="10">
        <v>1</v>
      </c>
      <c r="AV9" s="10">
        <v>1</v>
      </c>
      <c r="AW9" s="10">
        <v>1</v>
      </c>
      <c r="AX9" s="10" t="s">
        <v>61</v>
      </c>
      <c r="AY9" s="2">
        <v>1</v>
      </c>
      <c r="AZ9" s="10">
        <v>2021</v>
      </c>
      <c r="BA9" s="2">
        <f t="shared" si="10"/>
        <v>4</v>
      </c>
      <c r="BB9" s="2" t="str">
        <f t="shared" si="11"/>
        <v>1</v>
      </c>
      <c r="BC9" s="3">
        <v>1</v>
      </c>
      <c r="BD9" s="7">
        <v>5</v>
      </c>
      <c r="BE9" s="62" t="s">
        <v>991</v>
      </c>
      <c r="BF9" s="62"/>
      <c r="BG9" s="62" t="s">
        <v>993</v>
      </c>
      <c r="BH9" s="10">
        <v>7668</v>
      </c>
      <c r="BI9" s="10"/>
      <c r="BJ9" s="10" t="s">
        <v>918</v>
      </c>
      <c r="BK9" s="107">
        <v>46036</v>
      </c>
      <c r="BL9" s="10" t="s">
        <v>950</v>
      </c>
      <c r="BM9" s="10"/>
      <c r="BN9" s="61" t="s">
        <v>997</v>
      </c>
    </row>
    <row r="10" spans="1:66" ht="80" x14ac:dyDescent="0.2">
      <c r="A10" s="10">
        <v>20016689</v>
      </c>
      <c r="B10" s="10" t="s">
        <v>133</v>
      </c>
      <c r="C10" s="10">
        <v>60000</v>
      </c>
      <c r="D10" s="10" t="s">
        <v>134</v>
      </c>
      <c r="E10" s="10" t="s">
        <v>135</v>
      </c>
      <c r="F10" s="101" t="s">
        <v>136</v>
      </c>
      <c r="G10" s="10" t="s">
        <v>70</v>
      </c>
      <c r="H10" s="10" t="s">
        <v>70</v>
      </c>
      <c r="I10" s="10" t="s">
        <v>81</v>
      </c>
      <c r="J10" s="10" t="s">
        <v>82</v>
      </c>
      <c r="K10" s="10" t="s">
        <v>48</v>
      </c>
      <c r="L10" s="10">
        <v>66</v>
      </c>
      <c r="M10" s="10" t="s">
        <v>137</v>
      </c>
      <c r="N10" s="10" t="s">
        <v>60</v>
      </c>
      <c r="O10" s="10" t="s">
        <v>138</v>
      </c>
      <c r="P10" s="10">
        <v>5.8</v>
      </c>
      <c r="Q10" s="10">
        <v>27</v>
      </c>
      <c r="R10" s="10">
        <v>3.4</v>
      </c>
      <c r="S10" s="10">
        <v>4.7</v>
      </c>
      <c r="T10" s="2">
        <f t="shared" si="0"/>
        <v>40.9</v>
      </c>
      <c r="U10" s="10">
        <v>2264</v>
      </c>
      <c r="V10" s="10">
        <v>6710</v>
      </c>
      <c r="W10" s="2" t="str">
        <f t="shared" si="1"/>
        <v>5</v>
      </c>
      <c r="X10" s="2" t="str">
        <f t="shared" si="2"/>
        <v>4</v>
      </c>
      <c r="Y10" s="2" t="str">
        <f t="shared" si="3"/>
        <v>1</v>
      </c>
      <c r="Z10" s="3" t="str">
        <f t="shared" si="4"/>
        <v>1</v>
      </c>
      <c r="AA10" s="10">
        <v>0</v>
      </c>
      <c r="AB10" s="3">
        <f t="shared" si="12"/>
        <v>2.75</v>
      </c>
      <c r="AC10" s="10">
        <v>58</v>
      </c>
      <c r="AD10" s="10">
        <v>7</v>
      </c>
      <c r="AE10" s="10">
        <v>0.02</v>
      </c>
      <c r="AF10" s="10">
        <v>41.4</v>
      </c>
      <c r="AG10" s="2">
        <f t="shared" si="5"/>
        <v>2070</v>
      </c>
      <c r="AH10" s="2" t="str">
        <f t="shared" si="6"/>
        <v>1</v>
      </c>
      <c r="AI10" s="3" t="str">
        <f t="shared" si="7"/>
        <v>1</v>
      </c>
      <c r="AJ10" s="3">
        <f t="shared" si="8"/>
        <v>1</v>
      </c>
      <c r="AK10" s="2">
        <v>14</v>
      </c>
      <c r="AL10" s="2" t="str">
        <f t="shared" si="9"/>
        <v>1</v>
      </c>
      <c r="AM10" s="10">
        <v>524.9</v>
      </c>
      <c r="AN10" s="10">
        <v>409.42199999999997</v>
      </c>
      <c r="AO10" s="10">
        <v>602.5</v>
      </c>
      <c r="AP10" s="10">
        <v>469.95</v>
      </c>
      <c r="AQ10" s="10">
        <v>1004.1</v>
      </c>
      <c r="AR10" s="10">
        <v>783.19800000000009</v>
      </c>
      <c r="AS10" s="10">
        <v>78</v>
      </c>
      <c r="AT10" s="2" t="str">
        <f t="shared" si="13"/>
        <v>4</v>
      </c>
      <c r="AU10" s="10">
        <v>1</v>
      </c>
      <c r="AV10" s="10">
        <v>1</v>
      </c>
      <c r="AW10" s="10">
        <v>1</v>
      </c>
      <c r="AX10" s="10">
        <v>1</v>
      </c>
      <c r="AY10" s="2">
        <v>1</v>
      </c>
      <c r="AZ10" s="10">
        <v>2011</v>
      </c>
      <c r="BA10" s="2">
        <f t="shared" si="10"/>
        <v>14</v>
      </c>
      <c r="BB10" s="2" t="str">
        <f t="shared" si="11"/>
        <v>2</v>
      </c>
      <c r="BC10" s="3">
        <v>1</v>
      </c>
      <c r="BD10" s="7">
        <f>(AB10*0.2)+(AJ10*0.23)+(AL10*0.05)+(AT10*0.1)+(AY10*0.18)+(BB10*0.05)+(BC10*0.19)</f>
        <v>1.7</v>
      </c>
      <c r="BE10" s="62" t="s">
        <v>827</v>
      </c>
      <c r="BF10" s="62"/>
      <c r="BG10" s="62"/>
      <c r="BH10" s="10">
        <v>31628</v>
      </c>
      <c r="BI10" s="10"/>
      <c r="BJ10" s="10"/>
      <c r="BK10" s="10"/>
      <c r="BL10" s="10"/>
      <c r="BM10" s="10"/>
      <c r="BN10" s="61" t="s">
        <v>997</v>
      </c>
    </row>
    <row r="11" spans="1:66" ht="64" x14ac:dyDescent="0.2">
      <c r="A11" s="10">
        <v>20026669</v>
      </c>
      <c r="B11" s="10">
        <v>288055</v>
      </c>
      <c r="C11" s="10">
        <v>6500</v>
      </c>
      <c r="D11" s="10" t="s">
        <v>73</v>
      </c>
      <c r="E11" s="12" t="s">
        <v>141</v>
      </c>
      <c r="F11" s="101" t="s">
        <v>142</v>
      </c>
      <c r="G11" s="10" t="s">
        <v>58</v>
      </c>
      <c r="H11" s="10" t="s">
        <v>59</v>
      </c>
      <c r="I11" s="10" t="s">
        <v>81</v>
      </c>
      <c r="J11" s="10" t="s">
        <v>143</v>
      </c>
      <c r="K11" s="10" t="s">
        <v>66</v>
      </c>
      <c r="L11" s="10" t="s">
        <v>76</v>
      </c>
      <c r="M11" s="10" t="s">
        <v>60</v>
      </c>
      <c r="N11" s="10" t="s">
        <v>61</v>
      </c>
      <c r="O11" s="10" t="s">
        <v>83</v>
      </c>
      <c r="P11" s="10">
        <v>14.9</v>
      </c>
      <c r="Q11" s="10">
        <v>6.7</v>
      </c>
      <c r="R11" s="10">
        <v>45</v>
      </c>
      <c r="S11" s="10">
        <v>2.6</v>
      </c>
      <c r="T11" s="2">
        <f t="shared" si="0"/>
        <v>69.199999999999989</v>
      </c>
      <c r="U11" s="10">
        <v>776</v>
      </c>
      <c r="V11" s="10">
        <v>9813</v>
      </c>
      <c r="W11" s="2" t="str">
        <f t="shared" si="1"/>
        <v>5</v>
      </c>
      <c r="X11" s="2" t="str">
        <f t="shared" si="2"/>
        <v>5</v>
      </c>
      <c r="Y11" s="2" t="str">
        <f t="shared" si="3"/>
        <v>1</v>
      </c>
      <c r="Z11" s="3" t="str">
        <f t="shared" si="4"/>
        <v>1</v>
      </c>
      <c r="AA11" s="10">
        <v>0</v>
      </c>
      <c r="AB11" s="3">
        <f t="shared" si="12"/>
        <v>3</v>
      </c>
      <c r="AC11" s="10">
        <v>22</v>
      </c>
      <c r="AD11" s="10">
        <v>31</v>
      </c>
      <c r="AE11" s="10">
        <v>0.02</v>
      </c>
      <c r="AF11" s="10">
        <v>30.4</v>
      </c>
      <c r="AG11" s="2">
        <f t="shared" si="5"/>
        <v>1520</v>
      </c>
      <c r="AH11" s="2" t="str">
        <f t="shared" si="6"/>
        <v>3</v>
      </c>
      <c r="AI11" s="3" t="str">
        <f t="shared" si="7"/>
        <v>1</v>
      </c>
      <c r="AJ11" s="3">
        <f t="shared" si="8"/>
        <v>2.6000000000000005</v>
      </c>
      <c r="AK11" s="2">
        <v>1074</v>
      </c>
      <c r="AL11" s="2" t="str">
        <f t="shared" si="9"/>
        <v>1</v>
      </c>
      <c r="AM11" s="10">
        <v>108.8</v>
      </c>
      <c r="AN11" s="10">
        <v>90.303999999999988</v>
      </c>
      <c r="AO11" s="10">
        <v>271.89999999999998</v>
      </c>
      <c r="AP11" s="10">
        <v>300</v>
      </c>
      <c r="AQ11" s="10" t="s">
        <v>61</v>
      </c>
      <c r="AR11" s="10" t="s">
        <v>61</v>
      </c>
      <c r="AS11" s="98">
        <v>110</v>
      </c>
      <c r="AT11" s="2" t="str">
        <f t="shared" si="13"/>
        <v>5</v>
      </c>
      <c r="AU11" s="10">
        <v>1</v>
      </c>
      <c r="AV11" s="10">
        <v>1</v>
      </c>
      <c r="AW11" s="10">
        <v>5</v>
      </c>
      <c r="AX11" s="10" t="s">
        <v>61</v>
      </c>
      <c r="AY11" s="2">
        <v>1</v>
      </c>
      <c r="AZ11" s="10">
        <v>2007</v>
      </c>
      <c r="BA11" s="2">
        <f t="shared" si="10"/>
        <v>18</v>
      </c>
      <c r="BB11" s="2" t="str">
        <f t="shared" si="11"/>
        <v>2</v>
      </c>
      <c r="BC11" s="3">
        <v>1</v>
      </c>
      <c r="BD11" s="7">
        <v>4</v>
      </c>
      <c r="BE11" s="62" t="s">
        <v>978</v>
      </c>
      <c r="BF11" s="62"/>
      <c r="BG11" s="62" t="s">
        <v>980</v>
      </c>
      <c r="BH11" s="10">
        <v>7078</v>
      </c>
      <c r="BI11" s="10" t="s">
        <v>911</v>
      </c>
      <c r="BJ11" s="10" t="s">
        <v>920</v>
      </c>
      <c r="BK11" s="107">
        <v>46243</v>
      </c>
      <c r="BL11" s="10" t="s">
        <v>939</v>
      </c>
      <c r="BM11" s="109">
        <v>77000000</v>
      </c>
      <c r="BN11" s="61" t="s">
        <v>997</v>
      </c>
    </row>
    <row r="12" spans="1:66" ht="64" x14ac:dyDescent="0.2">
      <c r="A12" s="10">
        <v>20700518</v>
      </c>
      <c r="B12" s="10">
        <v>200005</v>
      </c>
      <c r="C12" s="10">
        <v>6500</v>
      </c>
      <c r="D12" s="10" t="s">
        <v>73</v>
      </c>
      <c r="E12" s="10" t="s">
        <v>146</v>
      </c>
      <c r="F12" s="10" t="s">
        <v>147</v>
      </c>
      <c r="G12" s="10" t="s">
        <v>125</v>
      </c>
      <c r="H12" s="10" t="s">
        <v>148</v>
      </c>
      <c r="I12" s="10" t="s">
        <v>65</v>
      </c>
      <c r="J12" s="10" t="s">
        <v>61</v>
      </c>
      <c r="K12" s="10" t="s">
        <v>66</v>
      </c>
      <c r="L12" s="10" t="s">
        <v>76</v>
      </c>
      <c r="M12" s="10" t="s">
        <v>60</v>
      </c>
      <c r="N12" s="10" t="s">
        <v>61</v>
      </c>
      <c r="O12" s="10" t="s">
        <v>130</v>
      </c>
      <c r="P12" s="10">
        <v>3.5</v>
      </c>
      <c r="Q12" s="10">
        <v>8.4</v>
      </c>
      <c r="R12" s="10">
        <v>76</v>
      </c>
      <c r="S12" s="10">
        <v>16.2</v>
      </c>
      <c r="T12" s="2">
        <f t="shared" si="0"/>
        <v>104.10000000000001</v>
      </c>
      <c r="U12" s="10">
        <v>98</v>
      </c>
      <c r="V12" s="10">
        <v>1639</v>
      </c>
      <c r="W12" s="2" t="str">
        <f t="shared" si="1"/>
        <v>1</v>
      </c>
      <c r="X12" s="2" t="str">
        <f t="shared" si="2"/>
        <v>2</v>
      </c>
      <c r="Y12" s="2" t="str">
        <f t="shared" si="3"/>
        <v>2</v>
      </c>
      <c r="Z12" s="3" t="str">
        <f t="shared" si="4"/>
        <v>1</v>
      </c>
      <c r="AA12" s="10">
        <v>1.1000000000000001</v>
      </c>
      <c r="AB12" s="3">
        <f t="shared" si="12"/>
        <v>1.5</v>
      </c>
      <c r="AC12" s="10">
        <v>44</v>
      </c>
      <c r="AD12" s="10">
        <v>12</v>
      </c>
      <c r="AE12" s="10">
        <v>0.02</v>
      </c>
      <c r="AF12" s="10">
        <v>37.4</v>
      </c>
      <c r="AG12" s="2">
        <f t="shared" si="5"/>
        <v>1870</v>
      </c>
      <c r="AH12" s="2" t="str">
        <f t="shared" si="6"/>
        <v>1</v>
      </c>
      <c r="AI12" s="3" t="str">
        <f t="shared" si="7"/>
        <v>1</v>
      </c>
      <c r="AJ12" s="3">
        <f t="shared" si="8"/>
        <v>1</v>
      </c>
      <c r="AK12" s="2">
        <v>154</v>
      </c>
      <c r="AL12" s="2" t="str">
        <f t="shared" si="9"/>
        <v>1</v>
      </c>
      <c r="AM12" s="10">
        <v>66.94</v>
      </c>
      <c r="AN12" s="10">
        <v>26.776</v>
      </c>
      <c r="AO12" s="10">
        <v>167.35</v>
      </c>
      <c r="AP12" s="10">
        <v>66.94</v>
      </c>
      <c r="AQ12" s="10" t="s">
        <v>61</v>
      </c>
      <c r="AR12" s="10" t="s">
        <v>61</v>
      </c>
      <c r="AS12" s="10">
        <v>40</v>
      </c>
      <c r="AT12" s="2" t="str">
        <f t="shared" si="13"/>
        <v>1</v>
      </c>
      <c r="AU12" s="10">
        <v>5</v>
      </c>
      <c r="AV12" s="10">
        <v>1</v>
      </c>
      <c r="AW12" s="10">
        <v>1</v>
      </c>
      <c r="AX12" s="10">
        <v>1</v>
      </c>
      <c r="AY12" s="2">
        <v>1</v>
      </c>
      <c r="AZ12" s="10">
        <v>1997</v>
      </c>
      <c r="BA12" s="2">
        <f t="shared" si="10"/>
        <v>28</v>
      </c>
      <c r="BB12" s="2" t="str">
        <f t="shared" si="11"/>
        <v>4</v>
      </c>
      <c r="BC12" s="3">
        <v>1</v>
      </c>
      <c r="BD12" s="7">
        <f t="shared" ref="BD12:BD48" si="14">(AB12*0.2)+(AJ12*0.23)+(AL12*0.05)+(AT12*0.1)+(AY12*0.18)+(BB12*0.05)+(BC12*0.19)</f>
        <v>1.25</v>
      </c>
      <c r="BE12" s="62" t="s">
        <v>828</v>
      </c>
      <c r="BF12" s="62"/>
      <c r="BG12" s="62"/>
      <c r="BH12" s="10">
        <v>1686</v>
      </c>
      <c r="BI12" s="10"/>
      <c r="BJ12" s="10"/>
      <c r="BK12" s="107">
        <v>46275</v>
      </c>
      <c r="BL12" s="10" t="s">
        <v>955</v>
      </c>
      <c r="BM12" s="10">
        <v>126000000</v>
      </c>
    </row>
    <row r="13" spans="1:66" ht="32" x14ac:dyDescent="0.2">
      <c r="A13" s="10">
        <v>20016671</v>
      </c>
      <c r="B13" s="10" t="s">
        <v>158</v>
      </c>
      <c r="C13" s="10">
        <v>33000</v>
      </c>
      <c r="D13" s="10" t="s">
        <v>152</v>
      </c>
      <c r="E13" s="103" t="s">
        <v>153</v>
      </c>
      <c r="F13" s="10" t="s">
        <v>159</v>
      </c>
      <c r="G13" s="10" t="s">
        <v>70</v>
      </c>
      <c r="H13" s="10" t="s">
        <v>70</v>
      </c>
      <c r="I13" s="10" t="s">
        <v>81</v>
      </c>
      <c r="J13" s="10" t="s">
        <v>143</v>
      </c>
      <c r="K13" s="10" t="s">
        <v>66</v>
      </c>
      <c r="L13" s="10">
        <v>66</v>
      </c>
      <c r="M13" s="10" t="s">
        <v>60</v>
      </c>
      <c r="N13" s="10" t="s">
        <v>61</v>
      </c>
      <c r="O13" s="10" t="s">
        <v>155</v>
      </c>
      <c r="P13" s="10">
        <v>5.9</v>
      </c>
      <c r="Q13" s="10">
        <v>4</v>
      </c>
      <c r="R13" s="10">
        <v>11</v>
      </c>
      <c r="S13" s="10">
        <v>1.9</v>
      </c>
      <c r="T13" s="2">
        <f t="shared" si="0"/>
        <v>22.799999999999997</v>
      </c>
      <c r="U13" s="10">
        <v>252</v>
      </c>
      <c r="V13" s="10">
        <v>5345</v>
      </c>
      <c r="W13" s="2" t="str">
        <f t="shared" si="1"/>
        <v>2</v>
      </c>
      <c r="X13" s="2" t="str">
        <f t="shared" si="2"/>
        <v>4</v>
      </c>
      <c r="Y13" s="2" t="str">
        <f t="shared" si="3"/>
        <v>1</v>
      </c>
      <c r="Z13" s="3" t="str">
        <f t="shared" si="4"/>
        <v>1</v>
      </c>
      <c r="AA13" s="10">
        <v>0</v>
      </c>
      <c r="AB13" s="3">
        <f>(W13+X13+Y13+Z13)/3</f>
        <v>2.6666666666666665</v>
      </c>
      <c r="AC13" s="10">
        <v>19</v>
      </c>
      <c r="AD13" s="10">
        <v>21</v>
      </c>
      <c r="AE13" s="10">
        <v>0.02</v>
      </c>
      <c r="AF13" s="10">
        <v>39</v>
      </c>
      <c r="AG13" s="2">
        <f t="shared" si="5"/>
        <v>1950</v>
      </c>
      <c r="AH13" s="2" t="str">
        <f t="shared" si="6"/>
        <v>4</v>
      </c>
      <c r="AI13" s="3" t="str">
        <f t="shared" si="7"/>
        <v>1</v>
      </c>
      <c r="AJ13" s="3">
        <f t="shared" si="8"/>
        <v>3.4000000000000004</v>
      </c>
      <c r="AK13" s="2">
        <v>3876</v>
      </c>
      <c r="AL13" s="2" t="str">
        <f t="shared" si="9"/>
        <v>3</v>
      </c>
      <c r="AM13" s="10">
        <v>289</v>
      </c>
      <c r="AN13" s="10">
        <v>178.68</v>
      </c>
      <c r="AO13" s="10">
        <v>1381</v>
      </c>
      <c r="AP13" s="10">
        <v>897.41</v>
      </c>
      <c r="AQ13" s="10" t="s">
        <v>61</v>
      </c>
      <c r="AR13" s="10" t="s">
        <v>61</v>
      </c>
      <c r="AS13" s="10">
        <v>75</v>
      </c>
      <c r="AT13" s="2" t="str">
        <f t="shared" si="13"/>
        <v>3</v>
      </c>
      <c r="AU13" s="10">
        <v>5</v>
      </c>
      <c r="AV13" s="10">
        <v>1</v>
      </c>
      <c r="AW13" s="10">
        <v>1</v>
      </c>
      <c r="AX13" s="10" t="s">
        <v>61</v>
      </c>
      <c r="AY13" s="2">
        <v>2</v>
      </c>
      <c r="AZ13" s="10">
        <v>1978</v>
      </c>
      <c r="BA13" s="2">
        <f t="shared" si="10"/>
        <v>47</v>
      </c>
      <c r="BB13" s="2" t="str">
        <f t="shared" si="11"/>
        <v>5</v>
      </c>
      <c r="BC13" s="3">
        <v>1</v>
      </c>
      <c r="BD13" s="7">
        <f t="shared" si="14"/>
        <v>2.5653333333333337</v>
      </c>
      <c r="BE13" s="62" t="s">
        <v>844</v>
      </c>
      <c r="BF13" s="62" t="s">
        <v>892</v>
      </c>
      <c r="BG13" s="62"/>
      <c r="BH13" s="10">
        <v>7003</v>
      </c>
      <c r="BI13" s="10" t="s">
        <v>910</v>
      </c>
      <c r="BJ13" s="10" t="s">
        <v>925</v>
      </c>
      <c r="BK13" s="108">
        <v>46179</v>
      </c>
      <c r="BL13" s="10" t="s">
        <v>934</v>
      </c>
      <c r="BM13" s="109">
        <v>195000000</v>
      </c>
      <c r="BN13" s="61" t="s">
        <v>998</v>
      </c>
    </row>
    <row r="14" spans="1:66" x14ac:dyDescent="0.2">
      <c r="A14" s="10">
        <v>20016671</v>
      </c>
      <c r="B14" s="10" t="s">
        <v>151</v>
      </c>
      <c r="C14" s="10">
        <v>33000</v>
      </c>
      <c r="D14" s="10" t="s">
        <v>152</v>
      </c>
      <c r="E14" s="12" t="s">
        <v>153</v>
      </c>
      <c r="F14" s="10" t="s">
        <v>154</v>
      </c>
      <c r="G14" s="10" t="s">
        <v>70</v>
      </c>
      <c r="H14" s="10" t="s">
        <v>70</v>
      </c>
      <c r="I14" s="10" t="s">
        <v>81</v>
      </c>
      <c r="J14" s="10" t="s">
        <v>143</v>
      </c>
      <c r="K14" s="10" t="s">
        <v>66</v>
      </c>
      <c r="L14" s="10">
        <v>66</v>
      </c>
      <c r="M14" s="10" t="s">
        <v>60</v>
      </c>
      <c r="N14" s="10" t="s">
        <v>61</v>
      </c>
      <c r="O14" s="10" t="s">
        <v>155</v>
      </c>
      <c r="P14" s="10">
        <v>9.4</v>
      </c>
      <c r="Q14" s="10">
        <v>22</v>
      </c>
      <c r="R14" s="10">
        <v>52</v>
      </c>
      <c r="S14" s="10">
        <v>8.5</v>
      </c>
      <c r="T14" s="2">
        <f t="shared" si="0"/>
        <v>91.9</v>
      </c>
      <c r="U14" s="10">
        <v>218</v>
      </c>
      <c r="V14" s="10">
        <v>5612</v>
      </c>
      <c r="W14" s="2" t="str">
        <f t="shared" si="1"/>
        <v>2</v>
      </c>
      <c r="X14" s="2" t="str">
        <f t="shared" si="2"/>
        <v>4</v>
      </c>
      <c r="Y14" s="2" t="str">
        <f t="shared" si="3"/>
        <v>1</v>
      </c>
      <c r="Z14" s="3" t="str">
        <f t="shared" si="4"/>
        <v>1</v>
      </c>
      <c r="AA14" s="10">
        <v>0.4</v>
      </c>
      <c r="AB14" s="3">
        <f>(W14+X14+Y14+Z14)/3</f>
        <v>2.6666666666666665</v>
      </c>
      <c r="AC14" s="10">
        <v>18</v>
      </c>
      <c r="AD14" s="10">
        <v>29</v>
      </c>
      <c r="AE14" s="10">
        <v>0.02</v>
      </c>
      <c r="AF14" s="10">
        <v>37.700000000000003</v>
      </c>
      <c r="AG14" s="2">
        <f t="shared" si="5"/>
        <v>1885</v>
      </c>
      <c r="AH14" s="2" t="str">
        <f t="shared" si="6"/>
        <v>4</v>
      </c>
      <c r="AI14" s="3" t="str">
        <f t="shared" si="7"/>
        <v>1</v>
      </c>
      <c r="AJ14" s="3">
        <f t="shared" si="8"/>
        <v>3.4000000000000004</v>
      </c>
      <c r="AK14" s="2">
        <v>3876</v>
      </c>
      <c r="AL14" s="2" t="str">
        <f t="shared" si="9"/>
        <v>3</v>
      </c>
      <c r="AM14" s="10">
        <v>289</v>
      </c>
      <c r="AN14" s="10">
        <v>181.41</v>
      </c>
      <c r="AO14" s="10">
        <v>1381</v>
      </c>
      <c r="AP14" s="10">
        <v>911.12</v>
      </c>
      <c r="AQ14" s="10" t="s">
        <v>61</v>
      </c>
      <c r="AR14" s="10" t="s">
        <v>61</v>
      </c>
      <c r="AS14" s="10">
        <v>76</v>
      </c>
      <c r="AT14" s="2" t="str">
        <f t="shared" si="13"/>
        <v>4</v>
      </c>
      <c r="AU14" s="10">
        <v>5</v>
      </c>
      <c r="AV14" s="10">
        <v>1</v>
      </c>
      <c r="AW14" s="10">
        <v>1</v>
      </c>
      <c r="AX14" s="10" t="s">
        <v>61</v>
      </c>
      <c r="AY14" s="2">
        <v>2</v>
      </c>
      <c r="AZ14" s="10">
        <v>1978</v>
      </c>
      <c r="BA14" s="2">
        <f t="shared" si="10"/>
        <v>47</v>
      </c>
      <c r="BB14" s="2" t="str">
        <f t="shared" si="11"/>
        <v>5</v>
      </c>
      <c r="BC14" s="3">
        <v>1</v>
      </c>
      <c r="BD14" s="7">
        <f t="shared" si="14"/>
        <v>2.6653333333333333</v>
      </c>
      <c r="BE14" s="10" t="s">
        <v>821</v>
      </c>
      <c r="BF14" s="62"/>
      <c r="BG14" s="62"/>
      <c r="BH14" s="10">
        <v>5790</v>
      </c>
      <c r="BI14" s="10" t="s">
        <v>910</v>
      </c>
      <c r="BJ14" s="10" t="s">
        <v>925</v>
      </c>
      <c r="BK14" s="108">
        <v>46180</v>
      </c>
      <c r="BL14" s="10" t="s">
        <v>934</v>
      </c>
      <c r="BM14" s="109">
        <v>195000000</v>
      </c>
      <c r="BN14" s="61" t="s">
        <v>997</v>
      </c>
    </row>
    <row r="15" spans="1:66" ht="64" x14ac:dyDescent="0.2">
      <c r="A15" s="10">
        <v>20700518</v>
      </c>
      <c r="B15" s="10">
        <v>288860</v>
      </c>
      <c r="C15" s="10">
        <v>3000</v>
      </c>
      <c r="D15" s="10" t="s">
        <v>73</v>
      </c>
      <c r="E15" s="10" t="s">
        <v>160</v>
      </c>
      <c r="F15" s="10" t="s">
        <v>161</v>
      </c>
      <c r="G15" s="10" t="s">
        <v>125</v>
      </c>
      <c r="H15" s="10" t="s">
        <v>126</v>
      </c>
      <c r="I15" s="10" t="s">
        <v>65</v>
      </c>
      <c r="J15" s="10" t="s">
        <v>61</v>
      </c>
      <c r="K15" s="10" t="s">
        <v>66</v>
      </c>
      <c r="L15" s="10" t="s">
        <v>76</v>
      </c>
      <c r="M15" s="10" t="s">
        <v>60</v>
      </c>
      <c r="N15" s="10" t="s">
        <v>61</v>
      </c>
      <c r="O15" s="10" t="s">
        <v>130</v>
      </c>
      <c r="P15" s="10">
        <v>10.9</v>
      </c>
      <c r="Q15" s="10">
        <v>3.7</v>
      </c>
      <c r="R15" s="10">
        <v>75</v>
      </c>
      <c r="S15" s="10">
        <v>0.5</v>
      </c>
      <c r="T15" s="10">
        <f t="shared" si="0"/>
        <v>90.1</v>
      </c>
      <c r="U15" s="10">
        <v>540</v>
      </c>
      <c r="V15" s="10">
        <v>2881</v>
      </c>
      <c r="W15" s="10" t="str">
        <f t="shared" si="1"/>
        <v>3</v>
      </c>
      <c r="X15" s="10" t="str">
        <f t="shared" si="2"/>
        <v>2</v>
      </c>
      <c r="Y15" s="10" t="str">
        <f t="shared" si="3"/>
        <v>1</v>
      </c>
      <c r="Z15" s="10" t="str">
        <f t="shared" si="4"/>
        <v>1</v>
      </c>
      <c r="AA15" s="10">
        <v>0</v>
      </c>
      <c r="AB15" s="10">
        <f t="shared" si="12"/>
        <v>1.75</v>
      </c>
      <c r="AC15" s="10">
        <v>33</v>
      </c>
      <c r="AD15" s="10">
        <v>16</v>
      </c>
      <c r="AE15" s="10">
        <v>0.02</v>
      </c>
      <c r="AF15" s="10">
        <v>32.299999999999997</v>
      </c>
      <c r="AG15" s="10">
        <f t="shared" si="5"/>
        <v>1614.9999999999998</v>
      </c>
      <c r="AH15" s="10" t="str">
        <f t="shared" si="6"/>
        <v>2</v>
      </c>
      <c r="AI15" s="10" t="str">
        <f t="shared" si="7"/>
        <v>1</v>
      </c>
      <c r="AJ15" s="10">
        <f t="shared" si="8"/>
        <v>1.8</v>
      </c>
      <c r="AK15" s="10">
        <v>48</v>
      </c>
      <c r="AL15" s="10" t="str">
        <f t="shared" si="9"/>
        <v>1</v>
      </c>
      <c r="AM15" s="10">
        <v>50.2</v>
      </c>
      <c r="AN15" s="10">
        <v>22.088000000000001</v>
      </c>
      <c r="AO15" s="10">
        <v>125.5</v>
      </c>
      <c r="AP15" s="10">
        <v>55.22</v>
      </c>
      <c r="AQ15" s="10" t="s">
        <v>61</v>
      </c>
      <c r="AR15" s="10" t="s">
        <v>61</v>
      </c>
      <c r="AS15" s="10">
        <v>44</v>
      </c>
      <c r="AT15" s="10" t="str">
        <f t="shared" si="13"/>
        <v>1</v>
      </c>
      <c r="AU15" s="55">
        <v>1</v>
      </c>
      <c r="AV15" s="55">
        <v>1</v>
      </c>
      <c r="AW15" s="55">
        <v>1</v>
      </c>
      <c r="AX15" s="55" t="s">
        <v>61</v>
      </c>
      <c r="AY15" s="2">
        <v>1</v>
      </c>
      <c r="AZ15" s="55">
        <v>2008</v>
      </c>
      <c r="BA15" s="57">
        <f t="shared" si="10"/>
        <v>17</v>
      </c>
      <c r="BB15" s="9" t="str">
        <f t="shared" si="11"/>
        <v>2</v>
      </c>
      <c r="BC15" s="37">
        <v>1</v>
      </c>
      <c r="BD15" s="7">
        <f t="shared" si="14"/>
        <v>1.3840000000000001</v>
      </c>
      <c r="BE15" s="62" t="s">
        <v>828</v>
      </c>
      <c r="BF15" s="106"/>
      <c r="BG15" s="62"/>
      <c r="BH15" s="10">
        <v>2509</v>
      </c>
      <c r="BI15" s="10"/>
      <c r="BJ15" s="10"/>
      <c r="BK15" s="2" t="s">
        <v>961</v>
      </c>
      <c r="BL15" s="2" t="s">
        <v>936</v>
      </c>
      <c r="BM15" s="10"/>
    </row>
    <row r="16" spans="1:66" ht="16" x14ac:dyDescent="0.2">
      <c r="A16" s="10">
        <v>20026667</v>
      </c>
      <c r="B16" s="10">
        <v>1056109597</v>
      </c>
      <c r="C16" s="10">
        <v>14000</v>
      </c>
      <c r="D16" s="10" t="s">
        <v>73</v>
      </c>
      <c r="E16" s="12" t="s">
        <v>162</v>
      </c>
      <c r="F16" s="101" t="s">
        <v>163</v>
      </c>
      <c r="G16" s="10" t="s">
        <v>58</v>
      </c>
      <c r="H16" s="10" t="s">
        <v>59</v>
      </c>
      <c r="I16" s="10" t="s">
        <v>81</v>
      </c>
      <c r="J16" s="10" t="s">
        <v>82</v>
      </c>
      <c r="K16" s="10" t="s">
        <v>48</v>
      </c>
      <c r="L16" s="10" t="s">
        <v>76</v>
      </c>
      <c r="M16" s="10" t="s">
        <v>60</v>
      </c>
      <c r="N16" s="10" t="s">
        <v>61</v>
      </c>
      <c r="O16" s="10" t="s">
        <v>164</v>
      </c>
      <c r="P16" s="10">
        <v>4</v>
      </c>
      <c r="Q16" s="10">
        <v>23</v>
      </c>
      <c r="R16" s="10">
        <v>6.7</v>
      </c>
      <c r="S16" s="10">
        <v>3.2</v>
      </c>
      <c r="T16" s="2">
        <f t="shared" si="0"/>
        <v>36.900000000000006</v>
      </c>
      <c r="U16" s="10">
        <v>1766</v>
      </c>
      <c r="V16" s="10">
        <v>7850</v>
      </c>
      <c r="W16" s="2" t="str">
        <f t="shared" si="1"/>
        <v>5</v>
      </c>
      <c r="X16" s="2" t="str">
        <f t="shared" si="2"/>
        <v>5</v>
      </c>
      <c r="Y16" s="2" t="str">
        <f t="shared" si="3"/>
        <v>1</v>
      </c>
      <c r="Z16" s="3" t="str">
        <f t="shared" si="4"/>
        <v>1</v>
      </c>
      <c r="AA16" s="10">
        <v>0</v>
      </c>
      <c r="AB16" s="3">
        <f t="shared" si="12"/>
        <v>3</v>
      </c>
      <c r="AC16" s="10">
        <v>59</v>
      </c>
      <c r="AD16" s="10">
        <v>8</v>
      </c>
      <c r="AE16" s="10">
        <v>0.02</v>
      </c>
      <c r="AF16" s="10">
        <v>43.2</v>
      </c>
      <c r="AG16" s="2">
        <f t="shared" si="5"/>
        <v>2160</v>
      </c>
      <c r="AH16" s="2" t="str">
        <f t="shared" si="6"/>
        <v>1</v>
      </c>
      <c r="AI16" s="3" t="str">
        <f t="shared" si="7"/>
        <v>1</v>
      </c>
      <c r="AJ16" s="3">
        <f t="shared" si="8"/>
        <v>1</v>
      </c>
      <c r="AK16" s="2">
        <v>18</v>
      </c>
      <c r="AL16" s="2" t="str">
        <f t="shared" si="9"/>
        <v>1</v>
      </c>
      <c r="AM16" s="10">
        <v>234.29</v>
      </c>
      <c r="AN16" s="10">
        <v>215.54679999999999</v>
      </c>
      <c r="AO16" s="10">
        <v>585.72</v>
      </c>
      <c r="AP16" s="10">
        <v>538.86240000000009</v>
      </c>
      <c r="AQ16" s="10" t="s">
        <v>61</v>
      </c>
      <c r="AR16" s="10" t="s">
        <v>61</v>
      </c>
      <c r="AS16" s="10">
        <v>92</v>
      </c>
      <c r="AT16" s="2" t="str">
        <f t="shared" si="13"/>
        <v>4</v>
      </c>
      <c r="AU16" s="10">
        <v>1</v>
      </c>
      <c r="AV16" s="10">
        <v>1</v>
      </c>
      <c r="AW16" s="10">
        <v>1</v>
      </c>
      <c r="AX16" s="10">
        <v>1</v>
      </c>
      <c r="AY16" s="2">
        <v>1</v>
      </c>
      <c r="AZ16" s="10">
        <v>2020</v>
      </c>
      <c r="BA16" s="2">
        <f t="shared" si="10"/>
        <v>5</v>
      </c>
      <c r="BB16" s="2" t="str">
        <f t="shared" si="11"/>
        <v>1</v>
      </c>
      <c r="BC16" s="3">
        <v>1</v>
      </c>
      <c r="BD16" s="7">
        <f t="shared" si="14"/>
        <v>1.7000000000000002</v>
      </c>
      <c r="BE16" s="62" t="s">
        <v>815</v>
      </c>
      <c r="BF16" s="62"/>
      <c r="BG16" s="62" t="s">
        <v>857</v>
      </c>
      <c r="BH16" s="10">
        <v>13298</v>
      </c>
      <c r="BI16" s="10"/>
      <c r="BJ16" s="10"/>
      <c r="BK16" s="10" t="s">
        <v>966</v>
      </c>
      <c r="BL16" s="10" t="s">
        <v>949</v>
      </c>
      <c r="BM16" s="10"/>
      <c r="BN16" s="61" t="s">
        <v>997</v>
      </c>
    </row>
    <row r="17" spans="1:66" ht="80" x14ac:dyDescent="0.2">
      <c r="A17" s="10">
        <v>20016679</v>
      </c>
      <c r="B17" s="10" t="s">
        <v>427</v>
      </c>
      <c r="C17" s="10">
        <v>33000</v>
      </c>
      <c r="D17" s="10" t="s">
        <v>152</v>
      </c>
      <c r="E17" s="10" t="s">
        <v>167</v>
      </c>
      <c r="F17" s="10" t="s">
        <v>176</v>
      </c>
      <c r="G17" s="10" t="s">
        <v>70</v>
      </c>
      <c r="H17" s="10" t="s">
        <v>70</v>
      </c>
      <c r="I17" s="10" t="s">
        <v>81</v>
      </c>
      <c r="J17" s="10" t="s">
        <v>82</v>
      </c>
      <c r="K17" s="10" t="s">
        <v>66</v>
      </c>
      <c r="L17" s="10">
        <v>66</v>
      </c>
      <c r="M17" s="10" t="s">
        <v>60</v>
      </c>
      <c r="N17" s="10" t="s">
        <v>61</v>
      </c>
      <c r="O17" s="10" t="s">
        <v>177</v>
      </c>
      <c r="P17" s="10">
        <v>3.5</v>
      </c>
      <c r="Q17" s="10">
        <v>2.8</v>
      </c>
      <c r="R17" s="10">
        <v>12.3</v>
      </c>
      <c r="S17" s="10">
        <v>0.7</v>
      </c>
      <c r="T17" s="2">
        <f t="shared" si="0"/>
        <v>19.3</v>
      </c>
      <c r="U17" s="10">
        <v>200</v>
      </c>
      <c r="V17" s="10">
        <v>1864</v>
      </c>
      <c r="W17" s="2" t="str">
        <f t="shared" si="1"/>
        <v>2</v>
      </c>
      <c r="X17" s="2" t="str">
        <f t="shared" si="2"/>
        <v>2</v>
      </c>
      <c r="Y17" s="2" t="str">
        <f t="shared" si="3"/>
        <v>1</v>
      </c>
      <c r="Z17" s="3" t="str">
        <f t="shared" si="4"/>
        <v>2</v>
      </c>
      <c r="AA17" s="10">
        <v>3.7</v>
      </c>
      <c r="AB17" s="3">
        <f t="shared" si="12"/>
        <v>1.75</v>
      </c>
      <c r="AC17" s="10">
        <v>26</v>
      </c>
      <c r="AD17" s="10">
        <v>19</v>
      </c>
      <c r="AE17" s="10">
        <v>0.02</v>
      </c>
      <c r="AF17" s="10">
        <v>32.9</v>
      </c>
      <c r="AG17" s="2">
        <f t="shared" si="5"/>
        <v>1645</v>
      </c>
      <c r="AH17" s="2" t="str">
        <f t="shared" si="6"/>
        <v>2</v>
      </c>
      <c r="AI17" s="3" t="str">
        <f t="shared" si="7"/>
        <v>1</v>
      </c>
      <c r="AJ17" s="3">
        <f t="shared" si="8"/>
        <v>1.8</v>
      </c>
      <c r="AK17" s="2">
        <v>14</v>
      </c>
      <c r="AL17" s="2" t="str">
        <f t="shared" si="9"/>
        <v>1</v>
      </c>
      <c r="AM17" s="10">
        <v>289</v>
      </c>
      <c r="AN17" s="10">
        <v>175</v>
      </c>
      <c r="AO17" s="10">
        <v>1381</v>
      </c>
      <c r="AP17" s="10">
        <v>795.15</v>
      </c>
      <c r="AQ17" s="10" t="s">
        <v>61</v>
      </c>
      <c r="AR17" s="10" t="s">
        <v>61</v>
      </c>
      <c r="AS17" s="10">
        <v>61</v>
      </c>
      <c r="AT17" s="2" t="str">
        <f t="shared" si="13"/>
        <v>2</v>
      </c>
      <c r="AU17" s="10">
        <v>5</v>
      </c>
      <c r="AV17" s="10">
        <v>1</v>
      </c>
      <c r="AW17" s="10">
        <v>5</v>
      </c>
      <c r="AX17" s="10">
        <v>5</v>
      </c>
      <c r="AY17" s="2">
        <v>1</v>
      </c>
      <c r="AZ17" s="10">
        <v>1993</v>
      </c>
      <c r="BA17" s="2">
        <f t="shared" si="10"/>
        <v>32</v>
      </c>
      <c r="BB17" s="2" t="str">
        <f t="shared" si="11"/>
        <v>5</v>
      </c>
      <c r="BC17" s="3">
        <v>1</v>
      </c>
      <c r="BD17" s="7">
        <f t="shared" si="14"/>
        <v>1.6339999999999999</v>
      </c>
      <c r="BE17" s="62" t="s">
        <v>827</v>
      </c>
      <c r="BF17" s="62"/>
      <c r="BG17" s="62" t="s">
        <v>857</v>
      </c>
      <c r="BH17" s="10">
        <v>19027</v>
      </c>
      <c r="BI17" s="10"/>
      <c r="BJ17" s="10"/>
      <c r="BK17" s="10"/>
      <c r="BL17" s="10"/>
      <c r="BM17" s="10"/>
    </row>
    <row r="18" spans="1:66" ht="64" x14ac:dyDescent="0.2">
      <c r="A18" s="10">
        <v>20016679</v>
      </c>
      <c r="B18" s="10">
        <v>1081983130</v>
      </c>
      <c r="C18" s="10">
        <v>40000</v>
      </c>
      <c r="D18" s="10" t="s">
        <v>134</v>
      </c>
      <c r="E18" s="10" t="s">
        <v>167</v>
      </c>
      <c r="F18" s="10" t="s">
        <v>173</v>
      </c>
      <c r="G18" s="10" t="s">
        <v>70</v>
      </c>
      <c r="H18" s="10" t="s">
        <v>70</v>
      </c>
      <c r="I18" s="10" t="s">
        <v>81</v>
      </c>
      <c r="J18" s="10" t="s">
        <v>82</v>
      </c>
      <c r="K18" s="10" t="s">
        <v>48</v>
      </c>
      <c r="L18" s="10">
        <v>66</v>
      </c>
      <c r="M18" s="10" t="s">
        <v>60</v>
      </c>
      <c r="N18" s="10" t="s">
        <v>61</v>
      </c>
      <c r="O18" s="10" t="s">
        <v>155</v>
      </c>
      <c r="P18" s="10">
        <v>25</v>
      </c>
      <c r="Q18" s="10">
        <v>5.2</v>
      </c>
      <c r="R18" s="10">
        <v>0.8</v>
      </c>
      <c r="S18" s="10">
        <v>0.4</v>
      </c>
      <c r="T18" s="2">
        <f t="shared" si="0"/>
        <v>31.4</v>
      </c>
      <c r="U18" s="10">
        <v>645</v>
      </c>
      <c r="V18" s="10">
        <v>1569</v>
      </c>
      <c r="W18" s="2" t="str">
        <f t="shared" si="1"/>
        <v>4</v>
      </c>
      <c r="X18" s="2" t="str">
        <f t="shared" si="2"/>
        <v>2</v>
      </c>
      <c r="Y18" s="2" t="str">
        <f t="shared" si="3"/>
        <v>1</v>
      </c>
      <c r="Z18" s="3" t="str">
        <f t="shared" si="4"/>
        <v>1</v>
      </c>
      <c r="AA18" s="10">
        <v>0</v>
      </c>
      <c r="AB18" s="3">
        <f t="shared" si="12"/>
        <v>2</v>
      </c>
      <c r="AC18" s="10">
        <v>52</v>
      </c>
      <c r="AD18" s="10">
        <v>6</v>
      </c>
      <c r="AE18" s="10">
        <v>0.02</v>
      </c>
      <c r="AF18" s="10">
        <v>43.9</v>
      </c>
      <c r="AG18" s="2">
        <f t="shared" si="5"/>
        <v>2195</v>
      </c>
      <c r="AH18" s="2" t="str">
        <f t="shared" si="6"/>
        <v>1</v>
      </c>
      <c r="AI18" s="3" t="str">
        <f t="shared" si="7"/>
        <v>1</v>
      </c>
      <c r="AJ18" s="3">
        <f t="shared" si="8"/>
        <v>1</v>
      </c>
      <c r="AK18" s="2">
        <v>14</v>
      </c>
      <c r="AL18" s="2" t="str">
        <f t="shared" si="9"/>
        <v>1</v>
      </c>
      <c r="AM18" s="10">
        <v>289</v>
      </c>
      <c r="AN18" s="10">
        <v>234.09</v>
      </c>
      <c r="AO18" s="10">
        <v>1381</v>
      </c>
      <c r="AP18" s="10">
        <v>1118.6100000000001</v>
      </c>
      <c r="AQ18" s="10" t="s">
        <v>61</v>
      </c>
      <c r="AR18" s="10" t="s">
        <v>61</v>
      </c>
      <c r="AS18" s="10">
        <v>60</v>
      </c>
      <c r="AT18" s="2" t="str">
        <f t="shared" si="13"/>
        <v>2</v>
      </c>
      <c r="AU18" s="10">
        <v>1</v>
      </c>
      <c r="AV18" s="10">
        <v>1</v>
      </c>
      <c r="AW18" s="10">
        <v>1</v>
      </c>
      <c r="AX18" s="10" t="s">
        <v>61</v>
      </c>
      <c r="AY18" s="2">
        <v>1</v>
      </c>
      <c r="AZ18" s="10">
        <v>2023</v>
      </c>
      <c r="BA18" s="2">
        <f t="shared" si="10"/>
        <v>2</v>
      </c>
      <c r="BB18" s="2" t="str">
        <f t="shared" si="11"/>
        <v>1</v>
      </c>
      <c r="BC18" s="3">
        <v>1</v>
      </c>
      <c r="BD18" s="7">
        <f t="shared" si="14"/>
        <v>1.3</v>
      </c>
      <c r="BE18" s="62" t="s">
        <v>828</v>
      </c>
      <c r="BF18" s="62"/>
      <c r="BG18" s="62"/>
      <c r="BH18" s="10">
        <v>20843</v>
      </c>
      <c r="BI18" s="10"/>
      <c r="BJ18" s="10"/>
      <c r="BK18" s="10"/>
      <c r="BL18" s="10"/>
      <c r="BM18" s="10"/>
    </row>
    <row r="19" spans="1:66" ht="80" x14ac:dyDescent="0.2">
      <c r="A19" s="10">
        <v>20016679</v>
      </c>
      <c r="B19" s="10" t="s">
        <v>170</v>
      </c>
      <c r="C19" s="10">
        <v>30000</v>
      </c>
      <c r="D19" s="10" t="s">
        <v>152</v>
      </c>
      <c r="E19" s="10" t="s">
        <v>167</v>
      </c>
      <c r="F19" s="101" t="s">
        <v>171</v>
      </c>
      <c r="G19" s="10" t="s">
        <v>70</v>
      </c>
      <c r="H19" s="10" t="s">
        <v>70</v>
      </c>
      <c r="I19" s="10" t="s">
        <v>81</v>
      </c>
      <c r="J19" s="10" t="s">
        <v>82</v>
      </c>
      <c r="K19" s="10" t="s">
        <v>48</v>
      </c>
      <c r="L19" s="10">
        <v>66</v>
      </c>
      <c r="M19" s="10" t="s">
        <v>60</v>
      </c>
      <c r="N19" s="10" t="s">
        <v>61</v>
      </c>
      <c r="O19" s="10" t="s">
        <v>172</v>
      </c>
      <c r="P19" s="10">
        <v>3</v>
      </c>
      <c r="Q19" s="10">
        <v>55</v>
      </c>
      <c r="R19" s="10">
        <v>2.8</v>
      </c>
      <c r="S19" s="10">
        <v>5.6</v>
      </c>
      <c r="T19" s="2">
        <f t="shared" si="0"/>
        <v>66.399999999999991</v>
      </c>
      <c r="U19" s="10">
        <v>725</v>
      </c>
      <c r="V19" s="10">
        <v>9328</v>
      </c>
      <c r="W19" s="2" t="str">
        <f t="shared" si="1"/>
        <v>4</v>
      </c>
      <c r="X19" s="2" t="str">
        <f t="shared" si="2"/>
        <v>5</v>
      </c>
      <c r="Y19" s="2" t="str">
        <f t="shared" si="3"/>
        <v>1</v>
      </c>
      <c r="Z19" s="3" t="str">
        <f t="shared" si="4"/>
        <v>1</v>
      </c>
      <c r="AA19" s="10">
        <v>0</v>
      </c>
      <c r="AB19" s="3">
        <f t="shared" si="12"/>
        <v>2.75</v>
      </c>
      <c r="AC19" s="10">
        <v>45</v>
      </c>
      <c r="AD19" s="10">
        <v>10</v>
      </c>
      <c r="AE19" s="10">
        <v>0.02</v>
      </c>
      <c r="AF19" s="10">
        <v>39.4</v>
      </c>
      <c r="AG19" s="2">
        <f t="shared" si="5"/>
        <v>1970</v>
      </c>
      <c r="AH19" s="2" t="str">
        <f t="shared" si="6"/>
        <v>1</v>
      </c>
      <c r="AI19" s="3" t="str">
        <f t="shared" si="7"/>
        <v>1</v>
      </c>
      <c r="AJ19" s="3">
        <f t="shared" si="8"/>
        <v>1</v>
      </c>
      <c r="AK19" s="2">
        <v>28</v>
      </c>
      <c r="AL19" s="2" t="str">
        <f t="shared" si="9"/>
        <v>1</v>
      </c>
      <c r="AM19" s="10">
        <v>262.39999999999998</v>
      </c>
      <c r="AN19" s="10">
        <v>199.42399999999998</v>
      </c>
      <c r="AO19" s="10">
        <v>1255.0999999999999</v>
      </c>
      <c r="AP19" s="10">
        <v>953.87599999999998</v>
      </c>
      <c r="AQ19" s="10" t="s">
        <v>61</v>
      </c>
      <c r="AR19" s="10" t="s">
        <v>61</v>
      </c>
      <c r="AS19" s="10">
        <v>76</v>
      </c>
      <c r="AT19" s="2" t="str">
        <f t="shared" si="13"/>
        <v>4</v>
      </c>
      <c r="AU19" s="10">
        <v>1</v>
      </c>
      <c r="AV19" s="10">
        <v>5</v>
      </c>
      <c r="AW19" s="10">
        <v>1</v>
      </c>
      <c r="AX19" s="10">
        <v>1</v>
      </c>
      <c r="AY19" s="2">
        <v>1</v>
      </c>
      <c r="AZ19" s="10">
        <v>2011</v>
      </c>
      <c r="BA19" s="2">
        <f t="shared" si="10"/>
        <v>14</v>
      </c>
      <c r="BB19" s="2" t="str">
        <f t="shared" si="11"/>
        <v>2</v>
      </c>
      <c r="BC19" s="3">
        <v>1</v>
      </c>
      <c r="BD19" s="7">
        <f t="shared" si="14"/>
        <v>1.7</v>
      </c>
      <c r="BE19" s="62" t="s">
        <v>827</v>
      </c>
      <c r="BF19" s="62"/>
      <c r="BG19" s="62" t="s">
        <v>858</v>
      </c>
      <c r="BH19" s="10">
        <v>13796</v>
      </c>
      <c r="BI19" s="10"/>
      <c r="BJ19" s="10"/>
      <c r="BK19" s="10"/>
      <c r="BL19" s="10"/>
      <c r="BM19" s="10"/>
      <c r="BN19" s="61" t="s">
        <v>997</v>
      </c>
    </row>
    <row r="20" spans="1:66" ht="64" x14ac:dyDescent="0.2">
      <c r="A20" s="10">
        <v>20016679</v>
      </c>
      <c r="B20" s="10" t="s">
        <v>166</v>
      </c>
      <c r="C20" s="10">
        <v>150000</v>
      </c>
      <c r="D20" s="10" t="s">
        <v>134</v>
      </c>
      <c r="E20" s="10" t="s">
        <v>167</v>
      </c>
      <c r="F20" s="10" t="s">
        <v>999</v>
      </c>
      <c r="G20" s="10" t="s">
        <v>70</v>
      </c>
      <c r="H20" s="10" t="s">
        <v>70</v>
      </c>
      <c r="I20" s="10" t="s">
        <v>81</v>
      </c>
      <c r="J20" s="10" t="s">
        <v>82</v>
      </c>
      <c r="K20" s="10" t="s">
        <v>48</v>
      </c>
      <c r="L20" s="10">
        <v>220</v>
      </c>
      <c r="M20" s="10" t="s">
        <v>60</v>
      </c>
      <c r="N20" s="10" t="s">
        <v>61</v>
      </c>
      <c r="O20" s="10" t="s">
        <v>169</v>
      </c>
      <c r="P20" s="10">
        <v>29</v>
      </c>
      <c r="Q20" s="10">
        <v>14.6</v>
      </c>
      <c r="R20" s="10">
        <v>2.8</v>
      </c>
      <c r="S20" s="10">
        <v>1.9</v>
      </c>
      <c r="T20" s="2">
        <f t="shared" si="0"/>
        <v>48.3</v>
      </c>
      <c r="U20" s="10">
        <v>259</v>
      </c>
      <c r="V20" s="10">
        <v>1917</v>
      </c>
      <c r="W20" s="2" t="str">
        <f t="shared" si="1"/>
        <v>2</v>
      </c>
      <c r="X20" s="2" t="str">
        <f t="shared" si="2"/>
        <v>2</v>
      </c>
      <c r="Y20" s="2" t="str">
        <f t="shared" si="3"/>
        <v>1</v>
      </c>
      <c r="Z20" s="3" t="str">
        <f t="shared" si="4"/>
        <v>1</v>
      </c>
      <c r="AA20" s="10">
        <v>0</v>
      </c>
      <c r="AB20" s="3">
        <f t="shared" si="12"/>
        <v>1.5</v>
      </c>
      <c r="AC20" s="10">
        <v>60</v>
      </c>
      <c r="AD20" s="10">
        <v>8</v>
      </c>
      <c r="AE20" s="10">
        <v>0.02</v>
      </c>
      <c r="AF20" s="10">
        <v>42.3</v>
      </c>
      <c r="AG20" s="2">
        <f t="shared" si="5"/>
        <v>2115</v>
      </c>
      <c r="AH20" s="2" t="str">
        <f t="shared" si="6"/>
        <v>1</v>
      </c>
      <c r="AI20" s="3" t="str">
        <f t="shared" si="7"/>
        <v>1</v>
      </c>
      <c r="AJ20" s="3">
        <f t="shared" si="8"/>
        <v>1</v>
      </c>
      <c r="AK20" s="2">
        <v>19</v>
      </c>
      <c r="AL20" s="2" t="str">
        <f t="shared" si="9"/>
        <v>1</v>
      </c>
      <c r="AM20" s="10">
        <v>397.6</v>
      </c>
      <c r="AN20" s="10">
        <v>178.92000000000002</v>
      </c>
      <c r="AO20" s="10">
        <v>787.3</v>
      </c>
      <c r="AP20" s="10">
        <v>354.28499999999997</v>
      </c>
      <c r="AQ20" s="10">
        <v>1312.2</v>
      </c>
      <c r="AR20" s="10" t="s">
        <v>61</v>
      </c>
      <c r="AS20" s="10">
        <v>45</v>
      </c>
      <c r="AT20" s="2" t="str">
        <f t="shared" si="13"/>
        <v>1</v>
      </c>
      <c r="AU20" s="10">
        <v>1</v>
      </c>
      <c r="AV20" s="10">
        <v>1</v>
      </c>
      <c r="AW20" s="10">
        <v>1</v>
      </c>
      <c r="AX20" s="10">
        <v>1</v>
      </c>
      <c r="AY20" s="2">
        <v>1</v>
      </c>
      <c r="AZ20" s="10">
        <v>2010</v>
      </c>
      <c r="BA20" s="2">
        <f t="shared" si="10"/>
        <v>15</v>
      </c>
      <c r="BB20" s="2" t="str">
        <f t="shared" si="11"/>
        <v>2</v>
      </c>
      <c r="BC20" s="3">
        <v>1</v>
      </c>
      <c r="BD20" s="7">
        <f t="shared" si="14"/>
        <v>1.1500000000000001</v>
      </c>
      <c r="BE20" s="62" t="s">
        <v>828</v>
      </c>
      <c r="BF20" s="62"/>
      <c r="BG20" s="62" t="s">
        <v>859</v>
      </c>
      <c r="BH20" s="10">
        <v>1</v>
      </c>
      <c r="BI20" s="10"/>
      <c r="BJ20" s="10"/>
      <c r="BK20" s="10"/>
      <c r="BL20" s="10"/>
      <c r="BM20" s="10"/>
    </row>
    <row r="21" spans="1:66" ht="96" x14ac:dyDescent="0.2">
      <c r="A21" s="10">
        <v>20036683</v>
      </c>
      <c r="B21" s="10">
        <v>58982</v>
      </c>
      <c r="C21" s="10">
        <v>60000</v>
      </c>
      <c r="D21" s="10" t="s">
        <v>134</v>
      </c>
      <c r="E21" s="10" t="s">
        <v>179</v>
      </c>
      <c r="F21" s="10" t="s">
        <v>180</v>
      </c>
      <c r="G21" s="10" t="s">
        <v>125</v>
      </c>
      <c r="H21" s="10" t="s">
        <v>148</v>
      </c>
      <c r="I21" s="10" t="s">
        <v>81</v>
      </c>
      <c r="J21" s="10" t="s">
        <v>82</v>
      </c>
      <c r="K21" s="10" t="s">
        <v>48</v>
      </c>
      <c r="L21" s="10">
        <v>110</v>
      </c>
      <c r="M21" s="10" t="s">
        <v>137</v>
      </c>
      <c r="N21" s="10" t="s">
        <v>60</v>
      </c>
      <c r="O21" s="10" t="s">
        <v>138</v>
      </c>
      <c r="P21" s="10">
        <v>33</v>
      </c>
      <c r="Q21" s="10">
        <v>94</v>
      </c>
      <c r="R21" s="10">
        <v>6</v>
      </c>
      <c r="S21" s="10">
        <v>42</v>
      </c>
      <c r="T21" s="2">
        <f t="shared" si="0"/>
        <v>175</v>
      </c>
      <c r="U21" s="10">
        <v>343</v>
      </c>
      <c r="V21" s="10">
        <v>3858</v>
      </c>
      <c r="W21" s="2" t="str">
        <f t="shared" si="1"/>
        <v>3</v>
      </c>
      <c r="X21" s="2" t="str">
        <f t="shared" si="2"/>
        <v>3</v>
      </c>
      <c r="Y21" s="2" t="str">
        <f t="shared" si="3"/>
        <v>2</v>
      </c>
      <c r="Z21" s="3" t="str">
        <f t="shared" si="4"/>
        <v>1</v>
      </c>
      <c r="AA21" s="10">
        <v>0</v>
      </c>
      <c r="AB21" s="3">
        <f t="shared" si="12"/>
        <v>2.25</v>
      </c>
      <c r="AC21" s="10">
        <v>54</v>
      </c>
      <c r="AD21" s="10">
        <v>6</v>
      </c>
      <c r="AE21" s="10">
        <v>0.02</v>
      </c>
      <c r="AF21" s="10">
        <v>38</v>
      </c>
      <c r="AG21" s="2">
        <f t="shared" si="5"/>
        <v>1900</v>
      </c>
      <c r="AH21" s="2" t="str">
        <f t="shared" si="6"/>
        <v>1</v>
      </c>
      <c r="AI21" s="3" t="str">
        <f t="shared" si="7"/>
        <v>1</v>
      </c>
      <c r="AJ21" s="3">
        <f t="shared" si="8"/>
        <v>1</v>
      </c>
      <c r="AK21" s="2">
        <v>19</v>
      </c>
      <c r="AL21" s="2" t="str">
        <f t="shared" si="9"/>
        <v>1</v>
      </c>
      <c r="AM21" s="10">
        <v>314.89999999999998</v>
      </c>
      <c r="AN21" s="10">
        <v>280.26099999999997</v>
      </c>
      <c r="AO21" s="10">
        <v>502.4</v>
      </c>
      <c r="AP21" s="10">
        <v>437.08799999999997</v>
      </c>
      <c r="AQ21" s="10">
        <v>1464.3</v>
      </c>
      <c r="AR21" s="10">
        <v>1010.3669999999998</v>
      </c>
      <c r="AS21" s="10">
        <v>89</v>
      </c>
      <c r="AT21" s="2" t="str">
        <f t="shared" si="13"/>
        <v>4</v>
      </c>
      <c r="AU21" s="10">
        <v>1</v>
      </c>
      <c r="AV21" s="10">
        <v>1</v>
      </c>
      <c r="AW21" s="10">
        <v>1</v>
      </c>
      <c r="AX21" s="10">
        <v>1</v>
      </c>
      <c r="AY21" s="2">
        <v>4</v>
      </c>
      <c r="AZ21" s="10">
        <v>1991</v>
      </c>
      <c r="BA21" s="2">
        <f t="shared" si="10"/>
        <v>34</v>
      </c>
      <c r="BB21" s="2" t="str">
        <f t="shared" si="11"/>
        <v>5</v>
      </c>
      <c r="BC21" s="3">
        <v>1</v>
      </c>
      <c r="BD21" s="7">
        <f t="shared" si="14"/>
        <v>2.29</v>
      </c>
      <c r="BE21" s="8" t="s">
        <v>835</v>
      </c>
      <c r="BF21" s="62" t="s">
        <v>893</v>
      </c>
      <c r="BG21" s="62" t="s">
        <v>860</v>
      </c>
      <c r="BH21" s="10">
        <v>33748</v>
      </c>
      <c r="BI21" s="10" t="s">
        <v>967</v>
      </c>
      <c r="BJ21" s="10"/>
      <c r="BK21" s="107">
        <v>46236</v>
      </c>
      <c r="BL21" s="10" t="s">
        <v>934</v>
      </c>
      <c r="BM21" s="10"/>
    </row>
    <row r="22" spans="1:66" ht="96" x14ac:dyDescent="0.2">
      <c r="A22" s="10">
        <v>20056686</v>
      </c>
      <c r="B22" s="10">
        <v>181656</v>
      </c>
      <c r="C22" s="10">
        <v>5000</v>
      </c>
      <c r="D22" s="10" t="s">
        <v>73</v>
      </c>
      <c r="E22" s="10" t="s">
        <v>182</v>
      </c>
      <c r="F22" s="10" t="s">
        <v>183</v>
      </c>
      <c r="G22" s="10" t="s">
        <v>125</v>
      </c>
      <c r="H22" s="10" t="s">
        <v>126</v>
      </c>
      <c r="I22" s="10" t="s">
        <v>81</v>
      </c>
      <c r="J22" s="10" t="s">
        <v>82</v>
      </c>
      <c r="K22" s="10" t="s">
        <v>66</v>
      </c>
      <c r="L22" s="10" t="s">
        <v>76</v>
      </c>
      <c r="M22" s="10" t="s">
        <v>60</v>
      </c>
      <c r="N22" s="10" t="s">
        <v>61</v>
      </c>
      <c r="O22" s="10" t="s">
        <v>130</v>
      </c>
      <c r="P22" s="10">
        <v>15.5</v>
      </c>
      <c r="Q22" s="10">
        <v>6.2</v>
      </c>
      <c r="R22" s="10">
        <v>1.8</v>
      </c>
      <c r="S22" s="10">
        <v>2.5</v>
      </c>
      <c r="T22" s="2">
        <f t="shared" si="0"/>
        <v>26</v>
      </c>
      <c r="U22" s="10">
        <v>244</v>
      </c>
      <c r="V22" s="10">
        <v>1537</v>
      </c>
      <c r="W22" s="2" t="str">
        <f t="shared" si="1"/>
        <v>2</v>
      </c>
      <c r="X22" s="2" t="str">
        <f t="shared" si="2"/>
        <v>2</v>
      </c>
      <c r="Y22" s="2" t="str">
        <f t="shared" si="3"/>
        <v>1</v>
      </c>
      <c r="Z22" s="3" t="str">
        <f t="shared" si="4"/>
        <v>2</v>
      </c>
      <c r="AA22" s="10">
        <v>3.9</v>
      </c>
      <c r="AB22" s="3">
        <f t="shared" si="12"/>
        <v>1.75</v>
      </c>
      <c r="AC22" s="10">
        <v>29</v>
      </c>
      <c r="AD22" s="10">
        <v>21</v>
      </c>
      <c r="AE22" s="10">
        <v>0.02</v>
      </c>
      <c r="AF22" s="10">
        <v>40.6</v>
      </c>
      <c r="AG22" s="2">
        <f t="shared" si="5"/>
        <v>2030</v>
      </c>
      <c r="AH22" s="2" t="str">
        <f t="shared" si="6"/>
        <v>2</v>
      </c>
      <c r="AI22" s="3" t="str">
        <f t="shared" si="7"/>
        <v>1</v>
      </c>
      <c r="AJ22" s="3">
        <f t="shared" si="8"/>
        <v>1.8</v>
      </c>
      <c r="AK22" s="2">
        <v>173</v>
      </c>
      <c r="AL22" s="2" t="str">
        <f t="shared" si="9"/>
        <v>1</v>
      </c>
      <c r="AM22" s="10">
        <v>84</v>
      </c>
      <c r="AN22" s="10">
        <v>42.335999999999999</v>
      </c>
      <c r="AO22" s="10">
        <v>209</v>
      </c>
      <c r="AP22" s="10">
        <v>105.336</v>
      </c>
      <c r="AQ22" s="10" t="s">
        <v>61</v>
      </c>
      <c r="AR22" s="10" t="s">
        <v>61</v>
      </c>
      <c r="AS22" s="10">
        <v>50.4</v>
      </c>
      <c r="AT22" s="2" t="str">
        <f t="shared" si="13"/>
        <v>1</v>
      </c>
      <c r="AU22" s="10">
        <v>1</v>
      </c>
      <c r="AV22" s="10">
        <v>1</v>
      </c>
      <c r="AW22" s="10">
        <v>1</v>
      </c>
      <c r="AX22" s="10" t="s">
        <v>61</v>
      </c>
      <c r="AY22" s="2">
        <v>3</v>
      </c>
      <c r="AZ22" s="10">
        <v>1993</v>
      </c>
      <c r="BA22" s="2">
        <f t="shared" si="10"/>
        <v>32</v>
      </c>
      <c r="BB22" s="2" t="str">
        <f t="shared" si="11"/>
        <v>5</v>
      </c>
      <c r="BC22" s="3">
        <v>1</v>
      </c>
      <c r="BD22" s="7">
        <f t="shared" si="14"/>
        <v>1.8940000000000001</v>
      </c>
      <c r="BE22" s="8" t="s">
        <v>835</v>
      </c>
      <c r="BF22" s="62" t="s">
        <v>810</v>
      </c>
      <c r="BG22" s="62"/>
      <c r="BH22" s="10">
        <v>5842</v>
      </c>
      <c r="BI22" s="10" t="s">
        <v>967</v>
      </c>
      <c r="BJ22" s="10"/>
      <c r="BK22" s="107">
        <v>46261</v>
      </c>
      <c r="BL22" s="10" t="s">
        <v>937</v>
      </c>
      <c r="BM22" s="10"/>
    </row>
    <row r="23" spans="1:66" ht="32" x14ac:dyDescent="0.2">
      <c r="A23" s="10">
        <v>20017565</v>
      </c>
      <c r="B23" s="10" t="s">
        <v>190</v>
      </c>
      <c r="C23" s="10">
        <v>12000</v>
      </c>
      <c r="D23" s="10" t="s">
        <v>73</v>
      </c>
      <c r="E23" s="10" t="s">
        <v>187</v>
      </c>
      <c r="F23" s="101" t="s">
        <v>191</v>
      </c>
      <c r="G23" s="10" t="s">
        <v>70</v>
      </c>
      <c r="H23" s="10" t="s">
        <v>70</v>
      </c>
      <c r="I23" s="10" t="s">
        <v>81</v>
      </c>
      <c r="J23" s="10" t="s">
        <v>82</v>
      </c>
      <c r="K23" s="10" t="s">
        <v>48</v>
      </c>
      <c r="L23" s="10">
        <v>66</v>
      </c>
      <c r="M23" s="10" t="s">
        <v>137</v>
      </c>
      <c r="N23" s="10" t="s">
        <v>60</v>
      </c>
      <c r="O23" s="10" t="s">
        <v>189</v>
      </c>
      <c r="P23" s="10">
        <v>3.1</v>
      </c>
      <c r="Q23" s="10">
        <v>28</v>
      </c>
      <c r="R23" s="10">
        <v>41</v>
      </c>
      <c r="S23" s="10">
        <v>12.3</v>
      </c>
      <c r="T23" s="2">
        <f t="shared" si="0"/>
        <v>84.399999999999991</v>
      </c>
      <c r="U23" s="10">
        <v>1815</v>
      </c>
      <c r="V23" s="10">
        <v>5720</v>
      </c>
      <c r="W23" s="2" t="str">
        <f t="shared" si="1"/>
        <v>5</v>
      </c>
      <c r="X23" s="2" t="str">
        <f t="shared" si="2"/>
        <v>4</v>
      </c>
      <c r="Y23" s="2" t="str">
        <f t="shared" si="3"/>
        <v>1</v>
      </c>
      <c r="Z23" s="3" t="str">
        <f t="shared" si="4"/>
        <v>1</v>
      </c>
      <c r="AA23" s="10">
        <v>0</v>
      </c>
      <c r="AB23" s="3">
        <f t="shared" si="12"/>
        <v>2.75</v>
      </c>
      <c r="AC23" s="10">
        <v>50</v>
      </c>
      <c r="AD23" s="10">
        <v>11</v>
      </c>
      <c r="AE23" s="10">
        <v>0.02</v>
      </c>
      <c r="AF23" s="10">
        <v>38.6</v>
      </c>
      <c r="AG23" s="2">
        <f t="shared" si="5"/>
        <v>1930</v>
      </c>
      <c r="AH23" s="2" t="str">
        <f t="shared" si="6"/>
        <v>1</v>
      </c>
      <c r="AI23" s="3" t="str">
        <f t="shared" si="7"/>
        <v>1</v>
      </c>
      <c r="AJ23" s="3">
        <f t="shared" si="8"/>
        <v>1</v>
      </c>
      <c r="AK23" s="2">
        <v>154</v>
      </c>
      <c r="AL23" s="2" t="str">
        <f t="shared" si="9"/>
        <v>1</v>
      </c>
      <c r="AM23" s="10">
        <v>105</v>
      </c>
      <c r="AN23" s="10">
        <v>58.800000000000004</v>
      </c>
      <c r="AO23" s="10">
        <v>200.8</v>
      </c>
      <c r="AP23" s="10">
        <v>86.344000000000008</v>
      </c>
      <c r="AQ23" s="10">
        <v>167.3</v>
      </c>
      <c r="AR23" s="10">
        <v>157.262</v>
      </c>
      <c r="AS23" s="10">
        <v>80</v>
      </c>
      <c r="AT23" s="2" t="str">
        <f t="shared" si="13"/>
        <v>4</v>
      </c>
      <c r="AU23" s="10">
        <v>1</v>
      </c>
      <c r="AV23" s="10">
        <v>5</v>
      </c>
      <c r="AW23" s="10">
        <v>5</v>
      </c>
      <c r="AX23" s="10">
        <v>1</v>
      </c>
      <c r="AY23" s="2">
        <v>5</v>
      </c>
      <c r="AZ23" s="10">
        <v>1984</v>
      </c>
      <c r="BA23" s="2">
        <f t="shared" si="10"/>
        <v>41</v>
      </c>
      <c r="BB23" s="2" t="str">
        <f t="shared" si="11"/>
        <v>5</v>
      </c>
      <c r="BC23" s="3">
        <v>1</v>
      </c>
      <c r="BD23" s="7">
        <f t="shared" si="14"/>
        <v>2.57</v>
      </c>
      <c r="BE23" s="62" t="s">
        <v>845</v>
      </c>
      <c r="BF23" s="62" t="s">
        <v>808</v>
      </c>
      <c r="BG23" s="62" t="s">
        <v>968</v>
      </c>
      <c r="BH23" s="10">
        <v>2135</v>
      </c>
      <c r="BI23" s="10" t="s">
        <v>967</v>
      </c>
      <c r="BJ23" s="10" t="s">
        <v>926</v>
      </c>
      <c r="BK23" s="107">
        <v>46165</v>
      </c>
      <c r="BL23" s="10" t="s">
        <v>938</v>
      </c>
      <c r="BM23" s="10"/>
      <c r="BN23" s="61" t="s">
        <v>998</v>
      </c>
    </row>
    <row r="24" spans="1:66" ht="80" x14ac:dyDescent="0.2">
      <c r="A24" s="10">
        <v>20017565</v>
      </c>
      <c r="B24" s="10">
        <v>1057609450</v>
      </c>
      <c r="C24" s="10">
        <v>12000</v>
      </c>
      <c r="D24" s="10" t="s">
        <v>73</v>
      </c>
      <c r="E24" s="10" t="s">
        <v>187</v>
      </c>
      <c r="F24" s="101" t="s">
        <v>188</v>
      </c>
      <c r="G24" s="10" t="s">
        <v>70</v>
      </c>
      <c r="H24" s="10" t="s">
        <v>70</v>
      </c>
      <c r="I24" s="10" t="s">
        <v>81</v>
      </c>
      <c r="J24" s="10" t="s">
        <v>82</v>
      </c>
      <c r="K24" s="10" t="s">
        <v>48</v>
      </c>
      <c r="L24" s="10">
        <v>66</v>
      </c>
      <c r="M24" s="10" t="s">
        <v>137</v>
      </c>
      <c r="N24" s="10" t="s">
        <v>60</v>
      </c>
      <c r="O24" s="10" t="s">
        <v>189</v>
      </c>
      <c r="P24" s="10">
        <v>4</v>
      </c>
      <c r="Q24" s="10">
        <v>17.100000000000001</v>
      </c>
      <c r="R24" s="10">
        <v>3</v>
      </c>
      <c r="S24" s="10">
        <v>1.9</v>
      </c>
      <c r="T24" s="2">
        <f t="shared" si="0"/>
        <v>26</v>
      </c>
      <c r="U24" s="10">
        <v>981</v>
      </c>
      <c r="V24" s="10">
        <v>6230</v>
      </c>
      <c r="W24" s="2" t="str">
        <f t="shared" si="1"/>
        <v>5</v>
      </c>
      <c r="X24" s="2" t="str">
        <f t="shared" si="2"/>
        <v>4</v>
      </c>
      <c r="Y24" s="2" t="str">
        <f t="shared" si="3"/>
        <v>1</v>
      </c>
      <c r="Z24" s="3" t="str">
        <f t="shared" si="4"/>
        <v>1</v>
      </c>
      <c r="AA24" s="10">
        <v>0.1</v>
      </c>
      <c r="AB24" s="3">
        <f t="shared" si="12"/>
        <v>2.75</v>
      </c>
      <c r="AC24" s="10">
        <v>43</v>
      </c>
      <c r="AD24" s="10">
        <v>14</v>
      </c>
      <c r="AE24" s="10">
        <v>0.02</v>
      </c>
      <c r="AF24" s="10">
        <v>46.4</v>
      </c>
      <c r="AG24" s="2">
        <f t="shared" si="5"/>
        <v>2320</v>
      </c>
      <c r="AH24" s="2" t="str">
        <f t="shared" si="6"/>
        <v>1</v>
      </c>
      <c r="AI24" s="3" t="str">
        <f t="shared" si="7"/>
        <v>1</v>
      </c>
      <c r="AJ24" s="3">
        <f t="shared" si="8"/>
        <v>1</v>
      </c>
      <c r="AK24" s="2">
        <v>14</v>
      </c>
      <c r="AL24" s="2" t="str">
        <f t="shared" si="9"/>
        <v>1</v>
      </c>
      <c r="AM24" s="10">
        <v>104.97</v>
      </c>
      <c r="AN24" s="10">
        <v>58.783200000000008</v>
      </c>
      <c r="AO24" s="10">
        <v>200.82</v>
      </c>
      <c r="AP24" s="10">
        <v>86.352599999999995</v>
      </c>
      <c r="AQ24" s="10">
        <v>167.35</v>
      </c>
      <c r="AR24" s="10">
        <v>157.309</v>
      </c>
      <c r="AS24" s="10">
        <v>94</v>
      </c>
      <c r="AT24" s="2" t="str">
        <f t="shared" si="13"/>
        <v>4</v>
      </c>
      <c r="AU24" s="10">
        <v>1</v>
      </c>
      <c r="AV24" s="10">
        <v>1</v>
      </c>
      <c r="AW24" s="10">
        <v>1</v>
      </c>
      <c r="AX24" s="10">
        <v>1</v>
      </c>
      <c r="AY24" s="2">
        <v>1</v>
      </c>
      <c r="AZ24" s="10">
        <v>2021</v>
      </c>
      <c r="BA24" s="2">
        <f t="shared" si="10"/>
        <v>4</v>
      </c>
      <c r="BB24" s="2" t="str">
        <f t="shared" si="11"/>
        <v>1</v>
      </c>
      <c r="BC24" s="3">
        <v>1</v>
      </c>
      <c r="BD24" s="7">
        <f t="shared" si="14"/>
        <v>1.65</v>
      </c>
      <c r="BE24" s="62" t="s">
        <v>827</v>
      </c>
      <c r="BF24" s="62"/>
      <c r="BG24" s="62"/>
      <c r="BH24" s="10">
        <v>4230</v>
      </c>
      <c r="BI24" s="10"/>
      <c r="BJ24" s="10"/>
      <c r="BK24" s="10"/>
      <c r="BL24" s="10"/>
      <c r="BM24" s="10"/>
      <c r="BN24" s="61" t="s">
        <v>61</v>
      </c>
    </row>
    <row r="25" spans="1:66" ht="64" x14ac:dyDescent="0.2">
      <c r="A25" s="10">
        <v>20700071</v>
      </c>
      <c r="B25" s="10">
        <v>316115</v>
      </c>
      <c r="C25" s="10">
        <v>100000</v>
      </c>
      <c r="D25" s="10" t="s">
        <v>134</v>
      </c>
      <c r="E25" s="10" t="s">
        <v>195</v>
      </c>
      <c r="F25" s="10" t="s">
        <v>197</v>
      </c>
      <c r="G25" s="10" t="s">
        <v>70</v>
      </c>
      <c r="H25" s="10" t="s">
        <v>70</v>
      </c>
      <c r="I25" s="10" t="s">
        <v>81</v>
      </c>
      <c r="J25" s="10" t="s">
        <v>82</v>
      </c>
      <c r="K25" s="10" t="s">
        <v>48</v>
      </c>
      <c r="L25" s="10">
        <v>220</v>
      </c>
      <c r="M25" s="10">
        <v>110</v>
      </c>
      <c r="N25" s="10" t="s">
        <v>61</v>
      </c>
      <c r="O25" s="10" t="s">
        <v>198</v>
      </c>
      <c r="P25" s="10">
        <v>5.0999999999999996</v>
      </c>
      <c r="Q25" s="10">
        <v>96</v>
      </c>
      <c r="R25" s="10">
        <v>10.8</v>
      </c>
      <c r="S25" s="10">
        <v>23</v>
      </c>
      <c r="T25" s="2">
        <f t="shared" si="0"/>
        <v>134.89999999999998</v>
      </c>
      <c r="U25" s="10">
        <v>394</v>
      </c>
      <c r="V25" s="10">
        <v>5575</v>
      </c>
      <c r="W25" s="2" t="str">
        <f t="shared" si="1"/>
        <v>3</v>
      </c>
      <c r="X25" s="2" t="str">
        <f t="shared" si="2"/>
        <v>4</v>
      </c>
      <c r="Y25" s="2" t="str">
        <f t="shared" si="3"/>
        <v>2</v>
      </c>
      <c r="Z25" s="3" t="str">
        <f t="shared" si="4"/>
        <v>1</v>
      </c>
      <c r="AA25" s="10">
        <v>0</v>
      </c>
      <c r="AB25" s="3">
        <f t="shared" si="12"/>
        <v>2.5</v>
      </c>
      <c r="AC25" s="10">
        <v>56</v>
      </c>
      <c r="AD25" s="10">
        <v>4</v>
      </c>
      <c r="AE25" s="10">
        <v>0.02</v>
      </c>
      <c r="AF25" s="10">
        <v>41.2</v>
      </c>
      <c r="AG25" s="2">
        <f t="shared" si="5"/>
        <v>2060</v>
      </c>
      <c r="AH25" s="2" t="str">
        <f t="shared" si="6"/>
        <v>1</v>
      </c>
      <c r="AI25" s="3" t="str">
        <f t="shared" si="7"/>
        <v>1</v>
      </c>
      <c r="AJ25" s="3">
        <f t="shared" si="8"/>
        <v>1</v>
      </c>
      <c r="AK25" s="2">
        <v>18</v>
      </c>
      <c r="AL25" s="2" t="str">
        <f t="shared" si="9"/>
        <v>1</v>
      </c>
      <c r="AM25" s="10">
        <v>262.39999999999998</v>
      </c>
      <c r="AN25" s="10">
        <v>110.20799999999998</v>
      </c>
      <c r="AO25" s="10">
        <v>524.9</v>
      </c>
      <c r="AP25" s="10">
        <v>220.45799999999997</v>
      </c>
      <c r="AQ25" s="10" t="s">
        <v>61</v>
      </c>
      <c r="AR25" s="10" t="s">
        <v>61</v>
      </c>
      <c r="AS25" s="10">
        <v>42</v>
      </c>
      <c r="AT25" s="2" t="str">
        <f t="shared" si="13"/>
        <v>1</v>
      </c>
      <c r="AU25" s="10">
        <v>1</v>
      </c>
      <c r="AV25" s="10">
        <v>1</v>
      </c>
      <c r="AW25" s="10">
        <v>1</v>
      </c>
      <c r="AX25" s="10">
        <v>1</v>
      </c>
      <c r="AY25" s="2">
        <v>1</v>
      </c>
      <c r="AZ25" s="10">
        <v>2001</v>
      </c>
      <c r="BA25" s="2">
        <f t="shared" si="10"/>
        <v>24</v>
      </c>
      <c r="BB25" s="2" t="str">
        <f t="shared" si="11"/>
        <v>3</v>
      </c>
      <c r="BC25" s="3">
        <v>1</v>
      </c>
      <c r="BD25" s="7">
        <f t="shared" si="14"/>
        <v>1.4</v>
      </c>
      <c r="BE25" s="62" t="s">
        <v>828</v>
      </c>
      <c r="BF25" s="62"/>
      <c r="BG25" s="62"/>
      <c r="BH25" s="10">
        <v>1</v>
      </c>
      <c r="BI25" s="10"/>
      <c r="BJ25" s="10"/>
      <c r="BK25" s="10"/>
      <c r="BL25" s="10"/>
      <c r="BM25" s="10"/>
      <c r="BN25" s="61" t="s">
        <v>61</v>
      </c>
    </row>
    <row r="26" spans="1:66" ht="64" x14ac:dyDescent="0.2">
      <c r="A26" s="10">
        <v>20700071</v>
      </c>
      <c r="B26" s="10" t="s">
        <v>194</v>
      </c>
      <c r="C26" s="10">
        <v>150000</v>
      </c>
      <c r="D26" s="10" t="s">
        <v>134</v>
      </c>
      <c r="E26" s="10" t="s">
        <v>195</v>
      </c>
      <c r="F26" s="10" t="s">
        <v>196</v>
      </c>
      <c r="G26" s="10" t="s">
        <v>70</v>
      </c>
      <c r="H26" s="10" t="s">
        <v>70</v>
      </c>
      <c r="I26" s="10" t="s">
        <v>81</v>
      </c>
      <c r="J26" s="10" t="s">
        <v>82</v>
      </c>
      <c r="K26" s="10" t="s">
        <v>48</v>
      </c>
      <c r="L26" s="10">
        <v>220</v>
      </c>
      <c r="M26" s="10">
        <v>110</v>
      </c>
      <c r="N26" s="10" t="s">
        <v>61</v>
      </c>
      <c r="O26" s="10" t="s">
        <v>169</v>
      </c>
      <c r="P26" s="10">
        <v>7</v>
      </c>
      <c r="Q26" s="10">
        <v>35</v>
      </c>
      <c r="R26" s="10">
        <v>14.7</v>
      </c>
      <c r="S26" s="10">
        <v>7.1</v>
      </c>
      <c r="T26" s="2">
        <f t="shared" si="0"/>
        <v>63.800000000000004</v>
      </c>
      <c r="U26" s="10">
        <v>1517</v>
      </c>
      <c r="V26" s="10">
        <v>3577</v>
      </c>
      <c r="W26" s="2" t="str">
        <f t="shared" si="1"/>
        <v>5</v>
      </c>
      <c r="X26" s="2" t="str">
        <f t="shared" si="2"/>
        <v>3</v>
      </c>
      <c r="Y26" s="2" t="str">
        <f t="shared" si="3"/>
        <v>1</v>
      </c>
      <c r="Z26" s="3" t="str">
        <f t="shared" si="4"/>
        <v>1</v>
      </c>
      <c r="AA26" s="10">
        <v>0.1</v>
      </c>
      <c r="AB26" s="3">
        <f t="shared" si="12"/>
        <v>2.5</v>
      </c>
      <c r="AC26" s="10">
        <v>59</v>
      </c>
      <c r="AD26" s="10">
        <v>5</v>
      </c>
      <c r="AE26" s="10">
        <v>0.02</v>
      </c>
      <c r="AF26" s="10">
        <v>46.8</v>
      </c>
      <c r="AG26" s="2">
        <f t="shared" si="5"/>
        <v>2340</v>
      </c>
      <c r="AH26" s="2" t="str">
        <f t="shared" si="6"/>
        <v>1</v>
      </c>
      <c r="AI26" s="3" t="str">
        <f t="shared" si="7"/>
        <v>1</v>
      </c>
      <c r="AJ26" s="3">
        <f t="shared" si="8"/>
        <v>1</v>
      </c>
      <c r="AK26" s="2">
        <v>14</v>
      </c>
      <c r="AL26" s="2" t="str">
        <f t="shared" si="9"/>
        <v>1</v>
      </c>
      <c r="AM26" s="10">
        <v>393.6</v>
      </c>
      <c r="AN26" s="10">
        <v>165.31200000000001</v>
      </c>
      <c r="AO26" s="10">
        <v>783.3</v>
      </c>
      <c r="AP26" s="10">
        <v>328.98599999999999</v>
      </c>
      <c r="AQ26" s="10">
        <v>2091.8000000000002</v>
      </c>
      <c r="AR26" s="10">
        <v>0</v>
      </c>
      <c r="AS26" s="10">
        <v>42</v>
      </c>
      <c r="AT26" s="2" t="str">
        <f t="shared" si="13"/>
        <v>1</v>
      </c>
      <c r="AU26" s="10">
        <v>1</v>
      </c>
      <c r="AV26" s="10">
        <v>1</v>
      </c>
      <c r="AW26" s="10">
        <v>1</v>
      </c>
      <c r="AX26" s="10">
        <v>1</v>
      </c>
      <c r="AY26" s="2">
        <v>1</v>
      </c>
      <c r="AZ26" s="10">
        <v>2012</v>
      </c>
      <c r="BA26" s="2">
        <f t="shared" si="10"/>
        <v>13</v>
      </c>
      <c r="BB26" s="2" t="str">
        <f t="shared" si="11"/>
        <v>2</v>
      </c>
      <c r="BC26" s="3">
        <v>1</v>
      </c>
      <c r="BD26" s="7">
        <f t="shared" si="14"/>
        <v>1.35</v>
      </c>
      <c r="BE26" s="62" t="s">
        <v>828</v>
      </c>
      <c r="BF26" s="62"/>
      <c r="BG26" s="62"/>
      <c r="BH26" s="10">
        <v>1</v>
      </c>
      <c r="BI26" s="10"/>
      <c r="BJ26" s="10"/>
      <c r="BK26" s="10"/>
      <c r="BL26" s="10"/>
      <c r="BM26" s="10"/>
    </row>
    <row r="27" spans="1:66" ht="64" x14ac:dyDescent="0.2">
      <c r="A27" s="10">
        <v>20700071</v>
      </c>
      <c r="B27" s="10">
        <v>1076935363</v>
      </c>
      <c r="C27" s="10">
        <v>30000</v>
      </c>
      <c r="D27" s="10" t="s">
        <v>152</v>
      </c>
      <c r="E27" s="10" t="s">
        <v>195</v>
      </c>
      <c r="F27" s="10" t="s">
        <v>199</v>
      </c>
      <c r="G27" s="10" t="s">
        <v>70</v>
      </c>
      <c r="H27" s="10" t="s">
        <v>70</v>
      </c>
      <c r="I27" s="10" t="s">
        <v>81</v>
      </c>
      <c r="J27" s="10" t="s">
        <v>82</v>
      </c>
      <c r="K27" s="10" t="s">
        <v>48</v>
      </c>
      <c r="L27" s="10">
        <v>110</v>
      </c>
      <c r="M27" s="10" t="s">
        <v>60</v>
      </c>
      <c r="N27" s="10" t="s">
        <v>61</v>
      </c>
      <c r="O27" s="10" t="s">
        <v>172</v>
      </c>
      <c r="P27" s="10">
        <v>13.2</v>
      </c>
      <c r="Q27" s="10">
        <v>5</v>
      </c>
      <c r="R27" s="10">
        <v>0.5</v>
      </c>
      <c r="S27" s="10">
        <v>0.5</v>
      </c>
      <c r="T27" s="2">
        <f t="shared" si="0"/>
        <v>19.2</v>
      </c>
      <c r="U27" s="10">
        <v>652</v>
      </c>
      <c r="V27" s="10">
        <v>1362</v>
      </c>
      <c r="W27" s="2" t="str">
        <f t="shared" si="1"/>
        <v>4</v>
      </c>
      <c r="X27" s="2" t="str">
        <f t="shared" si="2"/>
        <v>1</v>
      </c>
      <c r="Y27" s="2" t="str">
        <f t="shared" si="3"/>
        <v>1</v>
      </c>
      <c r="Z27" s="3" t="str">
        <f t="shared" si="4"/>
        <v>1</v>
      </c>
      <c r="AA27" s="10">
        <v>0</v>
      </c>
      <c r="AB27" s="3">
        <f t="shared" si="12"/>
        <v>1.75</v>
      </c>
      <c r="AC27" s="10">
        <v>62</v>
      </c>
      <c r="AD27" s="10">
        <v>5</v>
      </c>
      <c r="AE27" s="10">
        <v>0.02</v>
      </c>
      <c r="AF27" s="10">
        <v>45.8</v>
      </c>
      <c r="AG27" s="2">
        <f t="shared" si="5"/>
        <v>2290</v>
      </c>
      <c r="AH27" s="2" t="str">
        <f t="shared" si="6"/>
        <v>1</v>
      </c>
      <c r="AI27" s="3" t="str">
        <f t="shared" si="7"/>
        <v>1</v>
      </c>
      <c r="AJ27" s="3">
        <f t="shared" si="8"/>
        <v>1</v>
      </c>
      <c r="AK27" s="2">
        <v>14</v>
      </c>
      <c r="AL27" s="2" t="str">
        <f t="shared" si="9"/>
        <v>1</v>
      </c>
      <c r="AM27" s="10">
        <v>157.5</v>
      </c>
      <c r="AN27" s="10">
        <v>91.35</v>
      </c>
      <c r="AO27" s="10">
        <v>1255</v>
      </c>
      <c r="AP27" s="10">
        <v>727.9</v>
      </c>
      <c r="AQ27" s="10" t="s">
        <v>61</v>
      </c>
      <c r="AR27" s="10" t="s">
        <v>61</v>
      </c>
      <c r="AS27" s="10">
        <v>58</v>
      </c>
      <c r="AT27" s="2" t="str">
        <f t="shared" si="13"/>
        <v>1</v>
      </c>
      <c r="AU27" s="10">
        <v>1</v>
      </c>
      <c r="AV27" s="10">
        <v>1</v>
      </c>
      <c r="AW27" s="10">
        <v>1</v>
      </c>
      <c r="AX27" s="10">
        <v>1</v>
      </c>
      <c r="AY27" s="2">
        <v>1</v>
      </c>
      <c r="AZ27" s="10">
        <v>2023</v>
      </c>
      <c r="BA27" s="2">
        <f t="shared" si="10"/>
        <v>2</v>
      </c>
      <c r="BB27" s="2" t="str">
        <f t="shared" si="11"/>
        <v>1</v>
      </c>
      <c r="BC27" s="3">
        <v>1</v>
      </c>
      <c r="BD27" s="7">
        <f t="shared" si="14"/>
        <v>1.1500000000000001</v>
      </c>
      <c r="BE27" s="62" t="s">
        <v>828</v>
      </c>
      <c r="BF27" s="62"/>
      <c r="BG27" s="62"/>
      <c r="BH27" s="10">
        <v>23445</v>
      </c>
      <c r="BI27" s="10"/>
      <c r="BJ27" s="10"/>
      <c r="BK27" s="10"/>
      <c r="BL27" s="10"/>
      <c r="BM27" s="10"/>
    </row>
    <row r="28" spans="1:66" ht="80" x14ac:dyDescent="0.2">
      <c r="A28" s="10">
        <v>20700278</v>
      </c>
      <c r="B28" s="10">
        <v>1057609404</v>
      </c>
      <c r="C28" s="101">
        <v>2000</v>
      </c>
      <c r="D28" s="101" t="s">
        <v>73</v>
      </c>
      <c r="E28" s="101" t="s">
        <v>201</v>
      </c>
      <c r="F28" s="101" t="s">
        <v>202</v>
      </c>
      <c r="G28" s="101" t="s">
        <v>70</v>
      </c>
      <c r="H28" s="101" t="s">
        <v>70</v>
      </c>
      <c r="I28" s="101" t="s">
        <v>65</v>
      </c>
      <c r="J28" s="101" t="s">
        <v>61</v>
      </c>
      <c r="K28" s="101" t="s">
        <v>66</v>
      </c>
      <c r="L28" s="101" t="s">
        <v>76</v>
      </c>
      <c r="M28" s="101" t="s">
        <v>60</v>
      </c>
      <c r="N28" s="101" t="s">
        <v>61</v>
      </c>
      <c r="O28" s="101" t="s">
        <v>77</v>
      </c>
      <c r="P28" s="101">
        <v>18.7</v>
      </c>
      <c r="Q28" s="101">
        <v>9.9</v>
      </c>
      <c r="R28" s="101">
        <v>5.5</v>
      </c>
      <c r="S28" s="101">
        <v>1.8</v>
      </c>
      <c r="T28" s="9">
        <f t="shared" si="0"/>
        <v>35.9</v>
      </c>
      <c r="U28" s="101">
        <v>923</v>
      </c>
      <c r="V28" s="101">
        <v>1794</v>
      </c>
      <c r="W28" s="9" t="str">
        <f t="shared" si="1"/>
        <v>5</v>
      </c>
      <c r="X28" s="9" t="str">
        <f t="shared" si="2"/>
        <v>2</v>
      </c>
      <c r="Y28" s="9" t="str">
        <f t="shared" si="3"/>
        <v>1</v>
      </c>
      <c r="Z28" s="37" t="str">
        <f t="shared" si="4"/>
        <v>1</v>
      </c>
      <c r="AA28" s="101">
        <v>0.1</v>
      </c>
      <c r="AB28" s="37">
        <f t="shared" si="12"/>
        <v>2.25</v>
      </c>
      <c r="AC28" s="101">
        <v>61</v>
      </c>
      <c r="AD28" s="101">
        <v>9</v>
      </c>
      <c r="AE28" s="101">
        <v>0.02</v>
      </c>
      <c r="AF28" s="101">
        <v>41.8</v>
      </c>
      <c r="AG28" s="9">
        <f t="shared" si="5"/>
        <v>2090</v>
      </c>
      <c r="AH28" s="9" t="str">
        <f t="shared" si="6"/>
        <v>1</v>
      </c>
      <c r="AI28" s="37" t="str">
        <f t="shared" si="7"/>
        <v>1</v>
      </c>
      <c r="AJ28" s="37">
        <f t="shared" si="8"/>
        <v>1</v>
      </c>
      <c r="AK28" s="9">
        <v>14</v>
      </c>
      <c r="AL28" s="9" t="str">
        <f t="shared" si="9"/>
        <v>1</v>
      </c>
      <c r="AM28" s="101">
        <v>33.47</v>
      </c>
      <c r="AN28" s="101">
        <v>23.763699999999996</v>
      </c>
      <c r="AO28" s="101">
        <v>83.67</v>
      </c>
      <c r="AP28" s="101">
        <v>59.405699999999996</v>
      </c>
      <c r="AQ28" s="101" t="s">
        <v>61</v>
      </c>
      <c r="AR28" s="101" t="s">
        <v>61</v>
      </c>
      <c r="AS28" s="101">
        <v>71</v>
      </c>
      <c r="AT28" s="9" t="str">
        <f t="shared" si="13"/>
        <v>3</v>
      </c>
      <c r="AU28" s="55">
        <v>1</v>
      </c>
      <c r="AV28" s="55">
        <v>1</v>
      </c>
      <c r="AW28" s="55">
        <v>1</v>
      </c>
      <c r="AX28" s="55" t="s">
        <v>61</v>
      </c>
      <c r="AY28" s="2">
        <v>1</v>
      </c>
      <c r="AZ28" s="55">
        <v>2020</v>
      </c>
      <c r="BA28" s="57">
        <f t="shared" si="10"/>
        <v>5</v>
      </c>
      <c r="BB28" s="9" t="str">
        <f t="shared" si="11"/>
        <v>1</v>
      </c>
      <c r="BC28" s="37">
        <v>1</v>
      </c>
      <c r="BD28" s="7">
        <f t="shared" si="14"/>
        <v>1.4500000000000002</v>
      </c>
      <c r="BE28" s="62" t="s">
        <v>827</v>
      </c>
      <c r="BF28" s="106"/>
      <c r="BG28" s="62"/>
      <c r="BH28" s="10">
        <v>155</v>
      </c>
      <c r="BI28" s="10"/>
      <c r="BJ28" s="10"/>
      <c r="BK28" s="10"/>
      <c r="BL28" s="10"/>
      <c r="BM28" s="10"/>
    </row>
    <row r="29" spans="1:66" ht="64" x14ac:dyDescent="0.2">
      <c r="A29" s="10">
        <v>20700518</v>
      </c>
      <c r="B29" s="10">
        <v>98330</v>
      </c>
      <c r="C29" s="10">
        <v>2000</v>
      </c>
      <c r="D29" s="10" t="s">
        <v>73</v>
      </c>
      <c r="E29" s="10" t="s">
        <v>204</v>
      </c>
      <c r="F29" s="10" t="s">
        <v>205</v>
      </c>
      <c r="G29" s="10" t="s">
        <v>58</v>
      </c>
      <c r="H29" s="10" t="s">
        <v>59</v>
      </c>
      <c r="I29" s="10" t="s">
        <v>65</v>
      </c>
      <c r="J29" s="10" t="s">
        <v>61</v>
      </c>
      <c r="K29" s="10" t="s">
        <v>66</v>
      </c>
      <c r="L29" s="10" t="s">
        <v>76</v>
      </c>
      <c r="M29" s="10" t="s">
        <v>60</v>
      </c>
      <c r="N29" s="10" t="s">
        <v>61</v>
      </c>
      <c r="O29" s="10" t="s">
        <v>77</v>
      </c>
      <c r="P29" s="10">
        <v>4.5999999999999996</v>
      </c>
      <c r="Q29" s="10">
        <v>3.5</v>
      </c>
      <c r="R29" s="10">
        <v>14.6</v>
      </c>
      <c r="S29" s="10">
        <v>0.9</v>
      </c>
      <c r="T29" s="2">
        <f t="shared" si="0"/>
        <v>23.599999999999998</v>
      </c>
      <c r="U29" s="10">
        <v>394</v>
      </c>
      <c r="V29" s="10">
        <v>1904</v>
      </c>
      <c r="W29" s="2" t="str">
        <f t="shared" si="1"/>
        <v>3</v>
      </c>
      <c r="X29" s="2" t="str">
        <f t="shared" si="2"/>
        <v>2</v>
      </c>
      <c r="Y29" s="2" t="str">
        <f t="shared" si="3"/>
        <v>1</v>
      </c>
      <c r="Z29" s="3" t="str">
        <f t="shared" si="4"/>
        <v>1</v>
      </c>
      <c r="AA29" s="10">
        <v>0.1</v>
      </c>
      <c r="AB29" s="3">
        <f t="shared" si="12"/>
        <v>1.75</v>
      </c>
      <c r="AC29" s="10">
        <v>36</v>
      </c>
      <c r="AD29" s="10">
        <v>16</v>
      </c>
      <c r="AE29" s="10">
        <v>0.02</v>
      </c>
      <c r="AF29" s="10">
        <v>31.8</v>
      </c>
      <c r="AG29" s="2">
        <f t="shared" si="5"/>
        <v>1590</v>
      </c>
      <c r="AH29" s="2" t="str">
        <f t="shared" si="6"/>
        <v>1</v>
      </c>
      <c r="AI29" s="3" t="str">
        <f t="shared" si="7"/>
        <v>1</v>
      </c>
      <c r="AJ29" s="3">
        <f t="shared" si="8"/>
        <v>1</v>
      </c>
      <c r="AK29" s="2">
        <v>14</v>
      </c>
      <c r="AL29" s="2" t="str">
        <f t="shared" si="9"/>
        <v>1</v>
      </c>
      <c r="AM29" s="10">
        <v>33.47</v>
      </c>
      <c r="AN29" s="10">
        <v>4.0164</v>
      </c>
      <c r="AO29" s="10">
        <v>83.67</v>
      </c>
      <c r="AP29" s="10">
        <v>10.0404</v>
      </c>
      <c r="AQ29" s="10" t="s">
        <v>61</v>
      </c>
      <c r="AR29" s="10" t="s">
        <v>61</v>
      </c>
      <c r="AS29" s="10">
        <v>12</v>
      </c>
      <c r="AT29" s="2" t="str">
        <f t="shared" si="13"/>
        <v>1</v>
      </c>
      <c r="AU29" s="10">
        <v>1</v>
      </c>
      <c r="AV29" s="10">
        <v>1</v>
      </c>
      <c r="AW29" s="10">
        <v>1</v>
      </c>
      <c r="AX29" s="10">
        <v>1</v>
      </c>
      <c r="AY29" s="2">
        <v>1</v>
      </c>
      <c r="AZ29" s="10">
        <v>2010</v>
      </c>
      <c r="BA29" s="2">
        <f t="shared" si="10"/>
        <v>15</v>
      </c>
      <c r="BB29" s="9" t="str">
        <f t="shared" si="11"/>
        <v>2</v>
      </c>
      <c r="BC29" s="37">
        <v>1</v>
      </c>
      <c r="BD29" s="7">
        <f t="shared" si="14"/>
        <v>1.2000000000000002</v>
      </c>
      <c r="BE29" s="62" t="s">
        <v>828</v>
      </c>
      <c r="BF29" s="62"/>
      <c r="BG29" s="62"/>
      <c r="BH29" s="10">
        <v>206</v>
      </c>
      <c r="BI29" s="10"/>
      <c r="BJ29" s="10"/>
      <c r="BK29" s="10" t="s">
        <v>963</v>
      </c>
      <c r="BL29" s="10" t="s">
        <v>950</v>
      </c>
      <c r="BM29" s="10"/>
    </row>
    <row r="30" spans="1:66" ht="32" x14ac:dyDescent="0.2">
      <c r="A30" s="10">
        <v>20026783</v>
      </c>
      <c r="B30" s="10">
        <v>518711157</v>
      </c>
      <c r="C30" s="10">
        <v>5000</v>
      </c>
      <c r="D30" s="10" t="s">
        <v>73</v>
      </c>
      <c r="E30" s="12" t="s">
        <v>206</v>
      </c>
      <c r="F30" s="101" t="s">
        <v>205</v>
      </c>
      <c r="G30" s="10" t="s">
        <v>58</v>
      </c>
      <c r="H30" s="10" t="s">
        <v>59</v>
      </c>
      <c r="I30" s="10" t="s">
        <v>65</v>
      </c>
      <c r="J30" s="10" t="s">
        <v>61</v>
      </c>
      <c r="K30" s="10" t="s">
        <v>66</v>
      </c>
      <c r="L30" s="10" t="s">
        <v>76</v>
      </c>
      <c r="M30" s="10" t="s">
        <v>60</v>
      </c>
      <c r="N30" s="10" t="s">
        <v>61</v>
      </c>
      <c r="O30" s="10" t="s">
        <v>77</v>
      </c>
      <c r="P30" s="10">
        <v>12.8</v>
      </c>
      <c r="Q30" s="10">
        <v>26</v>
      </c>
      <c r="R30" s="10">
        <v>48</v>
      </c>
      <c r="S30" s="10">
        <v>17.8</v>
      </c>
      <c r="T30" s="2">
        <f t="shared" si="0"/>
        <v>104.6</v>
      </c>
      <c r="U30" s="10">
        <v>1027</v>
      </c>
      <c r="V30" s="10">
        <v>10596</v>
      </c>
      <c r="W30" s="2" t="str">
        <f t="shared" si="1"/>
        <v>5</v>
      </c>
      <c r="X30" s="2" t="str">
        <f t="shared" si="2"/>
        <v>5</v>
      </c>
      <c r="Y30" s="2" t="str">
        <f t="shared" si="3"/>
        <v>2</v>
      </c>
      <c r="Z30" s="3" t="str">
        <f t="shared" si="4"/>
        <v>1</v>
      </c>
      <c r="AA30" s="10">
        <v>0</v>
      </c>
      <c r="AB30" s="3">
        <f t="shared" si="12"/>
        <v>3.25</v>
      </c>
      <c r="AC30" s="10">
        <v>19</v>
      </c>
      <c r="AD30" s="10">
        <v>31</v>
      </c>
      <c r="AE30" s="10">
        <v>0.06</v>
      </c>
      <c r="AF30" s="10">
        <v>23.8</v>
      </c>
      <c r="AG30" s="2">
        <f t="shared" si="5"/>
        <v>396.66666666666669</v>
      </c>
      <c r="AH30" s="2" t="str">
        <f t="shared" si="6"/>
        <v>4</v>
      </c>
      <c r="AI30" s="3" t="str">
        <f t="shared" si="7"/>
        <v>5</v>
      </c>
      <c r="AJ30" s="3">
        <f t="shared" si="8"/>
        <v>4.2</v>
      </c>
      <c r="AK30" s="2">
        <v>5478</v>
      </c>
      <c r="AL30" s="2" t="str">
        <f t="shared" si="9"/>
        <v>4</v>
      </c>
      <c r="AM30" s="10">
        <v>83.67</v>
      </c>
      <c r="AN30" s="10">
        <v>25.9377</v>
      </c>
      <c r="AO30" s="10">
        <v>200.5</v>
      </c>
      <c r="AP30" s="10">
        <v>62.155000000000001</v>
      </c>
      <c r="AQ30" s="10" t="s">
        <v>61</v>
      </c>
      <c r="AR30" s="10" t="s">
        <v>61</v>
      </c>
      <c r="AS30" s="10">
        <v>31</v>
      </c>
      <c r="AT30" s="2" t="str">
        <f t="shared" si="13"/>
        <v>1</v>
      </c>
      <c r="AU30" s="10">
        <v>5</v>
      </c>
      <c r="AV30" s="10">
        <v>1</v>
      </c>
      <c r="AW30" s="10">
        <v>5</v>
      </c>
      <c r="AX30" s="10" t="s">
        <v>61</v>
      </c>
      <c r="AY30" s="2">
        <v>3</v>
      </c>
      <c r="AZ30" s="10">
        <v>1998</v>
      </c>
      <c r="BA30" s="2">
        <f t="shared" si="10"/>
        <v>27</v>
      </c>
      <c r="BB30" s="2" t="str">
        <f t="shared" si="11"/>
        <v>4</v>
      </c>
      <c r="BC30" s="3">
        <v>1</v>
      </c>
      <c r="BD30" s="7">
        <f t="shared" si="14"/>
        <v>2.8460000000000005</v>
      </c>
      <c r="BE30" s="62" t="s">
        <v>846</v>
      </c>
      <c r="BF30" s="62" t="s">
        <v>894</v>
      </c>
      <c r="BG30" s="62" t="s">
        <v>861</v>
      </c>
      <c r="BH30" s="10">
        <v>1485</v>
      </c>
      <c r="BI30" s="10" t="s">
        <v>911</v>
      </c>
      <c r="BJ30" s="10" t="s">
        <v>925</v>
      </c>
      <c r="BK30" s="107">
        <v>46243</v>
      </c>
      <c r="BL30" s="10" t="s">
        <v>939</v>
      </c>
      <c r="BM30" s="109">
        <v>69000000</v>
      </c>
      <c r="BN30" s="61" t="s">
        <v>61</v>
      </c>
    </row>
    <row r="31" spans="1:66" ht="16" x14ac:dyDescent="0.2">
      <c r="A31" s="10">
        <v>20056776</v>
      </c>
      <c r="B31" s="10">
        <v>7739</v>
      </c>
      <c r="C31" s="10">
        <v>2000</v>
      </c>
      <c r="D31" s="10" t="s">
        <v>73</v>
      </c>
      <c r="E31" s="10" t="s">
        <v>209</v>
      </c>
      <c r="F31" s="10" t="s">
        <v>210</v>
      </c>
      <c r="G31" s="10" t="s">
        <v>125</v>
      </c>
      <c r="H31" s="10" t="s">
        <v>126</v>
      </c>
      <c r="I31" s="10" t="s">
        <v>65</v>
      </c>
      <c r="J31" s="10" t="s">
        <v>61</v>
      </c>
      <c r="K31" s="10" t="s">
        <v>66</v>
      </c>
      <c r="L31" s="10" t="s">
        <v>76</v>
      </c>
      <c r="M31" s="10" t="s">
        <v>60</v>
      </c>
      <c r="N31" s="10" t="s">
        <v>61</v>
      </c>
      <c r="O31" s="10" t="s">
        <v>77</v>
      </c>
      <c r="P31" s="10">
        <v>9.1</v>
      </c>
      <c r="Q31" s="10">
        <v>5</v>
      </c>
      <c r="R31" s="10">
        <v>25</v>
      </c>
      <c r="S31" s="10">
        <v>1.2</v>
      </c>
      <c r="T31" s="2">
        <f t="shared" si="0"/>
        <v>40.300000000000004</v>
      </c>
      <c r="U31" s="10">
        <v>576</v>
      </c>
      <c r="V31" s="10">
        <v>4485</v>
      </c>
      <c r="W31" s="2" t="str">
        <f t="shared" si="1"/>
        <v>4</v>
      </c>
      <c r="X31" s="2" t="str">
        <f t="shared" si="2"/>
        <v>3</v>
      </c>
      <c r="Y31" s="2" t="str">
        <f t="shared" si="3"/>
        <v>1</v>
      </c>
      <c r="Z31" s="3" t="str">
        <f t="shared" si="4"/>
        <v>1</v>
      </c>
      <c r="AA31" s="10">
        <v>0.1</v>
      </c>
      <c r="AB31" s="3">
        <f t="shared" si="12"/>
        <v>2.25</v>
      </c>
      <c r="AC31" s="10">
        <v>40</v>
      </c>
      <c r="AD31" s="10">
        <v>13</v>
      </c>
      <c r="AE31" s="10">
        <v>0.02</v>
      </c>
      <c r="AF31" s="10">
        <v>37.700000000000003</v>
      </c>
      <c r="AG31" s="2">
        <f t="shared" si="5"/>
        <v>1885</v>
      </c>
      <c r="AH31" s="2" t="str">
        <f t="shared" si="6"/>
        <v>1</v>
      </c>
      <c r="AI31" s="3" t="str">
        <f t="shared" si="7"/>
        <v>1</v>
      </c>
      <c r="AJ31" s="3">
        <f t="shared" si="8"/>
        <v>1</v>
      </c>
      <c r="AK31" s="2">
        <v>25</v>
      </c>
      <c r="AL31" s="2" t="str">
        <f t="shared" si="9"/>
        <v>1</v>
      </c>
      <c r="AM31" s="10">
        <v>33.47</v>
      </c>
      <c r="AN31" s="10">
        <v>24.098399999999998</v>
      </c>
      <c r="AO31" s="10">
        <v>83.67</v>
      </c>
      <c r="AP31" s="10">
        <v>60.242399999999996</v>
      </c>
      <c r="AQ31" s="10" t="s">
        <v>61</v>
      </c>
      <c r="AR31" s="10" t="s">
        <v>61</v>
      </c>
      <c r="AS31" s="10">
        <v>96</v>
      </c>
      <c r="AT31" s="2" t="str">
        <f t="shared" si="13"/>
        <v>5</v>
      </c>
      <c r="AU31" s="10">
        <v>5</v>
      </c>
      <c r="AV31" s="10">
        <v>1</v>
      </c>
      <c r="AW31" s="10">
        <v>1</v>
      </c>
      <c r="AX31" s="10" t="s">
        <v>61</v>
      </c>
      <c r="AY31" s="2">
        <v>5</v>
      </c>
      <c r="AZ31" s="10">
        <v>1998</v>
      </c>
      <c r="BA31" s="2">
        <f t="shared" si="10"/>
        <v>27</v>
      </c>
      <c r="BB31" s="2" t="str">
        <f t="shared" si="11"/>
        <v>4</v>
      </c>
      <c r="BC31" s="3">
        <v>1</v>
      </c>
      <c r="BD31" s="7">
        <f t="shared" si="14"/>
        <v>2.52</v>
      </c>
      <c r="BE31" s="10" t="s">
        <v>822</v>
      </c>
      <c r="BF31" s="62" t="s">
        <v>811</v>
      </c>
      <c r="BG31" s="62"/>
      <c r="BH31" s="10">
        <v>3178</v>
      </c>
      <c r="BI31" s="10" t="s">
        <v>967</v>
      </c>
      <c r="BJ31" s="10" t="s">
        <v>927</v>
      </c>
      <c r="BK31" s="107">
        <v>46198</v>
      </c>
      <c r="BL31" s="10" t="s">
        <v>936</v>
      </c>
      <c r="BM31" s="10"/>
    </row>
    <row r="32" spans="1:66" ht="64" x14ac:dyDescent="0.2">
      <c r="A32" s="10">
        <v>20056769</v>
      </c>
      <c r="B32" s="10">
        <v>1079537174</v>
      </c>
      <c r="C32" s="10">
        <v>20000</v>
      </c>
      <c r="D32" s="10" t="s">
        <v>152</v>
      </c>
      <c r="E32" s="10" t="s">
        <v>212</v>
      </c>
      <c r="F32" s="10" t="s">
        <v>217</v>
      </c>
      <c r="G32" s="10" t="s">
        <v>125</v>
      </c>
      <c r="H32" s="10" t="s">
        <v>126</v>
      </c>
      <c r="I32" s="10" t="s">
        <v>81</v>
      </c>
      <c r="J32" s="10" t="s">
        <v>82</v>
      </c>
      <c r="K32" s="10" t="s">
        <v>48</v>
      </c>
      <c r="L32" s="10" t="s">
        <v>76</v>
      </c>
      <c r="M32" s="10" t="s">
        <v>60</v>
      </c>
      <c r="N32" s="10" t="s">
        <v>61</v>
      </c>
      <c r="O32" s="10" t="s">
        <v>218</v>
      </c>
      <c r="P32" s="10">
        <v>12.3</v>
      </c>
      <c r="Q32" s="10">
        <v>12.5</v>
      </c>
      <c r="R32" s="10">
        <v>2.1</v>
      </c>
      <c r="S32" s="10">
        <v>0</v>
      </c>
      <c r="T32" s="2">
        <f t="shared" si="0"/>
        <v>26.900000000000002</v>
      </c>
      <c r="U32" s="10">
        <v>1005</v>
      </c>
      <c r="V32" s="10">
        <v>4651</v>
      </c>
      <c r="W32" s="2" t="str">
        <f t="shared" si="1"/>
        <v>5</v>
      </c>
      <c r="X32" s="2" t="str">
        <f t="shared" si="2"/>
        <v>3</v>
      </c>
      <c r="Y32" s="2" t="str">
        <f t="shared" si="3"/>
        <v>1</v>
      </c>
      <c r="Z32" s="3" t="str">
        <f t="shared" si="4"/>
        <v>1</v>
      </c>
      <c r="AA32" s="10">
        <v>0</v>
      </c>
      <c r="AB32" s="3">
        <f t="shared" si="12"/>
        <v>2.5</v>
      </c>
      <c r="AC32" s="10">
        <v>57</v>
      </c>
      <c r="AD32" s="10">
        <v>5</v>
      </c>
      <c r="AE32" s="10">
        <v>0.02</v>
      </c>
      <c r="AF32" s="10">
        <v>44.1</v>
      </c>
      <c r="AG32" s="2">
        <f t="shared" si="5"/>
        <v>2205</v>
      </c>
      <c r="AH32" s="2" t="str">
        <f t="shared" si="6"/>
        <v>1</v>
      </c>
      <c r="AI32" s="3" t="str">
        <f t="shared" si="7"/>
        <v>1</v>
      </c>
      <c r="AJ32" s="3">
        <f t="shared" si="8"/>
        <v>1</v>
      </c>
      <c r="AK32" s="2">
        <v>3700</v>
      </c>
      <c r="AL32" s="2" t="str">
        <f t="shared" si="9"/>
        <v>3</v>
      </c>
      <c r="AM32" s="10">
        <v>334.7</v>
      </c>
      <c r="AN32" s="10">
        <v>120.49199999999999</v>
      </c>
      <c r="AO32" s="10">
        <v>836.74</v>
      </c>
      <c r="AP32" s="10">
        <v>301.22640000000001</v>
      </c>
      <c r="AQ32" s="10" t="s">
        <v>61</v>
      </c>
      <c r="AR32" s="10" t="s">
        <v>61</v>
      </c>
      <c r="AS32" s="10">
        <v>36</v>
      </c>
      <c r="AT32" s="2" t="str">
        <f t="shared" si="13"/>
        <v>1</v>
      </c>
      <c r="AU32" s="10">
        <v>1</v>
      </c>
      <c r="AV32" s="10">
        <v>1</v>
      </c>
      <c r="AW32" s="10">
        <v>1</v>
      </c>
      <c r="AX32" s="10">
        <v>1</v>
      </c>
      <c r="AY32" s="2">
        <v>1</v>
      </c>
      <c r="AZ32" s="10">
        <v>2023</v>
      </c>
      <c r="BA32" s="2">
        <f t="shared" si="10"/>
        <v>2</v>
      </c>
      <c r="BB32" s="2" t="str">
        <f t="shared" si="11"/>
        <v>1</v>
      </c>
      <c r="BC32" s="3">
        <v>1</v>
      </c>
      <c r="BD32" s="7">
        <f t="shared" si="14"/>
        <v>1.4</v>
      </c>
      <c r="BE32" s="62" t="s">
        <v>828</v>
      </c>
      <c r="BF32" s="62"/>
      <c r="BG32" s="62"/>
      <c r="BH32" s="10">
        <v>24520</v>
      </c>
      <c r="BI32" s="10"/>
      <c r="BJ32" s="10"/>
      <c r="BK32" s="10"/>
      <c r="BL32" s="10"/>
      <c r="BM32" s="10"/>
    </row>
    <row r="33" spans="1:66" x14ac:dyDescent="0.2">
      <c r="A33" s="10">
        <v>20056769</v>
      </c>
      <c r="B33" s="10">
        <v>358516</v>
      </c>
      <c r="C33" s="10">
        <v>15000</v>
      </c>
      <c r="D33" s="10" t="s">
        <v>73</v>
      </c>
      <c r="E33" s="12" t="s">
        <v>212</v>
      </c>
      <c r="F33" s="101" t="s">
        <v>216</v>
      </c>
      <c r="G33" s="10" t="s">
        <v>125</v>
      </c>
      <c r="H33" s="10" t="s">
        <v>126</v>
      </c>
      <c r="I33" s="10" t="s">
        <v>81</v>
      </c>
      <c r="J33" s="10" t="s">
        <v>82</v>
      </c>
      <c r="K33" s="10" t="s">
        <v>66</v>
      </c>
      <c r="L33" s="10" t="s">
        <v>76</v>
      </c>
      <c r="M33" s="10" t="s">
        <v>60</v>
      </c>
      <c r="N33" s="10" t="s">
        <v>61</v>
      </c>
      <c r="O33" s="10" t="s">
        <v>164</v>
      </c>
      <c r="P33" s="10">
        <v>4</v>
      </c>
      <c r="Q33" s="10">
        <v>20</v>
      </c>
      <c r="R33" s="10">
        <v>16.600000000000001</v>
      </c>
      <c r="S33" s="10">
        <v>4.4000000000000004</v>
      </c>
      <c r="T33" s="2">
        <f t="shared" si="0"/>
        <v>45</v>
      </c>
      <c r="U33" s="10">
        <v>1951</v>
      </c>
      <c r="V33" s="10">
        <v>25854</v>
      </c>
      <c r="W33" s="2" t="str">
        <f t="shared" si="1"/>
        <v>5</v>
      </c>
      <c r="X33" s="2" t="str">
        <f t="shared" si="2"/>
        <v>5</v>
      </c>
      <c r="Y33" s="2" t="str">
        <f t="shared" si="3"/>
        <v>1</v>
      </c>
      <c r="Z33" s="3" t="str">
        <f t="shared" si="4"/>
        <v>1</v>
      </c>
      <c r="AA33" s="10">
        <v>0</v>
      </c>
      <c r="AB33" s="3">
        <f t="shared" si="12"/>
        <v>3</v>
      </c>
      <c r="AC33" s="10">
        <v>55</v>
      </c>
      <c r="AD33" s="10">
        <v>7</v>
      </c>
      <c r="AE33" s="10">
        <v>0.02</v>
      </c>
      <c r="AF33" s="10">
        <v>40.1</v>
      </c>
      <c r="AG33" s="2">
        <f t="shared" si="5"/>
        <v>2005</v>
      </c>
      <c r="AH33" s="2" t="str">
        <f t="shared" si="6"/>
        <v>1</v>
      </c>
      <c r="AI33" s="3" t="str">
        <f t="shared" si="7"/>
        <v>1</v>
      </c>
      <c r="AJ33" s="3">
        <f t="shared" si="8"/>
        <v>1</v>
      </c>
      <c r="AK33" s="2">
        <v>30</v>
      </c>
      <c r="AL33" s="2" t="str">
        <f t="shared" si="9"/>
        <v>1</v>
      </c>
      <c r="AM33" s="10">
        <v>251</v>
      </c>
      <c r="AN33" s="10">
        <v>213.35</v>
      </c>
      <c r="AO33" s="10">
        <v>628</v>
      </c>
      <c r="AP33" s="10">
        <v>533.79999999999995</v>
      </c>
      <c r="AQ33" s="10" t="s">
        <v>61</v>
      </c>
      <c r="AR33" s="10" t="s">
        <v>61</v>
      </c>
      <c r="AS33" s="10">
        <v>85</v>
      </c>
      <c r="AT33" s="2" t="str">
        <f t="shared" si="13"/>
        <v>4</v>
      </c>
      <c r="AU33" s="10">
        <v>1</v>
      </c>
      <c r="AV33" s="10">
        <v>1</v>
      </c>
      <c r="AW33" s="10">
        <v>1</v>
      </c>
      <c r="AX33" s="10" t="s">
        <v>61</v>
      </c>
      <c r="AY33" s="2">
        <v>1</v>
      </c>
      <c r="AZ33" s="10">
        <v>2013</v>
      </c>
      <c r="BA33" s="2">
        <f t="shared" si="10"/>
        <v>12</v>
      </c>
      <c r="BB33" s="2" t="str">
        <f t="shared" si="11"/>
        <v>2</v>
      </c>
      <c r="BC33" s="3">
        <v>1</v>
      </c>
      <c r="BD33" s="7">
        <f t="shared" si="14"/>
        <v>1.7500000000000002</v>
      </c>
      <c r="BE33" s="10" t="s">
        <v>815</v>
      </c>
      <c r="BF33" s="62"/>
      <c r="BG33" s="62"/>
      <c r="BH33" s="10">
        <v>5632</v>
      </c>
      <c r="BI33" s="10"/>
      <c r="BJ33" s="10"/>
      <c r="BK33" s="10"/>
      <c r="BL33" s="10"/>
      <c r="BM33" s="10"/>
      <c r="BN33" s="61" t="s">
        <v>997</v>
      </c>
    </row>
    <row r="34" spans="1:66" ht="80" x14ac:dyDescent="0.2">
      <c r="A34" s="10">
        <v>20056769</v>
      </c>
      <c r="B34" s="10">
        <v>201791</v>
      </c>
      <c r="C34" s="10">
        <v>30000</v>
      </c>
      <c r="D34" s="10" t="s">
        <v>152</v>
      </c>
      <c r="E34" s="10" t="s">
        <v>212</v>
      </c>
      <c r="F34" s="10" t="s">
        <v>1000</v>
      </c>
      <c r="G34" s="10" t="s">
        <v>125</v>
      </c>
      <c r="H34" s="10" t="s">
        <v>126</v>
      </c>
      <c r="I34" s="10" t="s">
        <v>81</v>
      </c>
      <c r="J34" s="10" t="s">
        <v>82</v>
      </c>
      <c r="K34" s="10" t="s">
        <v>48</v>
      </c>
      <c r="L34" s="10">
        <v>110</v>
      </c>
      <c r="M34" s="10" t="s">
        <v>137</v>
      </c>
      <c r="N34" s="10" t="s">
        <v>61</v>
      </c>
      <c r="O34" s="10" t="s">
        <v>172</v>
      </c>
      <c r="P34" s="10">
        <v>3.4</v>
      </c>
      <c r="Q34" s="10">
        <v>16.899999999999999</v>
      </c>
      <c r="R34" s="10">
        <v>1.9</v>
      </c>
      <c r="S34" s="10">
        <v>2.1</v>
      </c>
      <c r="T34" s="2">
        <f t="shared" si="0"/>
        <v>24.299999999999997</v>
      </c>
      <c r="U34" s="10">
        <v>846</v>
      </c>
      <c r="V34" s="10">
        <v>3243</v>
      </c>
      <c r="W34" s="2" t="str">
        <f>IF(U34&gt;=750,"5",IF(U34&gt;=550,"4",IF(U34&gt;=300,"3",IF(U34&gt;=100,"2","1"))))</f>
        <v>5</v>
      </c>
      <c r="X34" s="2" t="str">
        <f t="shared" ref="X34:X65" si="15">IF(V34&gt;=7001,"5",IF(V34&gt;=5000,"4",IF(V34&gt;=3000,"3",IF(V34&gt;=1500,"2","1"))))</f>
        <v>3</v>
      </c>
      <c r="Y34" s="2" t="str">
        <f t="shared" ref="Y34:Y65" si="16">IF(T34&gt;=401,"5",IF(T34&gt;=301,"4",IF(T34&gt;=201,"3",IF(T34&gt;=95,"2","1"))))</f>
        <v>1</v>
      </c>
      <c r="Z34" s="3" t="str">
        <f t="shared" ref="Z34:Z65" si="17">IF(AA34&gt;=7,"5",IF(AA34&gt;=6,"4",IF(AA34&gt;=5,"3",IF(AA34&gt;=2,"2","1"))))</f>
        <v>1</v>
      </c>
      <c r="AA34" s="10">
        <v>0</v>
      </c>
      <c r="AB34" s="3">
        <f>(W34+X34+Y34+Z34)/4</f>
        <v>2.5</v>
      </c>
      <c r="AC34" s="10">
        <v>53</v>
      </c>
      <c r="AD34" s="10">
        <v>6</v>
      </c>
      <c r="AE34" s="10">
        <v>0.02</v>
      </c>
      <c r="AF34" s="10">
        <v>41.8</v>
      </c>
      <c r="AG34" s="2">
        <f t="shared" ref="AG34:AG65" si="18">AF34/AE34</f>
        <v>2090</v>
      </c>
      <c r="AH34" s="2" t="str">
        <f t="shared" ref="AH34:AH65" si="19">IF(AC34&lt;=16,"5",IF(AC34&lt;=20,"4",IF(AC34&lt;=25,"3",IF(AC34&lt;=33,"2","1"))))</f>
        <v>1</v>
      </c>
      <c r="AI34" s="3" t="str">
        <f t="shared" ref="AI34:AI65" si="20">IF(AG34&lt;=713,"5",IF(AG34&lt;=999,"4",IF(AG34&lt;=1130,"3",IF(AG34&lt;=1499,"2","1"))))</f>
        <v>1</v>
      </c>
      <c r="AJ34" s="3">
        <f t="shared" ref="AJ34:AJ65" si="21">AH34*0.8+AI34*0.2</f>
        <v>1</v>
      </c>
      <c r="AK34" s="2">
        <v>14</v>
      </c>
      <c r="AL34" s="2" t="str">
        <f t="shared" si="9"/>
        <v>1</v>
      </c>
      <c r="AM34" s="10">
        <v>157</v>
      </c>
      <c r="AN34" s="10">
        <v>125.60000000000001</v>
      </c>
      <c r="AO34" s="10">
        <v>502</v>
      </c>
      <c r="AP34" s="10">
        <v>401.6</v>
      </c>
      <c r="AQ34" s="10" t="s">
        <v>61</v>
      </c>
      <c r="AR34" s="10" t="s">
        <v>61</v>
      </c>
      <c r="AS34" s="10">
        <v>65</v>
      </c>
      <c r="AT34" s="2" t="str">
        <f t="shared" si="13"/>
        <v>2</v>
      </c>
      <c r="AU34" s="10">
        <v>1</v>
      </c>
      <c r="AV34" s="10">
        <v>1</v>
      </c>
      <c r="AW34" s="10">
        <v>1</v>
      </c>
      <c r="AX34" s="10">
        <v>1</v>
      </c>
      <c r="AY34" s="2">
        <v>1</v>
      </c>
      <c r="AZ34" s="10">
        <v>2020</v>
      </c>
      <c r="BA34" s="2">
        <f t="shared" si="10"/>
        <v>5</v>
      </c>
      <c r="BB34" s="2" t="str">
        <f t="shared" si="11"/>
        <v>1</v>
      </c>
      <c r="BC34" s="3">
        <v>1</v>
      </c>
      <c r="BD34" s="7">
        <f t="shared" si="14"/>
        <v>1.4</v>
      </c>
      <c r="BE34" s="62" t="s">
        <v>827</v>
      </c>
      <c r="BF34" s="62"/>
      <c r="BG34" s="62"/>
      <c r="BH34" s="10">
        <v>10</v>
      </c>
      <c r="BI34" s="10"/>
      <c r="BJ34" s="10"/>
      <c r="BK34" s="10"/>
      <c r="BL34" s="10"/>
      <c r="BM34" s="10"/>
    </row>
    <row r="35" spans="1:66" ht="80" x14ac:dyDescent="0.2">
      <c r="A35" s="10">
        <v>20056769</v>
      </c>
      <c r="B35" s="10">
        <v>201790</v>
      </c>
      <c r="C35" s="10">
        <v>30000</v>
      </c>
      <c r="D35" s="10" t="s">
        <v>152</v>
      </c>
      <c r="E35" s="10" t="s">
        <v>212</v>
      </c>
      <c r="F35" s="10" t="s">
        <v>1001</v>
      </c>
      <c r="G35" s="10" t="s">
        <v>125</v>
      </c>
      <c r="H35" s="10" t="s">
        <v>126</v>
      </c>
      <c r="I35" s="10" t="s">
        <v>81</v>
      </c>
      <c r="J35" s="10" t="s">
        <v>82</v>
      </c>
      <c r="K35" s="10" t="s">
        <v>48</v>
      </c>
      <c r="L35" s="10">
        <v>110</v>
      </c>
      <c r="M35" s="10" t="s">
        <v>137</v>
      </c>
      <c r="N35" s="10" t="s">
        <v>61</v>
      </c>
      <c r="O35" s="10" t="s">
        <v>172</v>
      </c>
      <c r="P35" s="10">
        <v>3.4</v>
      </c>
      <c r="Q35" s="10">
        <v>15.7</v>
      </c>
      <c r="R35" s="10">
        <v>2</v>
      </c>
      <c r="S35" s="10">
        <v>2.2000000000000002</v>
      </c>
      <c r="T35" s="2">
        <f t="shared" si="0"/>
        <v>23.299999999999997</v>
      </c>
      <c r="U35" s="10">
        <v>893</v>
      </c>
      <c r="V35" s="10">
        <v>3246</v>
      </c>
      <c r="W35" s="2" t="str">
        <f t="shared" ref="W35:W65" si="22">IF(U35&gt;=750,"5",IF(U35&gt;=550,"4",IF(U35&gt;=300,"3",IF(U35&gt;=100,"2","1"))))</f>
        <v>5</v>
      </c>
      <c r="X35" s="2" t="str">
        <f t="shared" si="15"/>
        <v>3</v>
      </c>
      <c r="Y35" s="2" t="str">
        <f t="shared" si="16"/>
        <v>1</v>
      </c>
      <c r="Z35" s="3" t="str">
        <f t="shared" si="17"/>
        <v>1</v>
      </c>
      <c r="AA35" s="10">
        <v>0</v>
      </c>
      <c r="AB35" s="3">
        <f t="shared" si="12"/>
        <v>2.5</v>
      </c>
      <c r="AC35" s="10">
        <v>54</v>
      </c>
      <c r="AD35" s="10">
        <v>6</v>
      </c>
      <c r="AE35" s="10">
        <v>0.02</v>
      </c>
      <c r="AF35" s="10">
        <v>40.299999999999997</v>
      </c>
      <c r="AG35" s="2">
        <f t="shared" si="18"/>
        <v>2014.9999999999998</v>
      </c>
      <c r="AH35" s="2" t="str">
        <f t="shared" si="19"/>
        <v>1</v>
      </c>
      <c r="AI35" s="3" t="str">
        <f t="shared" si="20"/>
        <v>1</v>
      </c>
      <c r="AJ35" s="3">
        <f t="shared" si="21"/>
        <v>1</v>
      </c>
      <c r="AK35" s="2">
        <v>14</v>
      </c>
      <c r="AL35" s="2" t="str">
        <f t="shared" si="9"/>
        <v>1</v>
      </c>
      <c r="AM35" s="10">
        <v>157</v>
      </c>
      <c r="AN35" s="10">
        <v>125.60000000000001</v>
      </c>
      <c r="AO35" s="10">
        <v>502</v>
      </c>
      <c r="AP35" s="10">
        <v>401.6</v>
      </c>
      <c r="AQ35" s="10" t="s">
        <v>61</v>
      </c>
      <c r="AR35" s="10" t="s">
        <v>61</v>
      </c>
      <c r="AS35" s="10">
        <v>65</v>
      </c>
      <c r="AT35" s="2" t="str">
        <f t="shared" si="13"/>
        <v>2</v>
      </c>
      <c r="AU35" s="10">
        <v>1</v>
      </c>
      <c r="AV35" s="10">
        <v>1</v>
      </c>
      <c r="AW35" s="10">
        <v>1</v>
      </c>
      <c r="AX35" s="10">
        <v>1</v>
      </c>
      <c r="AY35" s="2">
        <v>1</v>
      </c>
      <c r="AZ35" s="10">
        <v>2020</v>
      </c>
      <c r="BA35" s="2">
        <f t="shared" si="10"/>
        <v>5</v>
      </c>
      <c r="BB35" s="2" t="str">
        <f t="shared" si="11"/>
        <v>1</v>
      </c>
      <c r="BC35" s="3">
        <v>1</v>
      </c>
      <c r="BD35" s="7">
        <f t="shared" si="14"/>
        <v>1.4</v>
      </c>
      <c r="BE35" s="62" t="s">
        <v>827</v>
      </c>
      <c r="BF35" s="62"/>
      <c r="BG35" s="62"/>
      <c r="BH35" s="10">
        <v>4</v>
      </c>
      <c r="BI35" s="10"/>
      <c r="BJ35" s="10"/>
      <c r="BK35" s="10"/>
      <c r="BL35" s="10"/>
      <c r="BM35" s="10"/>
    </row>
    <row r="36" spans="1:66" ht="48" x14ac:dyDescent="0.2">
      <c r="A36" s="10">
        <v>20016785</v>
      </c>
      <c r="B36" s="10">
        <v>200756</v>
      </c>
      <c r="C36" s="10">
        <v>50000</v>
      </c>
      <c r="D36" s="10" t="s">
        <v>134</v>
      </c>
      <c r="E36" s="10" t="s">
        <v>68</v>
      </c>
      <c r="F36" s="10" t="s">
        <v>71</v>
      </c>
      <c r="G36" s="10" t="s">
        <v>70</v>
      </c>
      <c r="H36" s="10" t="s">
        <v>70</v>
      </c>
      <c r="I36" s="10" t="s">
        <v>81</v>
      </c>
      <c r="J36" s="10" t="s">
        <v>82</v>
      </c>
      <c r="K36" s="10" t="s">
        <v>48</v>
      </c>
      <c r="L36" s="10">
        <v>66</v>
      </c>
      <c r="M36" s="10" t="s">
        <v>60</v>
      </c>
      <c r="N36" s="10" t="s">
        <v>61</v>
      </c>
      <c r="O36" s="10" t="s">
        <v>219</v>
      </c>
      <c r="P36" s="10">
        <v>17.399999999999999</v>
      </c>
      <c r="Q36" s="10">
        <v>237</v>
      </c>
      <c r="R36" s="10">
        <v>22</v>
      </c>
      <c r="S36" s="10">
        <v>192</v>
      </c>
      <c r="T36" s="2">
        <f t="shared" si="0"/>
        <v>468.4</v>
      </c>
      <c r="U36" s="10">
        <v>465</v>
      </c>
      <c r="V36" s="10">
        <v>5068</v>
      </c>
      <c r="W36" s="2" t="str">
        <f t="shared" si="22"/>
        <v>3</v>
      </c>
      <c r="X36" s="2" t="str">
        <f t="shared" si="15"/>
        <v>4</v>
      </c>
      <c r="Y36" s="2" t="str">
        <f t="shared" si="16"/>
        <v>5</v>
      </c>
      <c r="Z36" s="3" t="str">
        <f t="shared" si="17"/>
        <v>1</v>
      </c>
      <c r="AA36" s="10">
        <v>0</v>
      </c>
      <c r="AB36" s="3">
        <f t="shared" si="12"/>
        <v>3.25</v>
      </c>
      <c r="AC36" s="10">
        <v>54</v>
      </c>
      <c r="AD36" s="10">
        <v>8</v>
      </c>
      <c r="AE36" s="10">
        <v>0.02</v>
      </c>
      <c r="AF36" s="10">
        <v>39.200000000000003</v>
      </c>
      <c r="AG36" s="2">
        <f t="shared" si="18"/>
        <v>1960</v>
      </c>
      <c r="AH36" s="2" t="str">
        <f t="shared" si="19"/>
        <v>1</v>
      </c>
      <c r="AI36" s="3" t="str">
        <f t="shared" si="20"/>
        <v>1</v>
      </c>
      <c r="AJ36" s="3">
        <f t="shared" si="21"/>
        <v>1</v>
      </c>
      <c r="AK36" s="2">
        <v>31</v>
      </c>
      <c r="AL36" s="2" t="str">
        <f t="shared" si="9"/>
        <v>1</v>
      </c>
      <c r="AM36" s="10">
        <v>437.4</v>
      </c>
      <c r="AN36" s="10">
        <v>393.65999999999997</v>
      </c>
      <c r="AO36" s="10">
        <v>2091.9</v>
      </c>
      <c r="AP36" s="10">
        <v>1882.71</v>
      </c>
      <c r="AQ36" s="10" t="s">
        <v>61</v>
      </c>
      <c r="AR36" s="10" t="s">
        <v>61</v>
      </c>
      <c r="AS36" s="10">
        <v>90</v>
      </c>
      <c r="AT36" s="2" t="str">
        <f t="shared" si="13"/>
        <v>4</v>
      </c>
      <c r="AU36" s="10">
        <v>1</v>
      </c>
      <c r="AV36" s="10">
        <v>1</v>
      </c>
      <c r="AW36" s="10">
        <v>5</v>
      </c>
      <c r="AX36" s="10">
        <v>1</v>
      </c>
      <c r="AY36" s="2">
        <v>1</v>
      </c>
      <c r="AZ36" s="10">
        <v>2010</v>
      </c>
      <c r="BA36" s="2">
        <f t="shared" si="10"/>
        <v>15</v>
      </c>
      <c r="BB36" s="2" t="str">
        <f t="shared" si="11"/>
        <v>2</v>
      </c>
      <c r="BC36" s="3">
        <v>1</v>
      </c>
      <c r="BD36" s="7">
        <f t="shared" si="14"/>
        <v>1.8</v>
      </c>
      <c r="BE36" s="10" t="s">
        <v>823</v>
      </c>
      <c r="BF36" s="62"/>
      <c r="BG36" s="62" t="s">
        <v>862</v>
      </c>
      <c r="BH36" s="10">
        <v>13512</v>
      </c>
      <c r="BI36" s="10"/>
      <c r="BJ36" s="10"/>
      <c r="BK36" s="10"/>
      <c r="BL36" s="10"/>
      <c r="BM36" s="10"/>
      <c r="BN36" s="61" t="s">
        <v>997</v>
      </c>
    </row>
    <row r="37" spans="1:66" ht="32" x14ac:dyDescent="0.2">
      <c r="A37" s="10">
        <v>20016785</v>
      </c>
      <c r="B37" s="10" t="s">
        <v>67</v>
      </c>
      <c r="C37" s="10">
        <v>50000</v>
      </c>
      <c r="D37" s="10" t="s">
        <v>134</v>
      </c>
      <c r="E37" s="10" t="s">
        <v>68</v>
      </c>
      <c r="F37" s="10" t="s">
        <v>69</v>
      </c>
      <c r="G37" s="10" t="s">
        <v>70</v>
      </c>
      <c r="H37" s="10" t="s">
        <v>70</v>
      </c>
      <c r="I37" s="10" t="s">
        <v>81</v>
      </c>
      <c r="J37" s="10" t="s">
        <v>143</v>
      </c>
      <c r="K37" s="10" t="s">
        <v>48</v>
      </c>
      <c r="L37" s="10">
        <v>66</v>
      </c>
      <c r="M37" s="10" t="s">
        <v>60</v>
      </c>
      <c r="N37" s="10" t="s">
        <v>61</v>
      </c>
      <c r="O37" s="10" t="s">
        <v>219</v>
      </c>
      <c r="P37" s="10">
        <v>2.7</v>
      </c>
      <c r="Q37" s="10">
        <v>35</v>
      </c>
      <c r="R37" s="10">
        <v>2.4</v>
      </c>
      <c r="S37" s="10">
        <v>4.0999999999999996</v>
      </c>
      <c r="T37" s="2">
        <f t="shared" si="0"/>
        <v>44.2</v>
      </c>
      <c r="U37" s="10">
        <v>1154</v>
      </c>
      <c r="V37" s="10">
        <v>6148</v>
      </c>
      <c r="W37" s="2" t="str">
        <f t="shared" si="22"/>
        <v>5</v>
      </c>
      <c r="X37" s="2" t="str">
        <f t="shared" si="15"/>
        <v>4</v>
      </c>
      <c r="Y37" s="2" t="str">
        <f t="shared" si="16"/>
        <v>1</v>
      </c>
      <c r="Z37" s="3" t="str">
        <f t="shared" si="17"/>
        <v>1</v>
      </c>
      <c r="AA37" s="10">
        <v>0</v>
      </c>
      <c r="AB37" s="3">
        <f t="shared" si="12"/>
        <v>2.75</v>
      </c>
      <c r="AC37" s="10">
        <v>57</v>
      </c>
      <c r="AD37" s="10">
        <v>8</v>
      </c>
      <c r="AE37" s="10">
        <v>0.02</v>
      </c>
      <c r="AF37" s="10">
        <v>41.9</v>
      </c>
      <c r="AG37" s="2">
        <f t="shared" si="18"/>
        <v>2095</v>
      </c>
      <c r="AH37" s="2" t="str">
        <f t="shared" si="19"/>
        <v>1</v>
      </c>
      <c r="AI37" s="3" t="str">
        <f t="shared" si="20"/>
        <v>1</v>
      </c>
      <c r="AJ37" s="3">
        <f t="shared" si="21"/>
        <v>1</v>
      </c>
      <c r="AK37" s="2">
        <v>14</v>
      </c>
      <c r="AL37" s="2" t="str">
        <f t="shared" si="9"/>
        <v>1</v>
      </c>
      <c r="AM37" s="10">
        <v>437.4</v>
      </c>
      <c r="AN37" s="10">
        <v>297.43200000000002</v>
      </c>
      <c r="AO37" s="10">
        <v>2091.8000000000002</v>
      </c>
      <c r="AP37" s="10">
        <v>1422.4240000000002</v>
      </c>
      <c r="AQ37" s="10" t="s">
        <v>61</v>
      </c>
      <c r="AR37" s="10" t="s">
        <v>61</v>
      </c>
      <c r="AS37" s="10">
        <v>68</v>
      </c>
      <c r="AT37" s="2" t="str">
        <f t="shared" si="13"/>
        <v>3</v>
      </c>
      <c r="AU37" s="10">
        <v>1</v>
      </c>
      <c r="AV37" s="10">
        <v>1</v>
      </c>
      <c r="AW37" s="10">
        <v>1</v>
      </c>
      <c r="AX37" s="10">
        <v>1</v>
      </c>
      <c r="AY37" s="2">
        <v>1</v>
      </c>
      <c r="AZ37" s="10">
        <v>2011</v>
      </c>
      <c r="BA37" s="2">
        <f t="shared" si="10"/>
        <v>14</v>
      </c>
      <c r="BB37" s="2" t="str">
        <f t="shared" si="11"/>
        <v>2</v>
      </c>
      <c r="BC37" s="3">
        <v>1</v>
      </c>
      <c r="BD37" s="7">
        <f t="shared" si="14"/>
        <v>1.6</v>
      </c>
      <c r="BE37" s="10" t="s">
        <v>815</v>
      </c>
      <c r="BF37" s="62"/>
      <c r="BG37" s="62" t="s">
        <v>859</v>
      </c>
      <c r="BH37" s="10">
        <v>28222</v>
      </c>
      <c r="BI37" s="10"/>
      <c r="BJ37" s="10"/>
      <c r="BK37" s="10"/>
      <c r="BL37" s="10"/>
      <c r="BM37" s="10"/>
      <c r="BN37" s="61" t="s">
        <v>998</v>
      </c>
    </row>
    <row r="38" spans="1:66" ht="64" x14ac:dyDescent="0.2">
      <c r="A38" s="10">
        <v>20056780</v>
      </c>
      <c r="B38" s="10">
        <v>386780</v>
      </c>
      <c r="C38" s="10">
        <v>20000</v>
      </c>
      <c r="D38" s="10" t="s">
        <v>152</v>
      </c>
      <c r="E38" s="10" t="s">
        <v>224</v>
      </c>
      <c r="F38" s="10" t="s">
        <v>229</v>
      </c>
      <c r="G38" s="10" t="s">
        <v>125</v>
      </c>
      <c r="H38" s="10" t="s">
        <v>126</v>
      </c>
      <c r="I38" s="10" t="s">
        <v>81</v>
      </c>
      <c r="J38" s="10" t="s">
        <v>82</v>
      </c>
      <c r="K38" s="10" t="s">
        <v>48</v>
      </c>
      <c r="L38" s="10" t="s">
        <v>137</v>
      </c>
      <c r="M38" s="10" t="s">
        <v>60</v>
      </c>
      <c r="N38" s="10" t="s">
        <v>61</v>
      </c>
      <c r="O38" s="10" t="s">
        <v>218</v>
      </c>
      <c r="P38" s="10">
        <v>2.2999999999999998</v>
      </c>
      <c r="Q38" s="10">
        <v>2</v>
      </c>
      <c r="R38" s="10">
        <v>7.2</v>
      </c>
      <c r="S38" s="10">
        <v>0.3</v>
      </c>
      <c r="T38" s="2">
        <f t="shared" si="0"/>
        <v>11.8</v>
      </c>
      <c r="U38" s="10">
        <v>273</v>
      </c>
      <c r="V38" s="10">
        <v>1360</v>
      </c>
      <c r="W38" s="2" t="str">
        <f t="shared" si="22"/>
        <v>2</v>
      </c>
      <c r="X38" s="2" t="str">
        <f t="shared" si="15"/>
        <v>1</v>
      </c>
      <c r="Y38" s="2" t="str">
        <f t="shared" si="16"/>
        <v>1</v>
      </c>
      <c r="Z38" s="3" t="str">
        <f t="shared" si="17"/>
        <v>1</v>
      </c>
      <c r="AA38" s="10">
        <v>0</v>
      </c>
      <c r="AB38" s="3">
        <f t="shared" si="12"/>
        <v>1.25</v>
      </c>
      <c r="AC38" s="10">
        <v>59</v>
      </c>
      <c r="AD38" s="10">
        <v>7</v>
      </c>
      <c r="AE38" s="10">
        <v>0.02</v>
      </c>
      <c r="AF38" s="10">
        <v>42.6</v>
      </c>
      <c r="AG38" s="2">
        <f t="shared" si="18"/>
        <v>2130</v>
      </c>
      <c r="AH38" s="2" t="str">
        <f t="shared" si="19"/>
        <v>1</v>
      </c>
      <c r="AI38" s="3" t="str">
        <f t="shared" si="20"/>
        <v>1</v>
      </c>
      <c r="AJ38" s="3">
        <f t="shared" si="21"/>
        <v>1</v>
      </c>
      <c r="AK38" s="2">
        <v>14</v>
      </c>
      <c r="AL38" s="2" t="str">
        <f t="shared" si="9"/>
        <v>1</v>
      </c>
      <c r="AM38" s="10">
        <v>335</v>
      </c>
      <c r="AN38" s="10">
        <v>284.75</v>
      </c>
      <c r="AO38" s="10">
        <v>837</v>
      </c>
      <c r="AP38" s="10">
        <v>694.70999999999992</v>
      </c>
      <c r="AQ38" s="10" t="s">
        <v>61</v>
      </c>
      <c r="AR38" s="10" t="s">
        <v>61</v>
      </c>
      <c r="AS38" s="10">
        <v>85</v>
      </c>
      <c r="AT38" s="2" t="str">
        <f t="shared" si="13"/>
        <v>4</v>
      </c>
      <c r="AU38" s="10">
        <v>1</v>
      </c>
      <c r="AV38" s="10">
        <v>1</v>
      </c>
      <c r="AW38" s="10">
        <v>1</v>
      </c>
      <c r="AX38" s="10">
        <v>1</v>
      </c>
      <c r="AY38" s="2">
        <v>1</v>
      </c>
      <c r="AZ38" s="10">
        <v>2014</v>
      </c>
      <c r="BA38" s="2">
        <f t="shared" si="10"/>
        <v>11</v>
      </c>
      <c r="BB38" s="2" t="str">
        <f t="shared" si="11"/>
        <v>2</v>
      </c>
      <c r="BC38" s="3">
        <v>1</v>
      </c>
      <c r="BD38" s="7">
        <f t="shared" si="14"/>
        <v>1.4000000000000001</v>
      </c>
      <c r="BE38" s="62" t="s">
        <v>828</v>
      </c>
      <c r="BF38" s="62"/>
      <c r="BG38" s="62"/>
      <c r="BH38" s="10">
        <v>1</v>
      </c>
      <c r="BI38" s="10"/>
      <c r="BJ38" s="10"/>
      <c r="BK38" s="107">
        <v>46149</v>
      </c>
      <c r="BL38" s="10" t="s">
        <v>934</v>
      </c>
      <c r="BM38" s="10"/>
    </row>
    <row r="39" spans="1:66" ht="64" x14ac:dyDescent="0.2">
      <c r="A39" s="10">
        <v>20056780</v>
      </c>
      <c r="B39" s="10">
        <v>201508</v>
      </c>
      <c r="C39" s="10">
        <v>60000</v>
      </c>
      <c r="D39" s="10" t="s">
        <v>134</v>
      </c>
      <c r="E39" s="10" t="s">
        <v>224</v>
      </c>
      <c r="F39" s="10" t="s">
        <v>1002</v>
      </c>
      <c r="G39" s="10" t="s">
        <v>125</v>
      </c>
      <c r="H39" s="10" t="s">
        <v>126</v>
      </c>
      <c r="I39" s="10" t="s">
        <v>81</v>
      </c>
      <c r="J39" s="10" t="s">
        <v>82</v>
      </c>
      <c r="K39" s="10" t="s">
        <v>48</v>
      </c>
      <c r="L39" s="10">
        <v>110</v>
      </c>
      <c r="M39" s="10" t="s">
        <v>137</v>
      </c>
      <c r="N39" s="10" t="s">
        <v>61</v>
      </c>
      <c r="O39" s="10" t="s">
        <v>226</v>
      </c>
      <c r="P39" s="10">
        <v>2.1</v>
      </c>
      <c r="Q39" s="10">
        <v>15.8</v>
      </c>
      <c r="R39" s="10">
        <v>2.5</v>
      </c>
      <c r="S39" s="10">
        <v>2.1</v>
      </c>
      <c r="T39" s="2">
        <f t="shared" si="0"/>
        <v>22.500000000000004</v>
      </c>
      <c r="U39" s="10">
        <v>950</v>
      </c>
      <c r="V39" s="10">
        <v>2435</v>
      </c>
      <c r="W39" s="2" t="str">
        <f t="shared" si="22"/>
        <v>5</v>
      </c>
      <c r="X39" s="2" t="str">
        <f t="shared" si="15"/>
        <v>2</v>
      </c>
      <c r="Y39" s="2" t="str">
        <f t="shared" si="16"/>
        <v>1</v>
      </c>
      <c r="Z39" s="3" t="str">
        <f t="shared" si="17"/>
        <v>1</v>
      </c>
      <c r="AA39" s="10">
        <v>0</v>
      </c>
      <c r="AB39" s="3">
        <f t="shared" si="12"/>
        <v>2.25</v>
      </c>
      <c r="AC39" s="10">
        <v>55</v>
      </c>
      <c r="AD39" s="10">
        <v>5</v>
      </c>
      <c r="AE39" s="10">
        <v>0.02</v>
      </c>
      <c r="AF39" s="10">
        <v>40.6</v>
      </c>
      <c r="AG39" s="2">
        <f t="shared" si="18"/>
        <v>2030</v>
      </c>
      <c r="AH39" s="2" t="str">
        <f t="shared" si="19"/>
        <v>1</v>
      </c>
      <c r="AI39" s="3" t="str">
        <f t="shared" si="20"/>
        <v>1</v>
      </c>
      <c r="AJ39" s="3">
        <f t="shared" si="21"/>
        <v>1</v>
      </c>
      <c r="AK39" s="2">
        <v>14</v>
      </c>
      <c r="AL39" s="2" t="str">
        <f t="shared" si="9"/>
        <v>1</v>
      </c>
      <c r="AM39" s="10">
        <v>315</v>
      </c>
      <c r="AN39" s="10">
        <v>148.04999999999998</v>
      </c>
      <c r="AO39" s="10">
        <v>1004</v>
      </c>
      <c r="AP39" s="10">
        <v>461.84000000000003</v>
      </c>
      <c r="AQ39" s="10" t="s">
        <v>61</v>
      </c>
      <c r="AR39" s="10" t="s">
        <v>61</v>
      </c>
      <c r="AS39" s="10">
        <v>47</v>
      </c>
      <c r="AT39" s="2" t="str">
        <f t="shared" si="13"/>
        <v>1</v>
      </c>
      <c r="AU39" s="10">
        <v>1</v>
      </c>
      <c r="AV39" s="10">
        <v>1</v>
      </c>
      <c r="AW39" s="10">
        <v>1</v>
      </c>
      <c r="AX39" s="10">
        <v>1</v>
      </c>
      <c r="AY39" s="2">
        <v>1</v>
      </c>
      <c r="AZ39" s="10">
        <v>2017</v>
      </c>
      <c r="BA39" s="2">
        <f t="shared" si="10"/>
        <v>8</v>
      </c>
      <c r="BB39" s="2" t="str">
        <f t="shared" si="11"/>
        <v>2</v>
      </c>
      <c r="BC39" s="3">
        <v>1</v>
      </c>
      <c r="BD39" s="7">
        <f t="shared" si="14"/>
        <v>1.3</v>
      </c>
      <c r="BE39" s="62" t="s">
        <v>828</v>
      </c>
      <c r="BF39" s="62"/>
      <c r="BG39" s="62"/>
      <c r="BH39" s="10">
        <v>14718</v>
      </c>
      <c r="BI39" s="10"/>
      <c r="BJ39" s="10"/>
      <c r="BK39" s="107">
        <v>46149</v>
      </c>
      <c r="BL39" s="10" t="s">
        <v>934</v>
      </c>
      <c r="BM39" s="10"/>
    </row>
    <row r="40" spans="1:66" ht="64" x14ac:dyDescent="0.2">
      <c r="A40" s="10">
        <v>20056780</v>
      </c>
      <c r="B40" s="10">
        <v>1056008748</v>
      </c>
      <c r="C40" s="10">
        <v>60000</v>
      </c>
      <c r="D40" s="10" t="s">
        <v>134</v>
      </c>
      <c r="E40" s="10" t="s">
        <v>224</v>
      </c>
      <c r="F40" s="10" t="s">
        <v>225</v>
      </c>
      <c r="G40" s="10" t="s">
        <v>125</v>
      </c>
      <c r="H40" s="10" t="s">
        <v>126</v>
      </c>
      <c r="I40" s="10" t="s">
        <v>81</v>
      </c>
      <c r="J40" s="10" t="s">
        <v>82</v>
      </c>
      <c r="K40" s="10" t="s">
        <v>48</v>
      </c>
      <c r="L40" s="10">
        <v>110</v>
      </c>
      <c r="M40" s="10" t="s">
        <v>137</v>
      </c>
      <c r="N40" s="10" t="s">
        <v>61</v>
      </c>
      <c r="O40" s="10" t="s">
        <v>226</v>
      </c>
      <c r="P40" s="10">
        <v>9.9</v>
      </c>
      <c r="Q40" s="10">
        <v>6.8</v>
      </c>
      <c r="R40" s="10">
        <v>0.4</v>
      </c>
      <c r="S40" s="10">
        <v>0.6</v>
      </c>
      <c r="T40" s="2">
        <f t="shared" si="0"/>
        <v>17.7</v>
      </c>
      <c r="U40" s="10">
        <v>750</v>
      </c>
      <c r="V40" s="10">
        <v>1337</v>
      </c>
      <c r="W40" s="2" t="str">
        <f t="shared" si="22"/>
        <v>5</v>
      </c>
      <c r="X40" s="2" t="str">
        <f t="shared" si="15"/>
        <v>1</v>
      </c>
      <c r="Y40" s="2" t="str">
        <f t="shared" si="16"/>
        <v>1</v>
      </c>
      <c r="Z40" s="3" t="str">
        <f t="shared" si="17"/>
        <v>1</v>
      </c>
      <c r="AA40" s="10">
        <v>0</v>
      </c>
      <c r="AB40" s="3">
        <f t="shared" si="12"/>
        <v>2</v>
      </c>
      <c r="AC40" s="10">
        <v>58</v>
      </c>
      <c r="AD40" s="10">
        <v>5</v>
      </c>
      <c r="AE40" s="10">
        <v>0.02</v>
      </c>
      <c r="AF40" s="10">
        <v>43.9</v>
      </c>
      <c r="AG40" s="2">
        <f t="shared" si="18"/>
        <v>2195</v>
      </c>
      <c r="AH40" s="2" t="str">
        <f t="shared" si="19"/>
        <v>1</v>
      </c>
      <c r="AI40" s="3" t="str">
        <f t="shared" si="20"/>
        <v>1</v>
      </c>
      <c r="AJ40" s="3">
        <f t="shared" si="21"/>
        <v>1</v>
      </c>
      <c r="AK40" s="2">
        <v>14</v>
      </c>
      <c r="AL40" s="2" t="str">
        <f t="shared" si="9"/>
        <v>1</v>
      </c>
      <c r="AM40" s="10">
        <v>314.92</v>
      </c>
      <c r="AN40" s="10">
        <v>173.20600000000002</v>
      </c>
      <c r="AO40" s="10">
        <v>1004.1</v>
      </c>
      <c r="AP40" s="10">
        <v>552.25500000000011</v>
      </c>
      <c r="AQ40" s="10" t="s">
        <v>61</v>
      </c>
      <c r="AR40" s="10" t="s">
        <v>61</v>
      </c>
      <c r="AS40" s="10">
        <v>55</v>
      </c>
      <c r="AT40" s="2" t="str">
        <f t="shared" si="13"/>
        <v>1</v>
      </c>
      <c r="AU40" s="10">
        <v>1</v>
      </c>
      <c r="AV40" s="10">
        <v>1</v>
      </c>
      <c r="AW40" s="10">
        <v>1</v>
      </c>
      <c r="AX40" s="10">
        <v>1</v>
      </c>
      <c r="AY40" s="2">
        <v>1</v>
      </c>
      <c r="AZ40" s="10">
        <v>2021</v>
      </c>
      <c r="BA40" s="2">
        <f t="shared" si="10"/>
        <v>4</v>
      </c>
      <c r="BB40" s="2" t="str">
        <f t="shared" si="11"/>
        <v>1</v>
      </c>
      <c r="BC40" s="3">
        <v>1</v>
      </c>
      <c r="BD40" s="7">
        <f t="shared" si="14"/>
        <v>1.2</v>
      </c>
      <c r="BE40" s="62" t="s">
        <v>828</v>
      </c>
      <c r="BF40" s="62"/>
      <c r="BG40" s="62"/>
      <c r="BH40" s="10">
        <v>1</v>
      </c>
      <c r="BI40" s="10"/>
      <c r="BJ40" s="10"/>
      <c r="BK40" s="107">
        <v>46149</v>
      </c>
      <c r="BL40" s="10" t="s">
        <v>934</v>
      </c>
      <c r="BM40" s="10"/>
    </row>
    <row r="41" spans="1:66" ht="48" x14ac:dyDescent="0.2">
      <c r="A41" s="10">
        <v>20026771</v>
      </c>
      <c r="B41" s="10" t="s">
        <v>797</v>
      </c>
      <c r="C41" s="10">
        <v>12500</v>
      </c>
      <c r="D41" s="10" t="s">
        <v>73</v>
      </c>
      <c r="E41" s="12" t="s">
        <v>232</v>
      </c>
      <c r="F41" s="101" t="s">
        <v>233</v>
      </c>
      <c r="G41" s="10" t="s">
        <v>58</v>
      </c>
      <c r="H41" s="10" t="s">
        <v>59</v>
      </c>
      <c r="I41" s="10" t="s">
        <v>81</v>
      </c>
      <c r="J41" s="10" t="s">
        <v>143</v>
      </c>
      <c r="K41" s="10" t="s">
        <v>48</v>
      </c>
      <c r="L41" s="10" t="s">
        <v>76</v>
      </c>
      <c r="M41" s="10" t="s">
        <v>234</v>
      </c>
      <c r="N41" s="10" t="s">
        <v>61</v>
      </c>
      <c r="O41" s="10" t="s">
        <v>164</v>
      </c>
      <c r="P41" s="10">
        <v>6.6</v>
      </c>
      <c r="Q41" s="10">
        <v>46</v>
      </c>
      <c r="R41" s="10">
        <v>127</v>
      </c>
      <c r="S41" s="10">
        <v>21</v>
      </c>
      <c r="T41" s="2">
        <f t="shared" si="0"/>
        <v>200.6</v>
      </c>
      <c r="U41" s="10">
        <v>1203</v>
      </c>
      <c r="V41" s="10">
        <v>14751</v>
      </c>
      <c r="W41" s="2" t="str">
        <f t="shared" si="22"/>
        <v>5</v>
      </c>
      <c r="X41" s="2" t="str">
        <f t="shared" si="15"/>
        <v>5</v>
      </c>
      <c r="Y41" s="2" t="str">
        <f t="shared" si="16"/>
        <v>2</v>
      </c>
      <c r="Z41" s="3" t="str">
        <f t="shared" si="17"/>
        <v>1</v>
      </c>
      <c r="AA41" s="10">
        <v>0</v>
      </c>
      <c r="AB41" s="3">
        <f t="shared" si="12"/>
        <v>3.25</v>
      </c>
      <c r="AC41" s="10">
        <v>22</v>
      </c>
      <c r="AD41" s="10">
        <v>25</v>
      </c>
      <c r="AE41" s="10">
        <v>0.02</v>
      </c>
      <c r="AF41" s="10">
        <v>41.8</v>
      </c>
      <c r="AG41" s="2">
        <f t="shared" si="18"/>
        <v>2090</v>
      </c>
      <c r="AH41" s="2" t="str">
        <f t="shared" si="19"/>
        <v>3</v>
      </c>
      <c r="AI41" s="3" t="str">
        <f t="shared" si="20"/>
        <v>1</v>
      </c>
      <c r="AJ41" s="3">
        <f t="shared" si="21"/>
        <v>2.6000000000000005</v>
      </c>
      <c r="AK41" s="2">
        <v>4876</v>
      </c>
      <c r="AL41" s="2" t="str">
        <f t="shared" si="9"/>
        <v>4</v>
      </c>
      <c r="AM41" s="10">
        <v>209</v>
      </c>
      <c r="AN41" s="10">
        <v>123.30999999999999</v>
      </c>
      <c r="AO41" s="10">
        <v>487</v>
      </c>
      <c r="AP41" s="10">
        <v>287.33</v>
      </c>
      <c r="AQ41" s="10" t="s">
        <v>61</v>
      </c>
      <c r="AR41" s="10" t="s">
        <v>61</v>
      </c>
      <c r="AS41" s="10">
        <v>96</v>
      </c>
      <c r="AT41" s="2" t="str">
        <f t="shared" si="13"/>
        <v>5</v>
      </c>
      <c r="AU41" s="10">
        <v>1</v>
      </c>
      <c r="AV41" s="10">
        <v>1</v>
      </c>
      <c r="AW41" s="10">
        <v>1</v>
      </c>
      <c r="AX41" s="10">
        <v>1</v>
      </c>
      <c r="AY41" s="2">
        <v>1</v>
      </c>
      <c r="AZ41" s="10">
        <v>1980</v>
      </c>
      <c r="BA41" s="2">
        <f t="shared" si="10"/>
        <v>45</v>
      </c>
      <c r="BB41" s="2" t="str">
        <f t="shared" si="11"/>
        <v>5</v>
      </c>
      <c r="BC41" s="3">
        <v>1</v>
      </c>
      <c r="BD41" s="7">
        <f t="shared" si="14"/>
        <v>2.5680000000000001</v>
      </c>
      <c r="BE41" s="62" t="s">
        <v>947</v>
      </c>
      <c r="BF41" s="62"/>
      <c r="BG41" s="62" t="s">
        <v>857</v>
      </c>
      <c r="BH41" s="10">
        <v>7997</v>
      </c>
      <c r="BI41" s="10" t="s">
        <v>948</v>
      </c>
      <c r="BJ41" s="10" t="s">
        <v>928</v>
      </c>
      <c r="BK41" s="10" t="s">
        <v>964</v>
      </c>
      <c r="BL41" s="10" t="s">
        <v>950</v>
      </c>
      <c r="BM41" s="109">
        <v>73000000</v>
      </c>
      <c r="BN41" s="61" t="s">
        <v>997</v>
      </c>
    </row>
    <row r="42" spans="1:66" ht="80" x14ac:dyDescent="0.2">
      <c r="A42" s="10">
        <v>20056774</v>
      </c>
      <c r="B42" s="10">
        <v>200100</v>
      </c>
      <c r="C42" s="10">
        <v>6500</v>
      </c>
      <c r="D42" s="10" t="s">
        <v>73</v>
      </c>
      <c r="E42" s="10" t="s">
        <v>237</v>
      </c>
      <c r="F42" s="10" t="s">
        <v>239</v>
      </c>
      <c r="G42" s="10" t="s">
        <v>125</v>
      </c>
      <c r="H42" s="10" t="s">
        <v>126</v>
      </c>
      <c r="I42" s="10" t="s">
        <v>81</v>
      </c>
      <c r="J42" s="10" t="s">
        <v>82</v>
      </c>
      <c r="K42" s="10" t="s">
        <v>66</v>
      </c>
      <c r="L42" s="10" t="s">
        <v>76</v>
      </c>
      <c r="M42" s="10" t="s">
        <v>60</v>
      </c>
      <c r="N42" s="10" t="s">
        <v>61</v>
      </c>
      <c r="O42" s="10" t="s">
        <v>83</v>
      </c>
      <c r="P42" s="10">
        <v>2.2999999999999998</v>
      </c>
      <c r="Q42" s="10">
        <v>21</v>
      </c>
      <c r="R42" s="10">
        <v>71</v>
      </c>
      <c r="S42" s="10">
        <v>5.2</v>
      </c>
      <c r="T42" s="2">
        <f t="shared" si="0"/>
        <v>99.5</v>
      </c>
      <c r="U42" s="10">
        <v>1789</v>
      </c>
      <c r="V42" s="10">
        <v>5938</v>
      </c>
      <c r="W42" s="2" t="str">
        <f t="shared" si="22"/>
        <v>5</v>
      </c>
      <c r="X42" s="2" t="str">
        <f t="shared" si="15"/>
        <v>4</v>
      </c>
      <c r="Y42" s="2" t="str">
        <f t="shared" si="16"/>
        <v>2</v>
      </c>
      <c r="Z42" s="3" t="str">
        <f t="shared" si="17"/>
        <v>2</v>
      </c>
      <c r="AA42" s="10">
        <v>2.2999999999999998</v>
      </c>
      <c r="AB42" s="3">
        <f t="shared" si="12"/>
        <v>3.25</v>
      </c>
      <c r="AC42" s="10">
        <v>46</v>
      </c>
      <c r="AD42" s="10">
        <v>13</v>
      </c>
      <c r="AE42" s="10">
        <v>0.03</v>
      </c>
      <c r="AF42" s="10">
        <v>30.9</v>
      </c>
      <c r="AG42" s="2">
        <f t="shared" si="18"/>
        <v>1030</v>
      </c>
      <c r="AH42" s="2" t="str">
        <f t="shared" si="19"/>
        <v>1</v>
      </c>
      <c r="AI42" s="3" t="str">
        <f t="shared" si="20"/>
        <v>3</v>
      </c>
      <c r="AJ42" s="3">
        <f t="shared" si="21"/>
        <v>1.4000000000000001</v>
      </c>
      <c r="AK42" s="2">
        <v>68</v>
      </c>
      <c r="AL42" s="2" t="str">
        <f t="shared" si="9"/>
        <v>1</v>
      </c>
      <c r="AM42" s="10">
        <v>108.78</v>
      </c>
      <c r="AN42" s="10">
        <v>60.916800000000009</v>
      </c>
      <c r="AO42" s="10">
        <v>271.94</v>
      </c>
      <c r="AP42" s="10">
        <v>152.28640000000001</v>
      </c>
      <c r="AQ42" s="10" t="s">
        <v>61</v>
      </c>
      <c r="AR42" s="10" t="s">
        <v>61</v>
      </c>
      <c r="AS42" s="10">
        <v>56</v>
      </c>
      <c r="AT42" s="2" t="str">
        <f t="shared" si="13"/>
        <v>1</v>
      </c>
      <c r="AU42" s="10">
        <v>1</v>
      </c>
      <c r="AV42" s="10">
        <v>1</v>
      </c>
      <c r="AW42" s="10">
        <v>1</v>
      </c>
      <c r="AX42" s="10" t="s">
        <v>61</v>
      </c>
      <c r="AY42" s="2">
        <v>1</v>
      </c>
      <c r="AZ42" s="10">
        <v>1999</v>
      </c>
      <c r="BA42" s="2">
        <f t="shared" si="10"/>
        <v>26</v>
      </c>
      <c r="BB42" s="2" t="str">
        <f t="shared" si="11"/>
        <v>4</v>
      </c>
      <c r="BC42" s="3">
        <v>1</v>
      </c>
      <c r="BD42" s="7">
        <f t="shared" si="14"/>
        <v>1.6919999999999999</v>
      </c>
      <c r="BE42" s="62" t="s">
        <v>827</v>
      </c>
      <c r="BF42" s="62"/>
      <c r="BG42" s="62" t="s">
        <v>856</v>
      </c>
      <c r="BH42" s="10">
        <v>10592</v>
      </c>
      <c r="BI42" s="10"/>
      <c r="BJ42" s="10"/>
      <c r="BK42" s="10"/>
      <c r="BL42" s="10"/>
      <c r="BM42" s="10"/>
      <c r="BN42" s="61" t="s">
        <v>997</v>
      </c>
    </row>
    <row r="43" spans="1:66" ht="64" x14ac:dyDescent="0.2">
      <c r="A43" s="10">
        <v>20056774</v>
      </c>
      <c r="B43" s="10">
        <v>1057609479</v>
      </c>
      <c r="C43" s="10">
        <v>6500</v>
      </c>
      <c r="D43" s="10" t="s">
        <v>73</v>
      </c>
      <c r="E43" s="10" t="s">
        <v>237</v>
      </c>
      <c r="F43" s="10" t="s">
        <v>238</v>
      </c>
      <c r="G43" s="10" t="s">
        <v>125</v>
      </c>
      <c r="H43" s="10" t="s">
        <v>126</v>
      </c>
      <c r="I43" s="10" t="s">
        <v>81</v>
      </c>
      <c r="J43" s="10" t="s">
        <v>82</v>
      </c>
      <c r="K43" s="10" t="s">
        <v>66</v>
      </c>
      <c r="L43" s="10" t="s">
        <v>76</v>
      </c>
      <c r="M43" s="10" t="s">
        <v>60</v>
      </c>
      <c r="N43" s="10" t="s">
        <v>61</v>
      </c>
      <c r="O43" s="10" t="s">
        <v>83</v>
      </c>
      <c r="P43" s="10">
        <v>4.7</v>
      </c>
      <c r="Q43" s="10">
        <v>29</v>
      </c>
      <c r="R43" s="10">
        <v>5.0999999999999996</v>
      </c>
      <c r="S43" s="10">
        <v>3.6</v>
      </c>
      <c r="T43" s="2">
        <f t="shared" si="0"/>
        <v>42.400000000000006</v>
      </c>
      <c r="U43" s="10">
        <v>1214</v>
      </c>
      <c r="V43" s="10">
        <v>3451</v>
      </c>
      <c r="W43" s="2" t="str">
        <f t="shared" si="22"/>
        <v>5</v>
      </c>
      <c r="X43" s="2" t="str">
        <f t="shared" si="15"/>
        <v>3</v>
      </c>
      <c r="Y43" s="2" t="str">
        <f t="shared" si="16"/>
        <v>1</v>
      </c>
      <c r="Z43" s="3" t="str">
        <f t="shared" si="17"/>
        <v>1</v>
      </c>
      <c r="AA43" s="10">
        <v>0</v>
      </c>
      <c r="AB43" s="3">
        <f t="shared" si="12"/>
        <v>2.5</v>
      </c>
      <c r="AC43" s="10">
        <v>59</v>
      </c>
      <c r="AD43" s="10">
        <v>7</v>
      </c>
      <c r="AE43" s="10">
        <v>0.02</v>
      </c>
      <c r="AF43" s="10">
        <v>42.6</v>
      </c>
      <c r="AG43" s="2">
        <f t="shared" si="18"/>
        <v>2130</v>
      </c>
      <c r="AH43" s="2" t="str">
        <f t="shared" si="19"/>
        <v>1</v>
      </c>
      <c r="AI43" s="3" t="str">
        <f t="shared" si="20"/>
        <v>1</v>
      </c>
      <c r="AJ43" s="3">
        <f t="shared" si="21"/>
        <v>1</v>
      </c>
      <c r="AK43" s="2">
        <v>14</v>
      </c>
      <c r="AL43" s="2" t="str">
        <f t="shared" si="9"/>
        <v>1</v>
      </c>
      <c r="AM43" s="10">
        <v>108.78</v>
      </c>
      <c r="AN43" s="10">
        <v>60.916800000000009</v>
      </c>
      <c r="AO43" s="10">
        <v>271.94</v>
      </c>
      <c r="AP43" s="10">
        <v>152.28640000000001</v>
      </c>
      <c r="AQ43" s="10" t="s">
        <v>61</v>
      </c>
      <c r="AR43" s="10" t="s">
        <v>61</v>
      </c>
      <c r="AS43" s="10">
        <v>56</v>
      </c>
      <c r="AT43" s="2" t="str">
        <f t="shared" si="13"/>
        <v>1</v>
      </c>
      <c r="AU43" s="10">
        <v>1</v>
      </c>
      <c r="AV43" s="10">
        <v>1</v>
      </c>
      <c r="AW43" s="10">
        <v>1</v>
      </c>
      <c r="AX43" s="10" t="s">
        <v>61</v>
      </c>
      <c r="AY43" s="2">
        <v>1</v>
      </c>
      <c r="AZ43" s="10">
        <v>2021</v>
      </c>
      <c r="BA43" s="2">
        <f t="shared" si="10"/>
        <v>4</v>
      </c>
      <c r="BB43" s="2" t="str">
        <f t="shared" si="11"/>
        <v>1</v>
      </c>
      <c r="BC43" s="3">
        <v>1</v>
      </c>
      <c r="BD43" s="7">
        <f t="shared" si="14"/>
        <v>1.3</v>
      </c>
      <c r="BE43" s="62" t="s">
        <v>828</v>
      </c>
      <c r="BF43" s="62"/>
      <c r="BG43" s="62"/>
      <c r="BH43" s="10">
        <v>3357</v>
      </c>
      <c r="BI43" s="10"/>
      <c r="BJ43" s="10"/>
      <c r="BK43" s="10"/>
      <c r="BL43" s="10"/>
      <c r="BM43" s="10"/>
    </row>
    <row r="44" spans="1:66" ht="32" x14ac:dyDescent="0.2">
      <c r="A44" s="10">
        <v>20026790</v>
      </c>
      <c r="B44" s="10" t="s">
        <v>240</v>
      </c>
      <c r="C44" s="10">
        <v>25000</v>
      </c>
      <c r="D44" s="10" t="s">
        <v>152</v>
      </c>
      <c r="E44" s="12" t="s">
        <v>241</v>
      </c>
      <c r="F44" s="101" t="s">
        <v>242</v>
      </c>
      <c r="G44" s="10" t="s">
        <v>58</v>
      </c>
      <c r="H44" s="10" t="s">
        <v>59</v>
      </c>
      <c r="I44" s="10" t="s">
        <v>81</v>
      </c>
      <c r="J44" s="10" t="s">
        <v>82</v>
      </c>
      <c r="K44" s="10" t="s">
        <v>48</v>
      </c>
      <c r="L44" s="10">
        <v>110</v>
      </c>
      <c r="M44" s="10" t="s">
        <v>137</v>
      </c>
      <c r="N44" s="10" t="s">
        <v>60</v>
      </c>
      <c r="O44" s="10" t="s">
        <v>243</v>
      </c>
      <c r="P44" s="10">
        <v>8.6</v>
      </c>
      <c r="Q44" s="10">
        <v>45</v>
      </c>
      <c r="R44" s="10">
        <v>7.9</v>
      </c>
      <c r="S44" s="10">
        <v>6.4</v>
      </c>
      <c r="T44" s="2">
        <f t="shared" si="0"/>
        <v>67.900000000000006</v>
      </c>
      <c r="U44" s="10">
        <v>1222</v>
      </c>
      <c r="V44" s="10">
        <v>7499</v>
      </c>
      <c r="W44" s="2" t="str">
        <f t="shared" si="22"/>
        <v>5</v>
      </c>
      <c r="X44" s="2" t="str">
        <f t="shared" si="15"/>
        <v>5</v>
      </c>
      <c r="Y44" s="2" t="str">
        <f t="shared" si="16"/>
        <v>1</v>
      </c>
      <c r="Z44" s="3" t="str">
        <f t="shared" si="17"/>
        <v>1</v>
      </c>
      <c r="AA44" s="10">
        <v>0</v>
      </c>
      <c r="AB44" s="3">
        <f t="shared" si="12"/>
        <v>3</v>
      </c>
      <c r="AC44" s="10">
        <v>34</v>
      </c>
      <c r="AD44" s="10">
        <v>19</v>
      </c>
      <c r="AE44" s="10">
        <v>0.02</v>
      </c>
      <c r="AF44" s="10">
        <v>42.7</v>
      </c>
      <c r="AG44" s="2">
        <f t="shared" si="18"/>
        <v>2135</v>
      </c>
      <c r="AH44" s="2" t="str">
        <f t="shared" si="19"/>
        <v>1</v>
      </c>
      <c r="AI44" s="3" t="str">
        <f t="shared" si="20"/>
        <v>1</v>
      </c>
      <c r="AJ44" s="3">
        <f t="shared" si="21"/>
        <v>1</v>
      </c>
      <c r="AK44" s="2">
        <v>500</v>
      </c>
      <c r="AL44" s="2" t="str">
        <f t="shared" si="9"/>
        <v>1</v>
      </c>
      <c r="AM44" s="10">
        <v>131</v>
      </c>
      <c r="AN44" s="10">
        <v>65.5</v>
      </c>
      <c r="AO44" s="10">
        <v>251</v>
      </c>
      <c r="AP44" s="10">
        <v>160.64000000000001</v>
      </c>
      <c r="AQ44" s="10">
        <v>502</v>
      </c>
      <c r="AR44" s="10">
        <v>306.21999999999997</v>
      </c>
      <c r="AS44" s="10">
        <v>62</v>
      </c>
      <c r="AT44" s="2" t="str">
        <f t="shared" si="13"/>
        <v>2</v>
      </c>
      <c r="AU44" s="10">
        <v>1</v>
      </c>
      <c r="AV44" s="10">
        <v>1</v>
      </c>
      <c r="AW44" s="10">
        <v>1</v>
      </c>
      <c r="AX44" s="10">
        <v>1</v>
      </c>
      <c r="AY44" s="2">
        <v>1</v>
      </c>
      <c r="AZ44" s="10">
        <v>1984</v>
      </c>
      <c r="BA44" s="2">
        <f t="shared" si="10"/>
        <v>41</v>
      </c>
      <c r="BB44" s="2" t="str">
        <f t="shared" si="11"/>
        <v>5</v>
      </c>
      <c r="BC44" s="3">
        <v>1</v>
      </c>
      <c r="BD44" s="7">
        <f t="shared" si="14"/>
        <v>1.7</v>
      </c>
      <c r="BE44" s="62" t="s">
        <v>944</v>
      </c>
      <c r="BF44" s="62"/>
      <c r="BG44" s="62" t="s">
        <v>863</v>
      </c>
      <c r="BH44" s="10">
        <v>12675</v>
      </c>
      <c r="BI44" s="10" t="s">
        <v>943</v>
      </c>
      <c r="BJ44" s="10"/>
      <c r="BK44" s="107">
        <v>45829</v>
      </c>
      <c r="BL44" s="10" t="s">
        <v>945</v>
      </c>
      <c r="BM44" s="109">
        <v>156000000</v>
      </c>
      <c r="BN44" s="61" t="s">
        <v>998</v>
      </c>
    </row>
    <row r="45" spans="1:66" ht="64" x14ac:dyDescent="0.2">
      <c r="A45" s="10">
        <v>20026790</v>
      </c>
      <c r="B45" s="10">
        <v>1057474126</v>
      </c>
      <c r="C45" s="10">
        <v>25000</v>
      </c>
      <c r="D45" s="10" t="s">
        <v>152</v>
      </c>
      <c r="E45" s="10" t="s">
        <v>241</v>
      </c>
      <c r="F45" s="10" t="s">
        <v>245</v>
      </c>
      <c r="G45" s="10" t="s">
        <v>58</v>
      </c>
      <c r="H45" s="10" t="s">
        <v>59</v>
      </c>
      <c r="I45" s="10" t="s">
        <v>81</v>
      </c>
      <c r="J45" s="10" t="s">
        <v>82</v>
      </c>
      <c r="K45" s="10" t="s">
        <v>48</v>
      </c>
      <c r="L45" s="10">
        <v>110</v>
      </c>
      <c r="M45" s="10" t="s">
        <v>137</v>
      </c>
      <c r="N45" s="10" t="s">
        <v>60</v>
      </c>
      <c r="O45" s="10" t="s">
        <v>243</v>
      </c>
      <c r="P45" s="10">
        <v>9.3000000000000007</v>
      </c>
      <c r="Q45" s="10">
        <v>9.5</v>
      </c>
      <c r="R45" s="10">
        <v>0.8</v>
      </c>
      <c r="S45" s="10">
        <v>1.2</v>
      </c>
      <c r="T45" s="2">
        <f t="shared" si="0"/>
        <v>20.8</v>
      </c>
      <c r="U45" s="10">
        <v>1104</v>
      </c>
      <c r="V45" s="10">
        <v>3154</v>
      </c>
      <c r="W45" s="2" t="str">
        <f t="shared" si="22"/>
        <v>5</v>
      </c>
      <c r="X45" s="2" t="str">
        <f t="shared" si="15"/>
        <v>3</v>
      </c>
      <c r="Y45" s="2" t="str">
        <f t="shared" si="16"/>
        <v>1</v>
      </c>
      <c r="Z45" s="3" t="str">
        <f t="shared" si="17"/>
        <v>1</v>
      </c>
      <c r="AA45" s="10">
        <v>0</v>
      </c>
      <c r="AB45" s="3">
        <f t="shared" si="12"/>
        <v>2.5</v>
      </c>
      <c r="AC45" s="10">
        <v>60</v>
      </c>
      <c r="AD45" s="10">
        <v>7</v>
      </c>
      <c r="AE45" s="10">
        <v>0.02</v>
      </c>
      <c r="AF45" s="10">
        <v>44.8</v>
      </c>
      <c r="AG45" s="2">
        <f t="shared" si="18"/>
        <v>2240</v>
      </c>
      <c r="AH45" s="2" t="str">
        <f t="shared" si="19"/>
        <v>1</v>
      </c>
      <c r="AI45" s="3" t="str">
        <f t="shared" si="20"/>
        <v>1</v>
      </c>
      <c r="AJ45" s="3">
        <f t="shared" si="21"/>
        <v>1</v>
      </c>
      <c r="AK45" s="2">
        <v>14</v>
      </c>
      <c r="AL45" s="2" t="str">
        <f t="shared" si="9"/>
        <v>1</v>
      </c>
      <c r="AM45" s="10">
        <v>131.19999999999999</v>
      </c>
      <c r="AN45" s="10">
        <v>65.599999999999994</v>
      </c>
      <c r="AO45" s="10">
        <v>251</v>
      </c>
      <c r="AP45" s="10">
        <v>160.64000000000001</v>
      </c>
      <c r="AQ45" s="10">
        <v>502.04</v>
      </c>
      <c r="AR45" s="10">
        <v>306.24439999999998</v>
      </c>
      <c r="AS45" s="10">
        <v>62</v>
      </c>
      <c r="AT45" s="2" t="str">
        <f t="shared" si="13"/>
        <v>2</v>
      </c>
      <c r="AU45" s="10">
        <v>1</v>
      </c>
      <c r="AV45" s="10">
        <v>1</v>
      </c>
      <c r="AW45" s="10">
        <v>1</v>
      </c>
      <c r="AX45" s="10">
        <v>1</v>
      </c>
      <c r="AY45" s="2">
        <v>1</v>
      </c>
      <c r="AZ45" s="10">
        <v>2021</v>
      </c>
      <c r="BA45" s="2">
        <f t="shared" si="10"/>
        <v>4</v>
      </c>
      <c r="BB45" s="2" t="str">
        <f t="shared" si="11"/>
        <v>1</v>
      </c>
      <c r="BC45" s="3">
        <v>1</v>
      </c>
      <c r="BD45" s="7">
        <f t="shared" si="14"/>
        <v>1.4</v>
      </c>
      <c r="BE45" s="62" t="s">
        <v>828</v>
      </c>
      <c r="BF45" s="62"/>
      <c r="BG45" s="62"/>
      <c r="BH45" s="10">
        <v>3691</v>
      </c>
      <c r="BI45" s="10"/>
      <c r="BJ45" s="10"/>
      <c r="BK45" s="107">
        <v>45829</v>
      </c>
      <c r="BL45" s="10" t="s">
        <v>945</v>
      </c>
      <c r="BM45" s="10"/>
    </row>
    <row r="46" spans="1:66" ht="80" x14ac:dyDescent="0.2">
      <c r="A46" s="10">
        <v>20056766</v>
      </c>
      <c r="B46" s="10" t="s">
        <v>247</v>
      </c>
      <c r="C46" s="10">
        <v>2500</v>
      </c>
      <c r="D46" s="10" t="s">
        <v>73</v>
      </c>
      <c r="E46" s="10" t="s">
        <v>248</v>
      </c>
      <c r="F46" s="10" t="s">
        <v>249</v>
      </c>
      <c r="G46" s="10" t="s">
        <v>125</v>
      </c>
      <c r="H46" s="10" t="s">
        <v>126</v>
      </c>
      <c r="I46" s="10" t="s">
        <v>65</v>
      </c>
      <c r="J46" s="10" t="s">
        <v>61</v>
      </c>
      <c r="K46" s="10" t="s">
        <v>66</v>
      </c>
      <c r="L46" s="10" t="s">
        <v>76</v>
      </c>
      <c r="M46" s="10" t="s">
        <v>60</v>
      </c>
      <c r="N46" s="10" t="s">
        <v>61</v>
      </c>
      <c r="O46" s="10" t="s">
        <v>77</v>
      </c>
      <c r="P46" s="10">
        <v>6.1</v>
      </c>
      <c r="Q46" s="10">
        <v>7.3</v>
      </c>
      <c r="R46" s="10">
        <v>1.4</v>
      </c>
      <c r="S46" s="10">
        <v>0.8</v>
      </c>
      <c r="T46" s="2">
        <f t="shared" si="0"/>
        <v>15.6</v>
      </c>
      <c r="U46" s="10">
        <v>829</v>
      </c>
      <c r="V46" s="10">
        <v>1960</v>
      </c>
      <c r="W46" s="2" t="str">
        <f>IF(U46&gt;=750,"5",IF(U46&gt;=550,"4",IF(U46&gt;=300,"3",IF(U46&gt;=100,"2","1"))))</f>
        <v>5</v>
      </c>
      <c r="X46" s="2" t="str">
        <f t="shared" si="15"/>
        <v>2</v>
      </c>
      <c r="Y46" s="2" t="str">
        <f t="shared" si="16"/>
        <v>1</v>
      </c>
      <c r="Z46" s="3" t="str">
        <f t="shared" si="17"/>
        <v>1</v>
      </c>
      <c r="AA46" s="10">
        <v>0.1</v>
      </c>
      <c r="AB46" s="3">
        <f t="shared" si="12"/>
        <v>2.25</v>
      </c>
      <c r="AC46" s="10">
        <v>57</v>
      </c>
      <c r="AD46" s="10">
        <v>4</v>
      </c>
      <c r="AE46" s="10">
        <v>0.02</v>
      </c>
      <c r="AF46" s="10">
        <v>41.5</v>
      </c>
      <c r="AG46" s="2">
        <f t="shared" si="18"/>
        <v>2075</v>
      </c>
      <c r="AH46" s="2" t="str">
        <f t="shared" si="19"/>
        <v>1</v>
      </c>
      <c r="AI46" s="3" t="str">
        <f t="shared" si="20"/>
        <v>1</v>
      </c>
      <c r="AJ46" s="3">
        <f t="shared" si="21"/>
        <v>1</v>
      </c>
      <c r="AK46" s="2">
        <v>14</v>
      </c>
      <c r="AL46" s="2" t="str">
        <f t="shared" si="9"/>
        <v>1</v>
      </c>
      <c r="AM46" s="10">
        <v>41.84</v>
      </c>
      <c r="AN46" s="10">
        <v>33.890400000000007</v>
      </c>
      <c r="AO46" s="10">
        <v>104.6</v>
      </c>
      <c r="AP46" s="10">
        <v>84.725999999999999</v>
      </c>
      <c r="AQ46" s="10" t="s">
        <v>61</v>
      </c>
      <c r="AR46" s="10" t="s">
        <v>61</v>
      </c>
      <c r="AS46" s="10">
        <v>66</v>
      </c>
      <c r="AT46" s="2" t="str">
        <f t="shared" si="13"/>
        <v>3</v>
      </c>
      <c r="AU46" s="10">
        <v>1</v>
      </c>
      <c r="AV46" s="10">
        <v>1</v>
      </c>
      <c r="AW46" s="10">
        <v>1</v>
      </c>
      <c r="AX46" s="10" t="s">
        <v>61</v>
      </c>
      <c r="AY46" s="2">
        <v>1</v>
      </c>
      <c r="AZ46" s="10">
        <v>2022</v>
      </c>
      <c r="BA46" s="2">
        <f t="shared" si="10"/>
        <v>3</v>
      </c>
      <c r="BB46" s="2" t="str">
        <f t="shared" si="11"/>
        <v>1</v>
      </c>
      <c r="BC46" s="3">
        <v>1</v>
      </c>
      <c r="BD46" s="7">
        <f t="shared" si="14"/>
        <v>1.4500000000000002</v>
      </c>
      <c r="BE46" s="62" t="s">
        <v>827</v>
      </c>
      <c r="BF46" s="62"/>
      <c r="BG46" s="62"/>
      <c r="BH46" s="10">
        <v>2283</v>
      </c>
      <c r="BI46" s="10"/>
      <c r="BJ46" s="10"/>
      <c r="BK46" s="10"/>
      <c r="BL46" s="10"/>
      <c r="BM46" s="10"/>
    </row>
    <row r="47" spans="1:66" ht="80" x14ac:dyDescent="0.2">
      <c r="A47" s="10">
        <v>20036782</v>
      </c>
      <c r="B47" s="10" t="s">
        <v>254</v>
      </c>
      <c r="C47" s="10">
        <v>12500</v>
      </c>
      <c r="D47" s="10" t="s">
        <v>73</v>
      </c>
      <c r="E47" s="12" t="s">
        <v>251</v>
      </c>
      <c r="F47" s="101" t="s">
        <v>255</v>
      </c>
      <c r="G47" s="10" t="s">
        <v>125</v>
      </c>
      <c r="H47" s="10" t="s">
        <v>148</v>
      </c>
      <c r="I47" s="10" t="s">
        <v>81</v>
      </c>
      <c r="J47" s="10" t="s">
        <v>143</v>
      </c>
      <c r="K47" s="10" t="s">
        <v>48</v>
      </c>
      <c r="L47" s="10" t="s">
        <v>76</v>
      </c>
      <c r="M47" s="10" t="s">
        <v>60</v>
      </c>
      <c r="N47" s="10" t="s">
        <v>61</v>
      </c>
      <c r="O47" s="10" t="s">
        <v>164</v>
      </c>
      <c r="P47" s="10">
        <v>14</v>
      </c>
      <c r="Q47" s="10">
        <v>94</v>
      </c>
      <c r="R47" s="10">
        <v>55</v>
      </c>
      <c r="S47" s="10">
        <v>32</v>
      </c>
      <c r="T47" s="2">
        <f t="shared" si="0"/>
        <v>195</v>
      </c>
      <c r="U47" s="10">
        <v>1126</v>
      </c>
      <c r="V47" s="10">
        <v>13015</v>
      </c>
      <c r="W47" s="2" t="str">
        <f t="shared" si="22"/>
        <v>5</v>
      </c>
      <c r="X47" s="2" t="str">
        <f t="shared" si="15"/>
        <v>5</v>
      </c>
      <c r="Y47" s="2" t="str">
        <f t="shared" si="16"/>
        <v>2</v>
      </c>
      <c r="Z47" s="3" t="str">
        <f t="shared" si="17"/>
        <v>1</v>
      </c>
      <c r="AA47" s="10">
        <v>0.4</v>
      </c>
      <c r="AB47" s="3">
        <f t="shared" si="12"/>
        <v>3.25</v>
      </c>
      <c r="AC47" s="10">
        <v>37</v>
      </c>
      <c r="AD47" s="10">
        <v>15</v>
      </c>
      <c r="AE47" s="10">
        <v>0.02</v>
      </c>
      <c r="AF47" s="10">
        <v>42.4</v>
      </c>
      <c r="AG47" s="2">
        <f t="shared" si="18"/>
        <v>2120</v>
      </c>
      <c r="AH47" s="2" t="str">
        <f t="shared" si="19"/>
        <v>1</v>
      </c>
      <c r="AI47" s="3" t="str">
        <f t="shared" si="20"/>
        <v>1</v>
      </c>
      <c r="AJ47" s="3">
        <f t="shared" si="21"/>
        <v>1</v>
      </c>
      <c r="AK47" s="2">
        <v>4735</v>
      </c>
      <c r="AL47" s="2" t="str">
        <f t="shared" si="9"/>
        <v>3</v>
      </c>
      <c r="AM47" s="10">
        <v>209</v>
      </c>
      <c r="AN47" s="10">
        <v>190.19</v>
      </c>
      <c r="AO47" s="10">
        <v>487</v>
      </c>
      <c r="AP47" s="10">
        <v>443.17</v>
      </c>
      <c r="AQ47" s="10" t="s">
        <v>61</v>
      </c>
      <c r="AR47" s="10" t="s">
        <v>61</v>
      </c>
      <c r="AS47" s="10">
        <v>96</v>
      </c>
      <c r="AT47" s="2" t="str">
        <f t="shared" si="13"/>
        <v>5</v>
      </c>
      <c r="AU47" s="10">
        <v>1</v>
      </c>
      <c r="AV47" s="10">
        <v>1</v>
      </c>
      <c r="AW47" s="10">
        <v>1</v>
      </c>
      <c r="AX47" s="10">
        <v>1</v>
      </c>
      <c r="AY47" s="2">
        <v>2</v>
      </c>
      <c r="AZ47" s="10">
        <v>1980</v>
      </c>
      <c r="BA47" s="2">
        <f t="shared" si="10"/>
        <v>45</v>
      </c>
      <c r="BB47" s="2" t="str">
        <f t="shared" si="11"/>
        <v>5</v>
      </c>
      <c r="BC47" s="3">
        <v>1</v>
      </c>
      <c r="BD47" s="7">
        <f t="shared" si="14"/>
        <v>2.33</v>
      </c>
      <c r="BE47" s="62" t="s">
        <v>946</v>
      </c>
      <c r="BF47" s="62" t="s">
        <v>896</v>
      </c>
      <c r="BG47" s="62" t="s">
        <v>969</v>
      </c>
      <c r="BH47" s="10">
        <v>9177</v>
      </c>
      <c r="BI47" s="10" t="s">
        <v>967</v>
      </c>
      <c r="BJ47" s="10"/>
      <c r="BK47" s="107">
        <v>46236</v>
      </c>
      <c r="BL47" s="10" t="s">
        <v>934</v>
      </c>
      <c r="BM47" s="109">
        <v>156000000</v>
      </c>
      <c r="BN47" s="61" t="s">
        <v>997</v>
      </c>
    </row>
    <row r="48" spans="1:66" ht="64" x14ac:dyDescent="0.2">
      <c r="A48" s="10">
        <v>20036782</v>
      </c>
      <c r="B48" s="10">
        <v>30900117</v>
      </c>
      <c r="C48" s="10">
        <v>12500</v>
      </c>
      <c r="D48" s="10" t="s">
        <v>73</v>
      </c>
      <c r="E48" s="10" t="s">
        <v>251</v>
      </c>
      <c r="F48" s="10" t="s">
        <v>252</v>
      </c>
      <c r="G48" s="10" t="s">
        <v>125</v>
      </c>
      <c r="H48" s="10" t="s">
        <v>148</v>
      </c>
      <c r="I48" s="10" t="s">
        <v>81</v>
      </c>
      <c r="J48" s="10" t="s">
        <v>82</v>
      </c>
      <c r="K48" s="10" t="s">
        <v>48</v>
      </c>
      <c r="L48" s="10" t="s">
        <v>76</v>
      </c>
      <c r="M48" s="10" t="s">
        <v>60</v>
      </c>
      <c r="N48" s="10" t="s">
        <v>61</v>
      </c>
      <c r="O48" s="10" t="s">
        <v>164</v>
      </c>
      <c r="P48" s="10">
        <v>3.4</v>
      </c>
      <c r="Q48" s="10">
        <v>16.100000000000001</v>
      </c>
      <c r="R48" s="10">
        <v>6</v>
      </c>
      <c r="S48" s="10">
        <v>2.2000000000000002</v>
      </c>
      <c r="T48" s="2">
        <f t="shared" si="0"/>
        <v>27.7</v>
      </c>
      <c r="U48" s="10">
        <v>1881</v>
      </c>
      <c r="V48" s="10">
        <v>4808</v>
      </c>
      <c r="W48" s="2" t="str">
        <f t="shared" si="22"/>
        <v>5</v>
      </c>
      <c r="X48" s="2" t="str">
        <f t="shared" si="15"/>
        <v>3</v>
      </c>
      <c r="Y48" s="2" t="str">
        <f t="shared" si="16"/>
        <v>1</v>
      </c>
      <c r="Z48" s="3" t="str">
        <f t="shared" si="17"/>
        <v>1</v>
      </c>
      <c r="AA48" s="10">
        <v>0</v>
      </c>
      <c r="AB48" s="3">
        <f t="shared" si="12"/>
        <v>2.5</v>
      </c>
      <c r="AC48" s="10">
        <v>58</v>
      </c>
      <c r="AD48" s="10">
        <v>6</v>
      </c>
      <c r="AE48" s="10">
        <v>0.02</v>
      </c>
      <c r="AF48" s="10">
        <v>44.6</v>
      </c>
      <c r="AG48" s="2">
        <f t="shared" si="18"/>
        <v>2230</v>
      </c>
      <c r="AH48" s="2" t="str">
        <f t="shared" si="19"/>
        <v>1</v>
      </c>
      <c r="AI48" s="3" t="str">
        <f t="shared" si="20"/>
        <v>1</v>
      </c>
      <c r="AJ48" s="3">
        <f t="shared" si="21"/>
        <v>1</v>
      </c>
      <c r="AK48" s="2">
        <v>14</v>
      </c>
      <c r="AL48" s="2" t="str">
        <f t="shared" si="9"/>
        <v>1</v>
      </c>
      <c r="AM48" s="10">
        <v>209.18</v>
      </c>
      <c r="AN48" s="10">
        <v>115.04900000000001</v>
      </c>
      <c r="AO48" s="10">
        <v>486.97</v>
      </c>
      <c r="AP48" s="10">
        <v>267.83350000000002</v>
      </c>
      <c r="AQ48" s="10" t="s">
        <v>61</v>
      </c>
      <c r="AR48" s="10" t="s">
        <v>61</v>
      </c>
      <c r="AS48" s="10">
        <v>55</v>
      </c>
      <c r="AT48" s="2" t="str">
        <f t="shared" si="13"/>
        <v>1</v>
      </c>
      <c r="AU48" s="10">
        <v>1</v>
      </c>
      <c r="AV48" s="10">
        <v>1</v>
      </c>
      <c r="AW48" s="10">
        <v>1</v>
      </c>
      <c r="AX48" s="10">
        <v>1</v>
      </c>
      <c r="AY48" s="2">
        <v>1</v>
      </c>
      <c r="AZ48" s="10">
        <v>2017</v>
      </c>
      <c r="BA48" s="2">
        <f t="shared" si="10"/>
        <v>8</v>
      </c>
      <c r="BB48" s="2" t="str">
        <f t="shared" si="11"/>
        <v>2</v>
      </c>
      <c r="BC48" s="3">
        <v>1</v>
      </c>
      <c r="BD48" s="7">
        <f t="shared" si="14"/>
        <v>1.35</v>
      </c>
      <c r="BE48" s="62" t="s">
        <v>828</v>
      </c>
      <c r="BF48" s="62"/>
      <c r="BG48" s="62"/>
      <c r="BH48" s="10">
        <v>16895</v>
      </c>
      <c r="BI48" s="10"/>
      <c r="BJ48" s="10"/>
      <c r="BK48" s="107">
        <v>46236</v>
      </c>
      <c r="BL48" s="10" t="s">
        <v>934</v>
      </c>
      <c r="BM48" s="10"/>
    </row>
    <row r="49" spans="1:66" ht="64" x14ac:dyDescent="0.2">
      <c r="A49" s="10">
        <v>20016779</v>
      </c>
      <c r="B49" s="10">
        <v>582568</v>
      </c>
      <c r="C49" s="10">
        <v>20000</v>
      </c>
      <c r="D49" s="10" t="s">
        <v>152</v>
      </c>
      <c r="E49" s="10" t="s">
        <v>258</v>
      </c>
      <c r="F49" s="101" t="s">
        <v>259</v>
      </c>
      <c r="G49" s="10" t="s">
        <v>70</v>
      </c>
      <c r="H49" s="10" t="s">
        <v>70</v>
      </c>
      <c r="I49" s="10" t="s">
        <v>81</v>
      </c>
      <c r="J49" s="10" t="s">
        <v>82</v>
      </c>
      <c r="K49" s="10" t="s">
        <v>48</v>
      </c>
      <c r="L49" s="10">
        <v>66</v>
      </c>
      <c r="M49" s="10" t="s">
        <v>60</v>
      </c>
      <c r="N49" s="10" t="s">
        <v>61</v>
      </c>
      <c r="O49" s="10" t="s">
        <v>177</v>
      </c>
      <c r="P49" s="10">
        <v>378</v>
      </c>
      <c r="Q49" s="10">
        <v>2580</v>
      </c>
      <c r="R49" s="10">
        <v>3882</v>
      </c>
      <c r="S49" s="10">
        <v>573</v>
      </c>
      <c r="T49" s="2">
        <f t="shared" si="0"/>
        <v>7413</v>
      </c>
      <c r="U49" s="10">
        <v>1872</v>
      </c>
      <c r="V49" s="10">
        <v>10818</v>
      </c>
      <c r="W49" s="2" t="str">
        <f t="shared" si="22"/>
        <v>5</v>
      </c>
      <c r="X49" s="2" t="str">
        <f t="shared" si="15"/>
        <v>5</v>
      </c>
      <c r="Y49" s="2" t="str">
        <f t="shared" si="16"/>
        <v>5</v>
      </c>
      <c r="Z49" s="3" t="str">
        <f t="shared" si="17"/>
        <v>5</v>
      </c>
      <c r="AA49" s="10">
        <v>57</v>
      </c>
      <c r="AB49" s="3">
        <f t="shared" si="12"/>
        <v>5</v>
      </c>
      <c r="AC49" s="10">
        <v>27</v>
      </c>
      <c r="AD49" s="10">
        <v>19</v>
      </c>
      <c r="AE49" s="10">
        <v>0.05</v>
      </c>
      <c r="AF49" s="10">
        <v>29.8</v>
      </c>
      <c r="AG49" s="2">
        <f t="shared" si="18"/>
        <v>596</v>
      </c>
      <c r="AH49" s="2" t="str">
        <f t="shared" si="19"/>
        <v>2</v>
      </c>
      <c r="AI49" s="3" t="str">
        <f t="shared" si="20"/>
        <v>5</v>
      </c>
      <c r="AJ49" s="3">
        <f>AH49*0.8+AI49*0.2</f>
        <v>2.6</v>
      </c>
      <c r="AK49" s="2">
        <v>5779</v>
      </c>
      <c r="AL49" s="2" t="str">
        <f t="shared" si="9"/>
        <v>5</v>
      </c>
      <c r="AM49" s="10">
        <v>175</v>
      </c>
      <c r="AN49" s="10">
        <v>58</v>
      </c>
      <c r="AO49" s="10">
        <v>836.7</v>
      </c>
      <c r="AP49" s="10">
        <v>265</v>
      </c>
      <c r="AQ49" s="10" t="s">
        <v>61</v>
      </c>
      <c r="AR49" s="10" t="s">
        <v>61</v>
      </c>
      <c r="AS49" s="10">
        <v>98</v>
      </c>
      <c r="AT49" s="2" t="str">
        <f t="shared" si="13"/>
        <v>5</v>
      </c>
      <c r="AU49" s="10">
        <v>1</v>
      </c>
      <c r="AV49" s="10">
        <v>1</v>
      </c>
      <c r="AW49" s="10">
        <v>1</v>
      </c>
      <c r="AX49" s="10">
        <v>1</v>
      </c>
      <c r="AY49" s="2">
        <v>5</v>
      </c>
      <c r="AZ49" s="10">
        <v>1982</v>
      </c>
      <c r="BA49" s="2">
        <f t="shared" si="10"/>
        <v>43</v>
      </c>
      <c r="BB49" s="2" t="str">
        <f t="shared" si="11"/>
        <v>5</v>
      </c>
      <c r="BC49" s="3">
        <v>1</v>
      </c>
      <c r="BD49" s="7">
        <v>5</v>
      </c>
      <c r="BE49" s="62" t="s">
        <v>991</v>
      </c>
      <c r="BF49" s="62" t="s">
        <v>806</v>
      </c>
      <c r="BG49" s="62" t="s">
        <v>993</v>
      </c>
      <c r="BH49" s="10">
        <v>3816</v>
      </c>
      <c r="BI49" s="10" t="s">
        <v>967</v>
      </c>
      <c r="BJ49" s="10" t="s">
        <v>919</v>
      </c>
      <c r="BK49" s="107">
        <v>46039</v>
      </c>
      <c r="BL49" s="10" t="s">
        <v>940</v>
      </c>
      <c r="BM49" s="10"/>
      <c r="BN49" s="61" t="s">
        <v>61</v>
      </c>
    </row>
    <row r="50" spans="1:66" ht="64" x14ac:dyDescent="0.2">
      <c r="A50" s="10">
        <v>20700518</v>
      </c>
      <c r="B50" s="10" t="s">
        <v>263</v>
      </c>
      <c r="C50" s="10">
        <v>4000</v>
      </c>
      <c r="D50" s="10" t="s">
        <v>73</v>
      </c>
      <c r="E50" s="10" t="s">
        <v>260</v>
      </c>
      <c r="F50" s="10" t="s">
        <v>264</v>
      </c>
      <c r="G50" s="10" t="s">
        <v>125</v>
      </c>
      <c r="H50" s="10" t="s">
        <v>126</v>
      </c>
      <c r="I50" s="10" t="s">
        <v>65</v>
      </c>
      <c r="J50" s="10" t="s">
        <v>61</v>
      </c>
      <c r="K50" s="10" t="s">
        <v>66</v>
      </c>
      <c r="L50" s="10" t="s">
        <v>76</v>
      </c>
      <c r="M50" s="10" t="s">
        <v>60</v>
      </c>
      <c r="N50" s="10" t="s">
        <v>61</v>
      </c>
      <c r="O50" s="10" t="s">
        <v>130</v>
      </c>
      <c r="P50" s="10">
        <v>4.3</v>
      </c>
      <c r="Q50" s="10">
        <v>12.9</v>
      </c>
      <c r="R50" s="10">
        <v>5.8</v>
      </c>
      <c r="S50" s="10">
        <v>1.7</v>
      </c>
      <c r="T50" s="2">
        <f t="shared" si="0"/>
        <v>24.7</v>
      </c>
      <c r="U50" s="10">
        <v>1460</v>
      </c>
      <c r="V50" s="10">
        <v>3317</v>
      </c>
      <c r="W50" s="2" t="str">
        <f t="shared" si="22"/>
        <v>5</v>
      </c>
      <c r="X50" s="2" t="str">
        <f t="shared" si="15"/>
        <v>3</v>
      </c>
      <c r="Y50" s="2" t="str">
        <f t="shared" si="16"/>
        <v>1</v>
      </c>
      <c r="Z50" s="3" t="str">
        <f t="shared" si="17"/>
        <v>1</v>
      </c>
      <c r="AA50" s="10">
        <v>0</v>
      </c>
      <c r="AB50" s="3">
        <f t="shared" si="12"/>
        <v>2.5</v>
      </c>
      <c r="AC50" s="10">
        <v>56</v>
      </c>
      <c r="AD50" s="10">
        <v>5</v>
      </c>
      <c r="AE50" s="10">
        <v>0.02</v>
      </c>
      <c r="AF50" s="10">
        <v>34.799999999999997</v>
      </c>
      <c r="AG50" s="2">
        <f t="shared" si="18"/>
        <v>1739.9999999999998</v>
      </c>
      <c r="AH50" s="2" t="str">
        <f t="shared" si="19"/>
        <v>1</v>
      </c>
      <c r="AI50" s="3" t="str">
        <f t="shared" si="20"/>
        <v>1</v>
      </c>
      <c r="AJ50" s="3">
        <f t="shared" si="21"/>
        <v>1</v>
      </c>
      <c r="AK50" s="2">
        <v>14</v>
      </c>
      <c r="AL50" s="2" t="str">
        <f t="shared" si="9"/>
        <v>1</v>
      </c>
      <c r="AM50" s="10">
        <v>66.94</v>
      </c>
      <c r="AN50" s="10">
        <v>37.352520000000005</v>
      </c>
      <c r="AO50" s="10">
        <v>167.3</v>
      </c>
      <c r="AP50" s="10">
        <v>97.034000000000006</v>
      </c>
      <c r="AQ50" s="10" t="s">
        <v>61</v>
      </c>
      <c r="AR50" s="10" t="s">
        <v>61</v>
      </c>
      <c r="AS50" s="10">
        <v>58</v>
      </c>
      <c r="AT50" s="2" t="str">
        <f t="shared" si="13"/>
        <v>1</v>
      </c>
      <c r="AU50" s="10">
        <v>1</v>
      </c>
      <c r="AV50" s="10">
        <v>1</v>
      </c>
      <c r="AW50" s="10">
        <v>1</v>
      </c>
      <c r="AX50" s="10" t="s">
        <v>61</v>
      </c>
      <c r="AY50" s="2">
        <v>1</v>
      </c>
      <c r="AZ50" s="10">
        <v>2020</v>
      </c>
      <c r="BA50" s="2">
        <f t="shared" si="10"/>
        <v>5</v>
      </c>
      <c r="BB50" s="2" t="str">
        <f t="shared" si="11"/>
        <v>1</v>
      </c>
      <c r="BC50" s="3">
        <v>1</v>
      </c>
      <c r="BD50" s="7">
        <f t="shared" ref="BD50:BD67" si="23">(AB50*0.2)+(AJ50*0.23)+(AL50*0.05)+(AT50*0.1)+(AY50*0.18)+(BB50*0.05)+(BC50*0.19)</f>
        <v>1.3</v>
      </c>
      <c r="BE50" s="62" t="s">
        <v>828</v>
      </c>
      <c r="BF50" s="62"/>
      <c r="BG50" s="62"/>
      <c r="BH50" s="10">
        <v>4719</v>
      </c>
      <c r="BI50" s="10"/>
      <c r="BJ50" s="10"/>
      <c r="BK50" s="107">
        <v>46247</v>
      </c>
      <c r="BL50" s="10" t="s">
        <v>937</v>
      </c>
      <c r="BM50" s="10"/>
    </row>
    <row r="51" spans="1:66" ht="64" x14ac:dyDescent="0.2">
      <c r="A51" s="10">
        <v>20057584</v>
      </c>
      <c r="B51" s="10">
        <v>1059084098</v>
      </c>
      <c r="C51" s="10">
        <v>4000</v>
      </c>
      <c r="D51" s="10" t="s">
        <v>73</v>
      </c>
      <c r="E51" s="10" t="s">
        <v>260</v>
      </c>
      <c r="F51" s="10" t="s">
        <v>261</v>
      </c>
      <c r="G51" s="10" t="s">
        <v>125</v>
      </c>
      <c r="H51" s="10" t="s">
        <v>126</v>
      </c>
      <c r="I51" s="10" t="s">
        <v>65</v>
      </c>
      <c r="J51" s="10" t="s">
        <v>61</v>
      </c>
      <c r="K51" s="10" t="s">
        <v>66</v>
      </c>
      <c r="L51" s="10" t="s">
        <v>76</v>
      </c>
      <c r="M51" s="10" t="s">
        <v>60</v>
      </c>
      <c r="N51" s="10" t="s">
        <v>61</v>
      </c>
      <c r="O51" s="10" t="s">
        <v>130</v>
      </c>
      <c r="P51" s="10">
        <v>9.6</v>
      </c>
      <c r="Q51" s="10">
        <v>13.1</v>
      </c>
      <c r="R51" s="10">
        <v>15.8</v>
      </c>
      <c r="S51" s="10">
        <v>2.9</v>
      </c>
      <c r="T51" s="2">
        <f t="shared" si="0"/>
        <v>41.4</v>
      </c>
      <c r="U51" s="10">
        <v>996</v>
      </c>
      <c r="V51" s="10">
        <v>2668</v>
      </c>
      <c r="W51" s="2" t="str">
        <f t="shared" si="22"/>
        <v>5</v>
      </c>
      <c r="X51" s="2" t="str">
        <f t="shared" si="15"/>
        <v>2</v>
      </c>
      <c r="Y51" s="2" t="str">
        <f t="shared" si="16"/>
        <v>1</v>
      </c>
      <c r="Z51" s="3" t="str">
        <f t="shared" si="17"/>
        <v>1</v>
      </c>
      <c r="AA51" s="10">
        <v>0</v>
      </c>
      <c r="AB51" s="3">
        <f t="shared" si="12"/>
        <v>2.25</v>
      </c>
      <c r="AC51" s="10">
        <v>56</v>
      </c>
      <c r="AD51" s="10">
        <v>6</v>
      </c>
      <c r="AE51" s="10">
        <v>0.02</v>
      </c>
      <c r="AF51" s="10">
        <v>40.299999999999997</v>
      </c>
      <c r="AG51" s="2">
        <f t="shared" si="18"/>
        <v>2014.9999999999998</v>
      </c>
      <c r="AH51" s="2" t="str">
        <f t="shared" si="19"/>
        <v>1</v>
      </c>
      <c r="AI51" s="3" t="str">
        <f t="shared" si="20"/>
        <v>1</v>
      </c>
      <c r="AJ51" s="3">
        <f t="shared" si="21"/>
        <v>1</v>
      </c>
      <c r="AK51" s="2">
        <v>0</v>
      </c>
      <c r="AL51" s="2" t="str">
        <f t="shared" si="9"/>
        <v>1</v>
      </c>
      <c r="AM51" s="10">
        <v>66.94</v>
      </c>
      <c r="AN51" s="10">
        <v>37.352520000000005</v>
      </c>
      <c r="AO51" s="10">
        <v>167.3</v>
      </c>
      <c r="AP51" s="10">
        <v>97.034000000000006</v>
      </c>
      <c r="AQ51" s="10" t="s">
        <v>61</v>
      </c>
      <c r="AR51" s="10" t="s">
        <v>61</v>
      </c>
      <c r="AS51" s="10">
        <v>58</v>
      </c>
      <c r="AT51" s="2" t="str">
        <f t="shared" si="13"/>
        <v>1</v>
      </c>
      <c r="AU51" s="10">
        <v>1</v>
      </c>
      <c r="AV51" s="10">
        <v>1</v>
      </c>
      <c r="AW51" s="10">
        <v>1</v>
      </c>
      <c r="AX51" s="10" t="s">
        <v>61</v>
      </c>
      <c r="AY51" s="2">
        <v>1</v>
      </c>
      <c r="AZ51" s="10">
        <v>2021</v>
      </c>
      <c r="BA51" s="2">
        <f t="shared" si="10"/>
        <v>4</v>
      </c>
      <c r="BB51" s="2" t="str">
        <f t="shared" si="11"/>
        <v>1</v>
      </c>
      <c r="BC51" s="3">
        <v>1</v>
      </c>
      <c r="BD51" s="7">
        <f t="shared" si="23"/>
        <v>1.25</v>
      </c>
      <c r="BE51" s="62" t="s">
        <v>828</v>
      </c>
      <c r="BF51" s="62"/>
      <c r="BG51" s="62"/>
      <c r="BH51" s="10">
        <v>4145</v>
      </c>
      <c r="BI51" s="10"/>
      <c r="BJ51" s="10"/>
      <c r="BK51" s="107">
        <v>46247</v>
      </c>
      <c r="BL51" s="10" t="s">
        <v>937</v>
      </c>
      <c r="BM51" s="10"/>
    </row>
    <row r="52" spans="1:66" ht="48" x14ac:dyDescent="0.2">
      <c r="A52" s="10">
        <v>20037179</v>
      </c>
      <c r="B52" s="10" t="s">
        <v>265</v>
      </c>
      <c r="C52" s="10">
        <v>60000</v>
      </c>
      <c r="D52" s="10" t="s">
        <v>134</v>
      </c>
      <c r="E52" s="12" t="s">
        <v>266</v>
      </c>
      <c r="F52" s="10" t="s">
        <v>1003</v>
      </c>
      <c r="G52" s="10" t="s">
        <v>125</v>
      </c>
      <c r="H52" s="10" t="s">
        <v>148</v>
      </c>
      <c r="I52" s="10" t="s">
        <v>81</v>
      </c>
      <c r="J52" s="10" t="s">
        <v>82</v>
      </c>
      <c r="K52" s="10" t="s">
        <v>48</v>
      </c>
      <c r="L52" s="10">
        <v>110</v>
      </c>
      <c r="M52" s="10" t="s">
        <v>137</v>
      </c>
      <c r="N52" s="10" t="s">
        <v>61</v>
      </c>
      <c r="O52" s="10" t="s">
        <v>226</v>
      </c>
      <c r="P52" s="10">
        <v>6.6</v>
      </c>
      <c r="Q52" s="10">
        <v>6.3</v>
      </c>
      <c r="R52" s="10">
        <v>103</v>
      </c>
      <c r="S52" s="10">
        <v>1.8</v>
      </c>
      <c r="T52" s="2">
        <f t="shared" si="0"/>
        <v>117.7</v>
      </c>
      <c r="U52" s="10">
        <v>1047</v>
      </c>
      <c r="V52" s="10">
        <v>3268</v>
      </c>
      <c r="W52" s="2" t="str">
        <f t="shared" si="22"/>
        <v>5</v>
      </c>
      <c r="X52" s="2" t="str">
        <f t="shared" si="15"/>
        <v>3</v>
      </c>
      <c r="Y52" s="2" t="str">
        <f t="shared" si="16"/>
        <v>2</v>
      </c>
      <c r="Z52" s="3" t="str">
        <f t="shared" si="17"/>
        <v>1</v>
      </c>
      <c r="AA52" s="10">
        <v>0</v>
      </c>
      <c r="AB52" s="3">
        <f t="shared" si="12"/>
        <v>2.75</v>
      </c>
      <c r="AC52" s="10">
        <v>19</v>
      </c>
      <c r="AD52" s="10">
        <v>24</v>
      </c>
      <c r="AE52" s="10">
        <v>0.04</v>
      </c>
      <c r="AF52" s="10">
        <v>32.4</v>
      </c>
      <c r="AG52" s="2">
        <f t="shared" si="18"/>
        <v>810</v>
      </c>
      <c r="AH52" s="2" t="str">
        <f t="shared" si="19"/>
        <v>4</v>
      </c>
      <c r="AI52" s="3" t="str">
        <f t="shared" si="20"/>
        <v>4</v>
      </c>
      <c r="AJ52" s="3">
        <f t="shared" si="21"/>
        <v>4</v>
      </c>
      <c r="AK52" s="2">
        <v>4987</v>
      </c>
      <c r="AL52" s="2" t="str">
        <f t="shared" si="9"/>
        <v>4</v>
      </c>
      <c r="AM52" s="10">
        <v>314.89999999999998</v>
      </c>
      <c r="AN52" s="10">
        <v>141.70499999999998</v>
      </c>
      <c r="AO52" s="10">
        <v>1004.1</v>
      </c>
      <c r="AP52" s="10">
        <v>451.84500000000003</v>
      </c>
      <c r="AQ52" s="10" t="s">
        <v>61</v>
      </c>
      <c r="AR52" s="10" t="s">
        <v>61</v>
      </c>
      <c r="AS52" s="10">
        <v>85</v>
      </c>
      <c r="AT52" s="2" t="str">
        <f t="shared" si="13"/>
        <v>4</v>
      </c>
      <c r="AU52" s="10">
        <v>1</v>
      </c>
      <c r="AV52" s="10">
        <v>1</v>
      </c>
      <c r="AW52" s="10">
        <v>1</v>
      </c>
      <c r="AX52" s="10">
        <v>1</v>
      </c>
      <c r="AY52" s="2">
        <v>1</v>
      </c>
      <c r="AZ52" s="10">
        <v>1990</v>
      </c>
      <c r="BA52" s="2">
        <f t="shared" si="10"/>
        <v>35</v>
      </c>
      <c r="BB52" s="2" t="str">
        <f t="shared" si="11"/>
        <v>5</v>
      </c>
      <c r="BC52" s="3">
        <v>1</v>
      </c>
      <c r="BD52" s="7">
        <f t="shared" si="23"/>
        <v>2.6900000000000004</v>
      </c>
      <c r="BE52" s="62" t="s">
        <v>825</v>
      </c>
      <c r="BF52" s="62"/>
      <c r="BG52" s="62" t="s">
        <v>864</v>
      </c>
      <c r="BH52" s="10">
        <v>1</v>
      </c>
      <c r="BI52" s="10" t="s">
        <v>910</v>
      </c>
      <c r="BJ52" s="10" t="s">
        <v>925</v>
      </c>
      <c r="BK52" s="107">
        <v>46268</v>
      </c>
      <c r="BL52" s="10" t="s">
        <v>934</v>
      </c>
      <c r="BM52" s="109">
        <v>280000000</v>
      </c>
    </row>
    <row r="53" spans="1:66" ht="96" x14ac:dyDescent="0.2">
      <c r="A53" s="10">
        <v>20037179</v>
      </c>
      <c r="B53" s="10" t="s">
        <v>269</v>
      </c>
      <c r="C53" s="10">
        <v>14000</v>
      </c>
      <c r="D53" s="10" t="s">
        <v>73</v>
      </c>
      <c r="E53" s="10" t="s">
        <v>266</v>
      </c>
      <c r="F53" s="10" t="s">
        <v>270</v>
      </c>
      <c r="G53" s="10" t="s">
        <v>125</v>
      </c>
      <c r="H53" s="10" t="s">
        <v>148</v>
      </c>
      <c r="I53" s="10" t="s">
        <v>81</v>
      </c>
      <c r="J53" s="10" t="s">
        <v>82</v>
      </c>
      <c r="K53" s="10" t="s">
        <v>48</v>
      </c>
      <c r="L53" s="10" t="s">
        <v>76</v>
      </c>
      <c r="M53" s="10" t="s">
        <v>60</v>
      </c>
      <c r="N53" s="10" t="s">
        <v>61</v>
      </c>
      <c r="O53" s="10" t="s">
        <v>164</v>
      </c>
      <c r="P53" s="10">
        <v>3.2</v>
      </c>
      <c r="Q53" s="10">
        <v>14.7</v>
      </c>
      <c r="R53" s="10">
        <v>10.1</v>
      </c>
      <c r="S53" s="10">
        <v>1.8</v>
      </c>
      <c r="T53" s="2">
        <f t="shared" si="0"/>
        <v>29.8</v>
      </c>
      <c r="U53" s="10">
        <v>573</v>
      </c>
      <c r="V53" s="10">
        <v>2996</v>
      </c>
      <c r="W53" s="2" t="str">
        <f t="shared" si="22"/>
        <v>4</v>
      </c>
      <c r="X53" s="2" t="str">
        <f t="shared" si="15"/>
        <v>2</v>
      </c>
      <c r="Y53" s="2" t="str">
        <f t="shared" si="16"/>
        <v>1</v>
      </c>
      <c r="Z53" s="3" t="str">
        <f t="shared" si="17"/>
        <v>1</v>
      </c>
      <c r="AA53" s="10">
        <v>0</v>
      </c>
      <c r="AB53" s="3">
        <f t="shared" si="12"/>
        <v>2</v>
      </c>
      <c r="AC53" s="10">
        <v>33</v>
      </c>
      <c r="AD53" s="10">
        <v>17</v>
      </c>
      <c r="AE53" s="10">
        <v>0.02</v>
      </c>
      <c r="AF53" s="10">
        <v>37.799999999999997</v>
      </c>
      <c r="AG53" s="2">
        <f t="shared" si="18"/>
        <v>1889.9999999999998</v>
      </c>
      <c r="AH53" s="2" t="str">
        <f t="shared" si="19"/>
        <v>2</v>
      </c>
      <c r="AI53" s="3" t="str">
        <f t="shared" si="20"/>
        <v>1</v>
      </c>
      <c r="AJ53" s="3">
        <f t="shared" si="21"/>
        <v>1.8</v>
      </c>
      <c r="AK53" s="2">
        <v>117</v>
      </c>
      <c r="AL53" s="2" t="str">
        <f t="shared" si="9"/>
        <v>1</v>
      </c>
      <c r="AM53" s="10">
        <v>231.9</v>
      </c>
      <c r="AN53" s="10">
        <v>148.416</v>
      </c>
      <c r="AO53" s="10">
        <v>585.70000000000005</v>
      </c>
      <c r="AP53" s="10">
        <v>374.84800000000001</v>
      </c>
      <c r="AQ53" s="10" t="s">
        <v>61</v>
      </c>
      <c r="AR53" s="10" t="s">
        <v>61</v>
      </c>
      <c r="AS53" s="10">
        <v>64</v>
      </c>
      <c r="AT53" s="2" t="str">
        <f t="shared" si="13"/>
        <v>2</v>
      </c>
      <c r="AU53" s="10">
        <v>1</v>
      </c>
      <c r="AV53" s="10">
        <v>1</v>
      </c>
      <c r="AW53" s="10">
        <v>1</v>
      </c>
      <c r="AX53" s="10">
        <v>1</v>
      </c>
      <c r="AY53" s="2">
        <v>2</v>
      </c>
      <c r="AZ53" s="10">
        <v>1997</v>
      </c>
      <c r="BA53" s="2">
        <f t="shared" si="10"/>
        <v>28</v>
      </c>
      <c r="BB53" s="2" t="str">
        <f t="shared" si="11"/>
        <v>4</v>
      </c>
      <c r="BC53" s="3">
        <v>1</v>
      </c>
      <c r="BD53" s="7">
        <f t="shared" si="23"/>
        <v>1.8139999999999998</v>
      </c>
      <c r="BE53" s="8" t="s">
        <v>835</v>
      </c>
      <c r="BF53" s="62" t="s">
        <v>804</v>
      </c>
      <c r="BG53" s="62"/>
      <c r="BH53" s="10">
        <v>8985</v>
      </c>
      <c r="BI53" s="10" t="s">
        <v>967</v>
      </c>
      <c r="BJ53" s="10"/>
      <c r="BK53" s="107">
        <v>46268</v>
      </c>
      <c r="BL53" s="10" t="s">
        <v>934</v>
      </c>
      <c r="BM53" s="10"/>
    </row>
    <row r="54" spans="1:66" ht="64" x14ac:dyDescent="0.2">
      <c r="A54" s="10">
        <v>20037179</v>
      </c>
      <c r="B54" s="10">
        <v>1057201703</v>
      </c>
      <c r="C54" s="10">
        <v>60000</v>
      </c>
      <c r="D54" s="10" t="s">
        <v>134</v>
      </c>
      <c r="E54" s="10" t="s">
        <v>266</v>
      </c>
      <c r="F54" s="10" t="s">
        <v>1004</v>
      </c>
      <c r="G54" s="10" t="s">
        <v>125</v>
      </c>
      <c r="H54" s="10" t="s">
        <v>148</v>
      </c>
      <c r="I54" s="10" t="s">
        <v>81</v>
      </c>
      <c r="J54" s="10" t="s">
        <v>82</v>
      </c>
      <c r="K54" s="10" t="s">
        <v>48</v>
      </c>
      <c r="L54" s="10">
        <v>110</v>
      </c>
      <c r="M54" s="10" t="s">
        <v>137</v>
      </c>
      <c r="N54" s="10" t="s">
        <v>61</v>
      </c>
      <c r="O54" s="10" t="s">
        <v>226</v>
      </c>
      <c r="P54" s="10">
        <v>7.9</v>
      </c>
      <c r="Q54" s="10">
        <v>4.8</v>
      </c>
      <c r="R54" s="10">
        <v>0.6</v>
      </c>
      <c r="S54" s="10">
        <v>0.5</v>
      </c>
      <c r="T54" s="2">
        <f t="shared" si="0"/>
        <v>13.799999999999999</v>
      </c>
      <c r="U54" s="10">
        <v>569</v>
      </c>
      <c r="V54" s="10">
        <v>1231</v>
      </c>
      <c r="W54" s="2" t="str">
        <f t="shared" si="22"/>
        <v>4</v>
      </c>
      <c r="X54" s="2" t="str">
        <f t="shared" si="15"/>
        <v>1</v>
      </c>
      <c r="Y54" s="2" t="str">
        <f t="shared" si="16"/>
        <v>1</v>
      </c>
      <c r="Z54" s="3" t="str">
        <f t="shared" si="17"/>
        <v>1</v>
      </c>
      <c r="AA54" s="10">
        <v>0.1</v>
      </c>
      <c r="AB54" s="3">
        <f t="shared" si="12"/>
        <v>1.75</v>
      </c>
      <c r="AC54" s="10">
        <v>58</v>
      </c>
      <c r="AD54" s="10">
        <v>7</v>
      </c>
      <c r="AE54" s="10">
        <v>0.02</v>
      </c>
      <c r="AF54" s="10">
        <v>45.5</v>
      </c>
      <c r="AG54" s="2">
        <f t="shared" si="18"/>
        <v>2275</v>
      </c>
      <c r="AH54" s="2" t="str">
        <f t="shared" si="19"/>
        <v>1</v>
      </c>
      <c r="AI54" s="3" t="str">
        <f t="shared" si="20"/>
        <v>1</v>
      </c>
      <c r="AJ54" s="3">
        <f t="shared" si="21"/>
        <v>1</v>
      </c>
      <c r="AK54" s="2">
        <v>1</v>
      </c>
      <c r="AL54" s="2" t="str">
        <f t="shared" si="9"/>
        <v>1</v>
      </c>
      <c r="AM54" s="10">
        <v>314.89999999999998</v>
      </c>
      <c r="AN54" s="10">
        <v>144.85399999999998</v>
      </c>
      <c r="AO54" s="10">
        <v>1004.1</v>
      </c>
      <c r="AP54" s="10">
        <v>461.88600000000002</v>
      </c>
      <c r="AQ54" s="10" t="s">
        <v>61</v>
      </c>
      <c r="AR54" s="10" t="s">
        <v>61</v>
      </c>
      <c r="AS54" s="10">
        <v>46</v>
      </c>
      <c r="AT54" s="2" t="str">
        <f t="shared" si="13"/>
        <v>1</v>
      </c>
      <c r="AU54" s="10">
        <v>1</v>
      </c>
      <c r="AV54" s="10">
        <v>1</v>
      </c>
      <c r="AW54" s="10">
        <v>1</v>
      </c>
      <c r="AX54" s="10">
        <v>1</v>
      </c>
      <c r="AY54" s="2">
        <v>1</v>
      </c>
      <c r="AZ54" s="10">
        <v>2021</v>
      </c>
      <c r="BA54" s="2">
        <f t="shared" si="10"/>
        <v>4</v>
      </c>
      <c r="BB54" s="2" t="str">
        <f t="shared" si="11"/>
        <v>1</v>
      </c>
      <c r="BC54" s="3">
        <v>1</v>
      </c>
      <c r="BD54" s="7">
        <f t="shared" si="23"/>
        <v>1.1500000000000001</v>
      </c>
      <c r="BE54" s="62" t="s">
        <v>828</v>
      </c>
      <c r="BF54" s="62"/>
      <c r="BG54" s="62"/>
      <c r="BH54" s="10">
        <v>1</v>
      </c>
      <c r="BI54" s="10"/>
      <c r="BJ54" s="10"/>
      <c r="BK54" s="107">
        <v>46268</v>
      </c>
      <c r="BL54" s="10" t="s">
        <v>934</v>
      </c>
      <c r="BM54" s="10"/>
    </row>
    <row r="55" spans="1:66" ht="80" x14ac:dyDescent="0.2">
      <c r="A55" s="10">
        <v>20700443</v>
      </c>
      <c r="B55" s="55">
        <v>839</v>
      </c>
      <c r="C55" s="101">
        <v>225</v>
      </c>
      <c r="D55" s="101" t="s">
        <v>73</v>
      </c>
      <c r="E55" s="101" t="s">
        <v>272</v>
      </c>
      <c r="F55" s="101" t="s">
        <v>273</v>
      </c>
      <c r="G55" s="101" t="s">
        <v>125</v>
      </c>
      <c r="H55" s="101" t="s">
        <v>148</v>
      </c>
      <c r="I55" s="101" t="s">
        <v>65</v>
      </c>
      <c r="J55" s="101" t="s">
        <v>61</v>
      </c>
      <c r="K55" s="101" t="s">
        <v>66</v>
      </c>
      <c r="L55" s="101" t="s">
        <v>76</v>
      </c>
      <c r="M55" s="101" t="s">
        <v>60</v>
      </c>
      <c r="N55" s="101" t="s">
        <v>61</v>
      </c>
      <c r="O55" s="101" t="s">
        <v>77</v>
      </c>
      <c r="P55" s="101">
        <v>1.5</v>
      </c>
      <c r="Q55" s="101">
        <v>2.5</v>
      </c>
      <c r="R55" s="101">
        <v>8</v>
      </c>
      <c r="S55" s="101">
        <v>0.8</v>
      </c>
      <c r="T55" s="9">
        <f t="shared" si="0"/>
        <v>12.8</v>
      </c>
      <c r="U55" s="101">
        <v>152</v>
      </c>
      <c r="V55" s="101">
        <v>2872</v>
      </c>
      <c r="W55" s="9" t="str">
        <f t="shared" si="22"/>
        <v>2</v>
      </c>
      <c r="X55" s="9" t="str">
        <f t="shared" si="15"/>
        <v>2</v>
      </c>
      <c r="Y55" s="9" t="str">
        <f t="shared" si="16"/>
        <v>1</v>
      </c>
      <c r="Z55" s="37" t="str">
        <f t="shared" si="17"/>
        <v>1</v>
      </c>
      <c r="AA55" s="101">
        <v>0.1</v>
      </c>
      <c r="AB55" s="37">
        <f t="shared" si="12"/>
        <v>1.5</v>
      </c>
      <c r="AC55" s="101">
        <v>27</v>
      </c>
      <c r="AD55" s="101">
        <v>20</v>
      </c>
      <c r="AE55" s="101">
        <v>0.02</v>
      </c>
      <c r="AF55" s="101">
        <v>33.200000000000003</v>
      </c>
      <c r="AG55" s="9">
        <f t="shared" si="18"/>
        <v>1660</v>
      </c>
      <c r="AH55" s="9" t="str">
        <f t="shared" si="19"/>
        <v>2</v>
      </c>
      <c r="AI55" s="37" t="str">
        <f t="shared" si="20"/>
        <v>1</v>
      </c>
      <c r="AJ55" s="37">
        <f t="shared" si="21"/>
        <v>1.8</v>
      </c>
      <c r="AK55" s="9">
        <v>3700</v>
      </c>
      <c r="AL55" s="9" t="str">
        <f t="shared" si="9"/>
        <v>3</v>
      </c>
      <c r="AM55" s="101">
        <v>3.76</v>
      </c>
      <c r="AN55" s="101">
        <v>1.504</v>
      </c>
      <c r="AO55" s="101">
        <v>9.41</v>
      </c>
      <c r="AP55" s="101">
        <v>3.7640000000000002</v>
      </c>
      <c r="AQ55" s="101" t="s">
        <v>61</v>
      </c>
      <c r="AR55" s="101" t="s">
        <v>61</v>
      </c>
      <c r="AS55" s="101">
        <v>40</v>
      </c>
      <c r="AT55" s="9" t="str">
        <f t="shared" si="13"/>
        <v>1</v>
      </c>
      <c r="AU55" s="55">
        <v>1</v>
      </c>
      <c r="AV55" s="55">
        <v>1</v>
      </c>
      <c r="AW55" s="55">
        <v>1</v>
      </c>
      <c r="AX55" s="55" t="s">
        <v>61</v>
      </c>
      <c r="AY55" s="2">
        <v>1</v>
      </c>
      <c r="AZ55" s="55">
        <v>1988</v>
      </c>
      <c r="BA55" s="57">
        <f t="shared" si="10"/>
        <v>37</v>
      </c>
      <c r="BB55" s="9" t="str">
        <f t="shared" si="11"/>
        <v>5</v>
      </c>
      <c r="BC55" s="37">
        <v>1</v>
      </c>
      <c r="BD55" s="7">
        <f t="shared" si="23"/>
        <v>1.5840000000000001</v>
      </c>
      <c r="BE55" s="62" t="s">
        <v>827</v>
      </c>
      <c r="BF55" s="106"/>
      <c r="BG55" s="62"/>
      <c r="BH55" s="10">
        <v>256</v>
      </c>
      <c r="BI55" s="10"/>
      <c r="BJ55" s="10"/>
      <c r="BK55" s="10"/>
      <c r="BL55" s="10"/>
      <c r="BM55" s="10"/>
    </row>
    <row r="56" spans="1:66" ht="80" x14ac:dyDescent="0.2">
      <c r="A56" s="10">
        <v>20026778</v>
      </c>
      <c r="B56" s="10">
        <v>200113</v>
      </c>
      <c r="C56" s="10">
        <v>6500</v>
      </c>
      <c r="D56" s="10" t="s">
        <v>73</v>
      </c>
      <c r="E56" s="10" t="s">
        <v>274</v>
      </c>
      <c r="F56" s="10" t="s">
        <v>276</v>
      </c>
      <c r="G56" s="10" t="s">
        <v>58</v>
      </c>
      <c r="H56" s="10" t="s">
        <v>59</v>
      </c>
      <c r="I56" s="10" t="s">
        <v>81</v>
      </c>
      <c r="J56" s="10" t="s">
        <v>143</v>
      </c>
      <c r="K56" s="10" t="s">
        <v>66</v>
      </c>
      <c r="L56" s="10" t="s">
        <v>76</v>
      </c>
      <c r="M56" s="10" t="s">
        <v>60</v>
      </c>
      <c r="N56" s="10" t="s">
        <v>61</v>
      </c>
      <c r="O56" s="10" t="s">
        <v>83</v>
      </c>
      <c r="P56" s="10">
        <v>7.3</v>
      </c>
      <c r="Q56" s="10">
        <v>11.6</v>
      </c>
      <c r="R56" s="10">
        <v>4.5</v>
      </c>
      <c r="S56" s="10">
        <v>1.8</v>
      </c>
      <c r="T56" s="2">
        <f t="shared" si="0"/>
        <v>25.2</v>
      </c>
      <c r="U56" s="10">
        <v>982</v>
      </c>
      <c r="V56" s="10">
        <v>4365</v>
      </c>
      <c r="W56" s="2" t="str">
        <f t="shared" si="22"/>
        <v>5</v>
      </c>
      <c r="X56" s="2" t="str">
        <f t="shared" si="15"/>
        <v>3</v>
      </c>
      <c r="Y56" s="2" t="str">
        <f t="shared" si="16"/>
        <v>1</v>
      </c>
      <c r="Z56" s="3" t="str">
        <f t="shared" si="17"/>
        <v>1</v>
      </c>
      <c r="AA56" s="10">
        <v>0.1</v>
      </c>
      <c r="AB56" s="3">
        <f t="shared" si="12"/>
        <v>2.5</v>
      </c>
      <c r="AC56" s="10">
        <v>44</v>
      </c>
      <c r="AD56" s="10">
        <v>12</v>
      </c>
      <c r="AE56" s="10">
        <v>0.02</v>
      </c>
      <c r="AF56" s="10">
        <v>31.6</v>
      </c>
      <c r="AG56" s="2">
        <f t="shared" si="18"/>
        <v>1580</v>
      </c>
      <c r="AH56" s="2" t="str">
        <f t="shared" si="19"/>
        <v>1</v>
      </c>
      <c r="AI56" s="3" t="str">
        <f t="shared" si="20"/>
        <v>1</v>
      </c>
      <c r="AJ56" s="3">
        <f t="shared" si="21"/>
        <v>1</v>
      </c>
      <c r="AK56" s="2">
        <v>14</v>
      </c>
      <c r="AL56" s="2" t="str">
        <f t="shared" si="9"/>
        <v>1</v>
      </c>
      <c r="AM56" s="10">
        <v>108.7</v>
      </c>
      <c r="AN56" s="10">
        <v>84.786000000000001</v>
      </c>
      <c r="AO56" s="10">
        <v>271.89999999999998</v>
      </c>
      <c r="AP56" s="10">
        <v>212.08199999999999</v>
      </c>
      <c r="AQ56" s="10" t="s">
        <v>61</v>
      </c>
      <c r="AR56" s="10" t="s">
        <v>61</v>
      </c>
      <c r="AS56" s="10">
        <v>78</v>
      </c>
      <c r="AT56" s="2" t="str">
        <f t="shared" si="13"/>
        <v>4</v>
      </c>
      <c r="AU56" s="10">
        <v>1</v>
      </c>
      <c r="AV56" s="10">
        <v>1</v>
      </c>
      <c r="AW56" s="10">
        <v>1</v>
      </c>
      <c r="AX56" s="10" t="s">
        <v>61</v>
      </c>
      <c r="AY56" s="2">
        <v>1</v>
      </c>
      <c r="AZ56" s="10">
        <v>1999</v>
      </c>
      <c r="BA56" s="2">
        <f t="shared" si="10"/>
        <v>26</v>
      </c>
      <c r="BB56" s="2" t="str">
        <f t="shared" si="11"/>
        <v>4</v>
      </c>
      <c r="BC56" s="3">
        <v>1</v>
      </c>
      <c r="BD56" s="7">
        <f t="shared" si="23"/>
        <v>1.75</v>
      </c>
      <c r="BE56" s="62" t="s">
        <v>827</v>
      </c>
      <c r="BF56" s="62"/>
      <c r="BG56" s="62" t="s">
        <v>857</v>
      </c>
      <c r="BH56" s="10">
        <v>6560</v>
      </c>
      <c r="BI56" s="10"/>
      <c r="BJ56" s="10"/>
      <c r="BK56" s="10"/>
      <c r="BL56" s="10"/>
      <c r="BM56" s="10"/>
      <c r="BN56" s="61" t="s">
        <v>998</v>
      </c>
    </row>
    <row r="57" spans="1:66" ht="112" x14ac:dyDescent="0.2">
      <c r="A57" s="10">
        <v>20026778</v>
      </c>
      <c r="B57" s="10">
        <v>19750108</v>
      </c>
      <c r="C57" s="10">
        <v>4000</v>
      </c>
      <c r="D57" s="10" t="s">
        <v>73</v>
      </c>
      <c r="E57" s="10" t="s">
        <v>274</v>
      </c>
      <c r="F57" s="10" t="s">
        <v>275</v>
      </c>
      <c r="G57" s="10" t="s">
        <v>58</v>
      </c>
      <c r="H57" s="10" t="s">
        <v>59</v>
      </c>
      <c r="I57" s="10" t="s">
        <v>65</v>
      </c>
      <c r="J57" s="10" t="s">
        <v>82</v>
      </c>
      <c r="K57" s="10" t="s">
        <v>66</v>
      </c>
      <c r="L57" s="10" t="s">
        <v>76</v>
      </c>
      <c r="M57" s="10" t="s">
        <v>60</v>
      </c>
      <c r="N57" s="10" t="s">
        <v>61</v>
      </c>
      <c r="O57" s="10" t="s">
        <v>130</v>
      </c>
      <c r="P57" s="10">
        <v>3.8</v>
      </c>
      <c r="Q57" s="10">
        <v>2.6</v>
      </c>
      <c r="R57" s="10">
        <v>6.2</v>
      </c>
      <c r="S57" s="10">
        <v>0.7</v>
      </c>
      <c r="T57" s="2">
        <f t="shared" si="0"/>
        <v>13.3</v>
      </c>
      <c r="U57" s="10">
        <v>245</v>
      </c>
      <c r="V57" s="10">
        <v>2431</v>
      </c>
      <c r="W57" s="2" t="str">
        <f t="shared" si="22"/>
        <v>2</v>
      </c>
      <c r="X57" s="2" t="str">
        <f t="shared" si="15"/>
        <v>2</v>
      </c>
      <c r="Y57" s="2" t="str">
        <f t="shared" si="16"/>
        <v>1</v>
      </c>
      <c r="Z57" s="3" t="str">
        <f t="shared" si="17"/>
        <v>1</v>
      </c>
      <c r="AA57" s="10">
        <v>0</v>
      </c>
      <c r="AB57" s="3">
        <f t="shared" si="12"/>
        <v>1.5</v>
      </c>
      <c r="AC57" s="10">
        <v>25</v>
      </c>
      <c r="AD57" s="10">
        <v>28</v>
      </c>
      <c r="AE57" s="10">
        <v>0.02</v>
      </c>
      <c r="AF57" s="10">
        <v>39.5</v>
      </c>
      <c r="AG57" s="2">
        <f t="shared" si="18"/>
        <v>1975</v>
      </c>
      <c r="AH57" s="2" t="str">
        <f t="shared" si="19"/>
        <v>3</v>
      </c>
      <c r="AI57" s="3" t="str">
        <f t="shared" si="20"/>
        <v>1</v>
      </c>
      <c r="AJ57" s="3">
        <f t="shared" si="21"/>
        <v>2.6000000000000005</v>
      </c>
      <c r="AK57" s="2">
        <v>1056</v>
      </c>
      <c r="AL57" s="2" t="str">
        <f t="shared" si="9"/>
        <v>1</v>
      </c>
      <c r="AM57" s="10">
        <v>66.900000000000006</v>
      </c>
      <c r="AN57" s="10">
        <v>28.098000000000003</v>
      </c>
      <c r="AO57" s="10">
        <v>167.3</v>
      </c>
      <c r="AP57" s="10">
        <v>70.266000000000005</v>
      </c>
      <c r="AQ57" s="10" t="s">
        <v>61</v>
      </c>
      <c r="AR57" s="10" t="s">
        <v>61</v>
      </c>
      <c r="AS57" s="10">
        <v>42</v>
      </c>
      <c r="AT57" s="2" t="str">
        <f t="shared" si="13"/>
        <v>1</v>
      </c>
      <c r="AU57" s="10">
        <v>1</v>
      </c>
      <c r="AV57" s="10">
        <v>1</v>
      </c>
      <c r="AW57" s="10">
        <v>1</v>
      </c>
      <c r="AX57" s="10" t="s">
        <v>61</v>
      </c>
      <c r="AY57" s="2">
        <v>4</v>
      </c>
      <c r="AZ57" s="10">
        <v>2009</v>
      </c>
      <c r="BA57" s="2">
        <f t="shared" si="10"/>
        <v>16</v>
      </c>
      <c r="BB57" s="2" t="str">
        <f t="shared" si="11"/>
        <v>2</v>
      </c>
      <c r="BC57" s="3">
        <v>1</v>
      </c>
      <c r="BD57" s="7">
        <f t="shared" si="23"/>
        <v>2.0580000000000003</v>
      </c>
      <c r="BE57" s="8" t="s">
        <v>986</v>
      </c>
      <c r="BF57" s="62" t="s">
        <v>801</v>
      </c>
      <c r="BG57" s="8" t="s">
        <v>990</v>
      </c>
      <c r="BH57" s="10">
        <v>4804</v>
      </c>
      <c r="BI57" s="10" t="s">
        <v>967</v>
      </c>
      <c r="BJ57" s="10"/>
      <c r="BK57" s="107">
        <v>46166</v>
      </c>
      <c r="BL57" s="10" t="s">
        <v>934</v>
      </c>
      <c r="BM57" s="10"/>
    </row>
    <row r="58" spans="1:66" ht="80" x14ac:dyDescent="0.2">
      <c r="A58" s="10">
        <v>20026966</v>
      </c>
      <c r="B58" s="10">
        <v>1080670133</v>
      </c>
      <c r="C58" s="10">
        <v>60000</v>
      </c>
      <c r="D58" s="10" t="s">
        <v>134</v>
      </c>
      <c r="E58" s="10" t="s">
        <v>278</v>
      </c>
      <c r="F58" s="10" t="s">
        <v>279</v>
      </c>
      <c r="G58" s="10" t="s">
        <v>58</v>
      </c>
      <c r="H58" s="10" t="s">
        <v>64</v>
      </c>
      <c r="I58" s="10" t="s">
        <v>81</v>
      </c>
      <c r="J58" s="10" t="s">
        <v>82</v>
      </c>
      <c r="K58" s="10" t="s">
        <v>48</v>
      </c>
      <c r="L58" s="10">
        <v>110</v>
      </c>
      <c r="M58" s="10" t="s">
        <v>137</v>
      </c>
      <c r="N58" s="10" t="s">
        <v>60</v>
      </c>
      <c r="O58" s="10" t="s">
        <v>138</v>
      </c>
      <c r="P58" s="10">
        <v>17.100000000000001</v>
      </c>
      <c r="Q58" s="10">
        <v>6.9</v>
      </c>
      <c r="R58" s="10">
        <v>1</v>
      </c>
      <c r="S58" s="10">
        <v>0.7</v>
      </c>
      <c r="T58" s="2">
        <f t="shared" si="0"/>
        <v>25.7</v>
      </c>
      <c r="U58" s="10">
        <v>624</v>
      </c>
      <c r="V58" s="10">
        <v>2062</v>
      </c>
      <c r="W58" s="2" t="str">
        <f t="shared" si="22"/>
        <v>4</v>
      </c>
      <c r="X58" s="2" t="str">
        <f t="shared" si="15"/>
        <v>2</v>
      </c>
      <c r="Y58" s="2" t="str">
        <f t="shared" si="16"/>
        <v>1</v>
      </c>
      <c r="Z58" s="3" t="str">
        <f t="shared" si="17"/>
        <v>1</v>
      </c>
      <c r="AA58" s="10">
        <v>1.3</v>
      </c>
      <c r="AB58" s="3">
        <f t="shared" si="12"/>
        <v>2</v>
      </c>
      <c r="AC58" s="10">
        <v>59</v>
      </c>
      <c r="AD58" s="10">
        <v>6</v>
      </c>
      <c r="AE58" s="10">
        <v>0.02</v>
      </c>
      <c r="AF58" s="10">
        <v>43.9</v>
      </c>
      <c r="AG58" s="2">
        <f t="shared" si="18"/>
        <v>2195</v>
      </c>
      <c r="AH58" s="2" t="str">
        <f t="shared" si="19"/>
        <v>1</v>
      </c>
      <c r="AI58" s="3" t="str">
        <f t="shared" si="20"/>
        <v>1</v>
      </c>
      <c r="AJ58" s="3">
        <f t="shared" si="21"/>
        <v>1</v>
      </c>
      <c r="AK58" s="2">
        <v>14</v>
      </c>
      <c r="AL58" s="2" t="str">
        <f t="shared" si="9"/>
        <v>1</v>
      </c>
      <c r="AM58" s="10">
        <v>314.92</v>
      </c>
      <c r="AN58" s="10">
        <v>296.02479999999997</v>
      </c>
      <c r="AO58" s="10">
        <v>836.74</v>
      </c>
      <c r="AP58" s="10">
        <v>786.53559999999993</v>
      </c>
      <c r="AQ58" s="10">
        <v>418.37</v>
      </c>
      <c r="AR58" s="10">
        <v>393.26779999999997</v>
      </c>
      <c r="AS58" s="10">
        <v>75</v>
      </c>
      <c r="AT58" s="2" t="str">
        <f t="shared" si="13"/>
        <v>3</v>
      </c>
      <c r="AU58" s="10">
        <v>1</v>
      </c>
      <c r="AV58" s="10">
        <v>1</v>
      </c>
      <c r="AW58" s="10">
        <v>1</v>
      </c>
      <c r="AX58" s="10">
        <v>1</v>
      </c>
      <c r="AY58" s="2">
        <v>1</v>
      </c>
      <c r="AZ58" s="10">
        <v>2021</v>
      </c>
      <c r="BA58" s="2">
        <f t="shared" si="10"/>
        <v>4</v>
      </c>
      <c r="BB58" s="2" t="str">
        <f t="shared" si="11"/>
        <v>1</v>
      </c>
      <c r="BC58" s="3">
        <v>1</v>
      </c>
      <c r="BD58" s="7">
        <f t="shared" si="23"/>
        <v>1.4000000000000001</v>
      </c>
      <c r="BE58" s="62" t="s">
        <v>827</v>
      </c>
      <c r="BF58" s="62"/>
      <c r="BG58" s="62"/>
      <c r="BH58" s="10">
        <v>6</v>
      </c>
      <c r="BI58" s="10"/>
      <c r="BJ58" s="10"/>
      <c r="BK58" s="10" t="s">
        <v>965</v>
      </c>
      <c r="BL58" s="10" t="s">
        <v>945</v>
      </c>
      <c r="BM58" s="10"/>
    </row>
    <row r="59" spans="1:66" ht="48" x14ac:dyDescent="0.2">
      <c r="A59" s="10">
        <v>20026966</v>
      </c>
      <c r="B59" s="10" t="s">
        <v>280</v>
      </c>
      <c r="C59" s="10">
        <v>14000</v>
      </c>
      <c r="D59" s="10" t="s">
        <v>73</v>
      </c>
      <c r="E59" s="12" t="s">
        <v>278</v>
      </c>
      <c r="F59" s="10" t="s">
        <v>281</v>
      </c>
      <c r="G59" s="10" t="s">
        <v>58</v>
      </c>
      <c r="H59" s="10" t="s">
        <v>64</v>
      </c>
      <c r="I59" s="10" t="s">
        <v>81</v>
      </c>
      <c r="J59" s="10" t="s">
        <v>143</v>
      </c>
      <c r="K59" s="10" t="s">
        <v>48</v>
      </c>
      <c r="L59" s="10" t="s">
        <v>137</v>
      </c>
      <c r="M59" s="10" t="s">
        <v>60</v>
      </c>
      <c r="N59" s="10" t="s">
        <v>61</v>
      </c>
      <c r="O59" s="10" t="s">
        <v>164</v>
      </c>
      <c r="P59" s="10">
        <v>4.3</v>
      </c>
      <c r="Q59" s="10">
        <v>3.6</v>
      </c>
      <c r="R59" s="10">
        <v>45</v>
      </c>
      <c r="S59" s="10">
        <v>1.1000000000000001</v>
      </c>
      <c r="T59" s="2">
        <f t="shared" si="0"/>
        <v>54</v>
      </c>
      <c r="U59" s="10">
        <v>488</v>
      </c>
      <c r="V59" s="10">
        <v>2465</v>
      </c>
      <c r="W59" s="2" t="str">
        <f t="shared" si="22"/>
        <v>3</v>
      </c>
      <c r="X59" s="2" t="str">
        <f t="shared" si="15"/>
        <v>2</v>
      </c>
      <c r="Y59" s="2" t="str">
        <f t="shared" si="16"/>
        <v>1</v>
      </c>
      <c r="Z59" s="3" t="str">
        <f t="shared" si="17"/>
        <v>1</v>
      </c>
      <c r="AA59" s="10">
        <v>0.1</v>
      </c>
      <c r="AB59" s="3">
        <f t="shared" si="12"/>
        <v>1.75</v>
      </c>
      <c r="AC59" s="10">
        <v>19</v>
      </c>
      <c r="AD59" s="10">
        <v>26</v>
      </c>
      <c r="AE59" s="10">
        <v>0.03</v>
      </c>
      <c r="AF59" s="10">
        <v>29.3</v>
      </c>
      <c r="AG59" s="3">
        <f t="shared" si="18"/>
        <v>976.66666666666674</v>
      </c>
      <c r="AH59" s="2" t="str">
        <f t="shared" si="19"/>
        <v>4</v>
      </c>
      <c r="AI59" s="3" t="str">
        <f t="shared" si="20"/>
        <v>4</v>
      </c>
      <c r="AJ59" s="3">
        <f t="shared" si="21"/>
        <v>4</v>
      </c>
      <c r="AK59" s="2">
        <v>4987</v>
      </c>
      <c r="AL59" s="2" t="str">
        <f t="shared" si="9"/>
        <v>4</v>
      </c>
      <c r="AM59" s="10">
        <v>234.3</v>
      </c>
      <c r="AN59" s="10">
        <v>208.52700000000002</v>
      </c>
      <c r="AO59" s="10">
        <v>585.70000000000005</v>
      </c>
      <c r="AP59" s="10">
        <v>521.27300000000002</v>
      </c>
      <c r="AQ59" s="10" t="s">
        <v>61</v>
      </c>
      <c r="AR59" s="10" t="s">
        <v>61</v>
      </c>
      <c r="AS59" s="10">
        <v>96</v>
      </c>
      <c r="AT59" s="2" t="str">
        <f t="shared" si="13"/>
        <v>5</v>
      </c>
      <c r="AU59" s="10">
        <v>1</v>
      </c>
      <c r="AV59" s="10">
        <v>1</v>
      </c>
      <c r="AW59" s="10">
        <v>1</v>
      </c>
      <c r="AX59" s="10">
        <v>1</v>
      </c>
      <c r="AY59" s="2">
        <v>3</v>
      </c>
      <c r="AZ59" s="10">
        <v>1997</v>
      </c>
      <c r="BA59" s="2">
        <f t="shared" si="10"/>
        <v>28</v>
      </c>
      <c r="BB59" s="2" t="str">
        <f t="shared" si="11"/>
        <v>4</v>
      </c>
      <c r="BC59" s="3">
        <v>1</v>
      </c>
      <c r="BD59" s="7">
        <f t="shared" si="23"/>
        <v>2.9</v>
      </c>
      <c r="BE59" s="62" t="s">
        <v>844</v>
      </c>
      <c r="BF59" s="62" t="s">
        <v>896</v>
      </c>
      <c r="BG59" s="62" t="s">
        <v>866</v>
      </c>
      <c r="BH59" s="10">
        <v>17613</v>
      </c>
      <c r="BI59" s="10" t="s">
        <v>911</v>
      </c>
      <c r="BJ59" s="10" t="s">
        <v>925</v>
      </c>
      <c r="BK59" s="107">
        <v>46208</v>
      </c>
      <c r="BL59" s="10" t="s">
        <v>945</v>
      </c>
      <c r="BM59" s="109">
        <v>74000000</v>
      </c>
      <c r="BN59" s="61" t="s">
        <v>997</v>
      </c>
    </row>
    <row r="60" spans="1:66" ht="64" x14ac:dyDescent="0.2">
      <c r="A60" s="10">
        <v>20700453</v>
      </c>
      <c r="B60" s="10">
        <v>78740113</v>
      </c>
      <c r="C60" s="101">
        <v>4000</v>
      </c>
      <c r="D60" s="101" t="s">
        <v>73</v>
      </c>
      <c r="E60" s="101" t="s">
        <v>283</v>
      </c>
      <c r="F60" s="101" t="s">
        <v>284</v>
      </c>
      <c r="G60" s="101" t="s">
        <v>125</v>
      </c>
      <c r="H60" s="101" t="s">
        <v>126</v>
      </c>
      <c r="I60" s="101" t="s">
        <v>65</v>
      </c>
      <c r="J60" s="101" t="s">
        <v>61</v>
      </c>
      <c r="K60" s="101" t="s">
        <v>66</v>
      </c>
      <c r="L60" s="101" t="s">
        <v>76</v>
      </c>
      <c r="M60" s="101" t="s">
        <v>60</v>
      </c>
      <c r="N60" s="101" t="s">
        <v>61</v>
      </c>
      <c r="O60" s="101" t="s">
        <v>130</v>
      </c>
      <c r="P60" s="101">
        <v>6.1</v>
      </c>
      <c r="Q60" s="101">
        <v>4.5999999999999996</v>
      </c>
      <c r="R60" s="101">
        <v>4.2</v>
      </c>
      <c r="S60" s="101">
        <v>1.5</v>
      </c>
      <c r="T60" s="9">
        <f t="shared" si="0"/>
        <v>16.399999999999999</v>
      </c>
      <c r="U60" s="101">
        <v>329</v>
      </c>
      <c r="V60" s="101">
        <v>3004</v>
      </c>
      <c r="W60" s="9" t="str">
        <f t="shared" si="22"/>
        <v>3</v>
      </c>
      <c r="X60" s="9" t="str">
        <f t="shared" si="15"/>
        <v>3</v>
      </c>
      <c r="Y60" s="9" t="str">
        <f t="shared" si="16"/>
        <v>1</v>
      </c>
      <c r="Z60" s="37" t="str">
        <f t="shared" si="17"/>
        <v>1</v>
      </c>
      <c r="AA60" s="101">
        <v>0</v>
      </c>
      <c r="AB60" s="37">
        <f t="shared" si="12"/>
        <v>2</v>
      </c>
      <c r="AC60" s="101">
        <v>49</v>
      </c>
      <c r="AD60" s="101">
        <v>11</v>
      </c>
      <c r="AE60" s="101">
        <v>0.02</v>
      </c>
      <c r="AF60" s="101">
        <v>44.4</v>
      </c>
      <c r="AG60" s="9">
        <f t="shared" si="18"/>
        <v>2220</v>
      </c>
      <c r="AH60" s="9" t="str">
        <f t="shared" si="19"/>
        <v>1</v>
      </c>
      <c r="AI60" s="37" t="str">
        <f t="shared" si="20"/>
        <v>1</v>
      </c>
      <c r="AJ60" s="37">
        <f t="shared" si="21"/>
        <v>1</v>
      </c>
      <c r="AK60" s="9">
        <v>14</v>
      </c>
      <c r="AL60" s="9" t="str">
        <f t="shared" si="9"/>
        <v>1</v>
      </c>
      <c r="AM60" s="101">
        <v>66.94</v>
      </c>
      <c r="AN60" s="101">
        <v>41.502800000000001</v>
      </c>
      <c r="AO60" s="101">
        <v>167.35</v>
      </c>
      <c r="AP60" s="101">
        <v>103.75699999999999</v>
      </c>
      <c r="AQ60" s="101" t="s">
        <v>61</v>
      </c>
      <c r="AR60" s="101" t="s">
        <v>61</v>
      </c>
      <c r="AS60" s="101">
        <v>62</v>
      </c>
      <c r="AT60" s="9" t="str">
        <f t="shared" si="13"/>
        <v>2</v>
      </c>
      <c r="AU60" s="55">
        <v>1</v>
      </c>
      <c r="AV60" s="55">
        <v>1</v>
      </c>
      <c r="AW60" s="55">
        <v>1</v>
      </c>
      <c r="AX60" s="55" t="s">
        <v>61</v>
      </c>
      <c r="AY60" s="2">
        <v>1</v>
      </c>
      <c r="AZ60" s="55">
        <v>2013</v>
      </c>
      <c r="BA60" s="57">
        <f t="shared" si="10"/>
        <v>12</v>
      </c>
      <c r="BB60" s="9" t="str">
        <f t="shared" si="11"/>
        <v>2</v>
      </c>
      <c r="BC60" s="37">
        <v>1</v>
      </c>
      <c r="BD60" s="7">
        <f t="shared" si="23"/>
        <v>1.35</v>
      </c>
      <c r="BE60" s="62" t="s">
        <v>828</v>
      </c>
      <c r="BF60" s="106"/>
      <c r="BG60" s="62"/>
      <c r="BH60" s="10">
        <v>414</v>
      </c>
      <c r="BI60" s="10"/>
      <c r="BJ60" s="10"/>
      <c r="BK60" s="107">
        <v>46142</v>
      </c>
      <c r="BL60" s="10" t="s">
        <v>936</v>
      </c>
      <c r="BM60" s="10"/>
    </row>
    <row r="61" spans="1:66" ht="112" x14ac:dyDescent="0.2">
      <c r="A61" s="10">
        <v>20026985</v>
      </c>
      <c r="B61" s="10">
        <v>56190119</v>
      </c>
      <c r="C61" s="10">
        <v>3000</v>
      </c>
      <c r="D61" s="10" t="s">
        <v>73</v>
      </c>
      <c r="E61" s="10" t="s">
        <v>286</v>
      </c>
      <c r="F61" s="10" t="s">
        <v>287</v>
      </c>
      <c r="G61" s="10" t="s">
        <v>58</v>
      </c>
      <c r="H61" s="10" t="s">
        <v>59</v>
      </c>
      <c r="I61" s="10" t="s">
        <v>65</v>
      </c>
      <c r="J61" s="10" t="s">
        <v>61</v>
      </c>
      <c r="K61" s="10" t="s">
        <v>66</v>
      </c>
      <c r="L61" s="10" t="s">
        <v>76</v>
      </c>
      <c r="M61" s="10" t="s">
        <v>60</v>
      </c>
      <c r="N61" s="10" t="s">
        <v>61</v>
      </c>
      <c r="O61" s="10" t="s">
        <v>130</v>
      </c>
      <c r="P61" s="10">
        <v>137</v>
      </c>
      <c r="Q61" s="10">
        <v>14.4</v>
      </c>
      <c r="R61" s="10">
        <v>5.3</v>
      </c>
      <c r="S61" s="10">
        <v>2.2000000000000002</v>
      </c>
      <c r="T61" s="2">
        <f t="shared" si="0"/>
        <v>158.9</v>
      </c>
      <c r="U61" s="10">
        <v>903</v>
      </c>
      <c r="V61" s="10">
        <v>2098</v>
      </c>
      <c r="W61" s="2" t="str">
        <f t="shared" si="22"/>
        <v>5</v>
      </c>
      <c r="X61" s="2" t="str">
        <f t="shared" si="15"/>
        <v>2</v>
      </c>
      <c r="Y61" s="2" t="str">
        <f t="shared" si="16"/>
        <v>2</v>
      </c>
      <c r="Z61" s="3" t="str">
        <f t="shared" si="17"/>
        <v>1</v>
      </c>
      <c r="AA61" s="10">
        <v>0</v>
      </c>
      <c r="AB61" s="3">
        <f t="shared" si="12"/>
        <v>2.5</v>
      </c>
      <c r="AC61" s="10">
        <v>53</v>
      </c>
      <c r="AD61" s="10">
        <v>11</v>
      </c>
      <c r="AE61" s="10">
        <v>0.02</v>
      </c>
      <c r="AF61" s="10">
        <v>41.2</v>
      </c>
      <c r="AG61" s="2">
        <f t="shared" si="18"/>
        <v>2060</v>
      </c>
      <c r="AH61" s="2" t="str">
        <f t="shared" si="19"/>
        <v>1</v>
      </c>
      <c r="AI61" s="3" t="str">
        <f t="shared" si="20"/>
        <v>1</v>
      </c>
      <c r="AJ61" s="3">
        <f t="shared" si="21"/>
        <v>1</v>
      </c>
      <c r="AK61" s="2">
        <v>14</v>
      </c>
      <c r="AL61" s="2" t="str">
        <f t="shared" si="9"/>
        <v>1</v>
      </c>
      <c r="AM61" s="10">
        <v>50.2</v>
      </c>
      <c r="AN61" s="10">
        <v>23.594000000000001</v>
      </c>
      <c r="AO61" s="10">
        <v>125.51</v>
      </c>
      <c r="AP61" s="10">
        <v>58.989699999999999</v>
      </c>
      <c r="AQ61" s="10" t="s">
        <v>61</v>
      </c>
      <c r="AR61" s="10" t="s">
        <v>61</v>
      </c>
      <c r="AS61" s="10">
        <v>47</v>
      </c>
      <c r="AT61" s="2" t="str">
        <f t="shared" si="13"/>
        <v>1</v>
      </c>
      <c r="AU61" s="10">
        <v>5</v>
      </c>
      <c r="AV61" s="10">
        <v>1</v>
      </c>
      <c r="AW61" s="10">
        <v>1</v>
      </c>
      <c r="AX61" s="10" t="s">
        <v>61</v>
      </c>
      <c r="AY61" s="2">
        <v>2</v>
      </c>
      <c r="AZ61" s="10">
        <v>2019</v>
      </c>
      <c r="BA61" s="2">
        <f t="shared" si="10"/>
        <v>6</v>
      </c>
      <c r="BB61" s="2" t="str">
        <f t="shared" si="11"/>
        <v>1</v>
      </c>
      <c r="BC61" s="3">
        <v>1</v>
      </c>
      <c r="BD61" s="7">
        <f t="shared" si="23"/>
        <v>1.48</v>
      </c>
      <c r="BE61" s="62" t="s">
        <v>908</v>
      </c>
      <c r="BF61" s="62" t="s">
        <v>897</v>
      </c>
      <c r="BG61" s="62" t="s">
        <v>822</v>
      </c>
      <c r="BH61" s="10">
        <v>805</v>
      </c>
      <c r="BI61" s="10" t="s">
        <v>967</v>
      </c>
      <c r="BJ61" s="10"/>
      <c r="BK61" s="10" t="s">
        <v>965</v>
      </c>
      <c r="BL61" s="10" t="s">
        <v>950</v>
      </c>
      <c r="BM61" s="10"/>
    </row>
    <row r="62" spans="1:66" ht="64" x14ac:dyDescent="0.2">
      <c r="A62" s="10">
        <v>20700419</v>
      </c>
      <c r="B62" s="10">
        <v>1057474108</v>
      </c>
      <c r="C62" s="10">
        <v>60000</v>
      </c>
      <c r="D62" s="10" t="s">
        <v>134</v>
      </c>
      <c r="E62" s="10" t="s">
        <v>289</v>
      </c>
      <c r="F62" s="10" t="s">
        <v>290</v>
      </c>
      <c r="G62" s="10" t="s">
        <v>70</v>
      </c>
      <c r="H62" s="10" t="s">
        <v>70</v>
      </c>
      <c r="I62" s="10" t="s">
        <v>81</v>
      </c>
      <c r="J62" s="10" t="s">
        <v>82</v>
      </c>
      <c r="K62" s="10" t="s">
        <v>48</v>
      </c>
      <c r="L62" s="10">
        <v>110</v>
      </c>
      <c r="M62" s="10">
        <v>66</v>
      </c>
      <c r="N62" s="10" t="s">
        <v>60</v>
      </c>
      <c r="O62" s="10" t="s">
        <v>138</v>
      </c>
      <c r="P62" s="10">
        <v>14</v>
      </c>
      <c r="Q62" s="10">
        <v>12.4</v>
      </c>
      <c r="R62" s="10">
        <v>0.9</v>
      </c>
      <c r="S62" s="10">
        <v>1.6</v>
      </c>
      <c r="T62" s="2">
        <f t="shared" si="0"/>
        <v>28.9</v>
      </c>
      <c r="U62" s="10">
        <v>887</v>
      </c>
      <c r="V62" s="10">
        <v>2810</v>
      </c>
      <c r="W62" s="2" t="str">
        <f t="shared" si="22"/>
        <v>5</v>
      </c>
      <c r="X62" s="2" t="str">
        <f t="shared" si="15"/>
        <v>2</v>
      </c>
      <c r="Y62" s="2" t="str">
        <f t="shared" si="16"/>
        <v>1</v>
      </c>
      <c r="Z62" s="3" t="str">
        <f t="shared" si="17"/>
        <v>1</v>
      </c>
      <c r="AA62" s="10">
        <v>0</v>
      </c>
      <c r="AB62" s="3">
        <f t="shared" si="12"/>
        <v>2.25</v>
      </c>
      <c r="AC62" s="10">
        <v>32</v>
      </c>
      <c r="AD62" s="10">
        <v>17</v>
      </c>
      <c r="AE62" s="10">
        <v>0.02</v>
      </c>
      <c r="AF62" s="10">
        <v>44.4</v>
      </c>
      <c r="AG62" s="2">
        <f t="shared" si="18"/>
        <v>2220</v>
      </c>
      <c r="AH62" s="2" t="str">
        <f t="shared" si="19"/>
        <v>2</v>
      </c>
      <c r="AI62" s="3" t="str">
        <f t="shared" si="20"/>
        <v>1</v>
      </c>
      <c r="AJ62" s="3">
        <f t="shared" si="21"/>
        <v>1.8</v>
      </c>
      <c r="AK62" s="2">
        <v>14</v>
      </c>
      <c r="AL62" s="2" t="str">
        <f t="shared" si="9"/>
        <v>1</v>
      </c>
      <c r="AM62" s="10">
        <v>314.92</v>
      </c>
      <c r="AN62" s="10">
        <v>179.5044</v>
      </c>
      <c r="AO62" s="10">
        <v>393.6</v>
      </c>
      <c r="AP62" s="10">
        <v>224.352</v>
      </c>
      <c r="AQ62" s="10">
        <v>836.7</v>
      </c>
      <c r="AR62" s="10">
        <v>476.91899999999998</v>
      </c>
      <c r="AS62" s="10">
        <v>57</v>
      </c>
      <c r="AT62" s="2" t="str">
        <f t="shared" si="13"/>
        <v>1</v>
      </c>
      <c r="AU62" s="10">
        <v>1</v>
      </c>
      <c r="AV62" s="10">
        <v>1</v>
      </c>
      <c r="AW62" s="10">
        <v>1</v>
      </c>
      <c r="AX62" s="10">
        <v>1</v>
      </c>
      <c r="AY62" s="2">
        <v>1</v>
      </c>
      <c r="AZ62" s="10">
        <v>2021</v>
      </c>
      <c r="BA62" s="2">
        <f t="shared" si="10"/>
        <v>4</v>
      </c>
      <c r="BB62" s="2" t="str">
        <f t="shared" si="11"/>
        <v>1</v>
      </c>
      <c r="BC62" s="3">
        <v>1</v>
      </c>
      <c r="BD62" s="7">
        <f t="shared" si="23"/>
        <v>1.4340000000000002</v>
      </c>
      <c r="BE62" s="62" t="s">
        <v>828</v>
      </c>
      <c r="BF62" s="62"/>
      <c r="BG62" s="62"/>
      <c r="BH62" s="10">
        <v>9543</v>
      </c>
      <c r="BI62" s="10"/>
      <c r="BJ62" s="10"/>
      <c r="BK62" s="10"/>
      <c r="BL62" s="10"/>
      <c r="BM62" s="10"/>
    </row>
    <row r="63" spans="1:66" ht="64" x14ac:dyDescent="0.2">
      <c r="A63" s="10">
        <v>20700419</v>
      </c>
      <c r="B63" s="10">
        <v>1075810620</v>
      </c>
      <c r="C63" s="10">
        <v>60000</v>
      </c>
      <c r="D63" s="10" t="s">
        <v>134</v>
      </c>
      <c r="E63" s="10" t="s">
        <v>289</v>
      </c>
      <c r="F63" s="10" t="s">
        <v>291</v>
      </c>
      <c r="G63" s="10" t="s">
        <v>70</v>
      </c>
      <c r="H63" s="10" t="s">
        <v>70</v>
      </c>
      <c r="I63" s="10" t="s">
        <v>81</v>
      </c>
      <c r="J63" s="10" t="s">
        <v>82</v>
      </c>
      <c r="K63" s="10" t="s">
        <v>48</v>
      </c>
      <c r="L63" s="10">
        <v>110</v>
      </c>
      <c r="M63" s="10">
        <v>66</v>
      </c>
      <c r="N63" s="10" t="s">
        <v>60</v>
      </c>
      <c r="O63" s="10" t="s">
        <v>138</v>
      </c>
      <c r="P63" s="10">
        <v>39</v>
      </c>
      <c r="Q63" s="10">
        <v>11.2</v>
      </c>
      <c r="R63" s="10">
        <v>0.4</v>
      </c>
      <c r="S63" s="10">
        <v>2.4</v>
      </c>
      <c r="T63" s="2">
        <f t="shared" si="0"/>
        <v>53</v>
      </c>
      <c r="U63" s="10">
        <v>856</v>
      </c>
      <c r="V63" s="10">
        <v>1666</v>
      </c>
      <c r="W63" s="2" t="str">
        <f t="shared" si="22"/>
        <v>5</v>
      </c>
      <c r="X63" s="2" t="str">
        <f t="shared" si="15"/>
        <v>2</v>
      </c>
      <c r="Y63" s="2" t="str">
        <f t="shared" si="16"/>
        <v>1</v>
      </c>
      <c r="Z63" s="3" t="str">
        <f t="shared" si="17"/>
        <v>1</v>
      </c>
      <c r="AA63" s="10">
        <v>0.1</v>
      </c>
      <c r="AB63" s="3">
        <f t="shared" si="12"/>
        <v>2.25</v>
      </c>
      <c r="AC63" s="10">
        <v>65</v>
      </c>
      <c r="AD63" s="10">
        <v>5</v>
      </c>
      <c r="AE63" s="10">
        <v>0.02</v>
      </c>
      <c r="AF63" s="10">
        <v>44</v>
      </c>
      <c r="AG63" s="2">
        <f t="shared" si="18"/>
        <v>2200</v>
      </c>
      <c r="AH63" s="2" t="str">
        <f t="shared" si="19"/>
        <v>1</v>
      </c>
      <c r="AI63" s="3" t="str">
        <f t="shared" si="20"/>
        <v>1</v>
      </c>
      <c r="AJ63" s="3">
        <f t="shared" si="21"/>
        <v>1</v>
      </c>
      <c r="AK63" s="2">
        <v>14</v>
      </c>
      <c r="AL63" s="2" t="str">
        <f t="shared" si="9"/>
        <v>1</v>
      </c>
      <c r="AM63" s="10">
        <v>314.92</v>
      </c>
      <c r="AN63" s="10">
        <v>179.5044</v>
      </c>
      <c r="AO63" s="10">
        <v>393.6</v>
      </c>
      <c r="AP63" s="10">
        <v>224.352</v>
      </c>
      <c r="AQ63" s="10">
        <v>836.7</v>
      </c>
      <c r="AR63" s="10">
        <v>476.91899999999998</v>
      </c>
      <c r="AS63" s="10">
        <v>57</v>
      </c>
      <c r="AT63" s="2" t="str">
        <f t="shared" si="13"/>
        <v>1</v>
      </c>
      <c r="AU63" s="10">
        <v>1</v>
      </c>
      <c r="AV63" s="10">
        <v>1</v>
      </c>
      <c r="AW63" s="10">
        <v>1</v>
      </c>
      <c r="AX63" s="10">
        <v>1</v>
      </c>
      <c r="AY63" s="2">
        <v>1</v>
      </c>
      <c r="AZ63" s="10">
        <v>2022</v>
      </c>
      <c r="BA63" s="2">
        <f t="shared" si="10"/>
        <v>3</v>
      </c>
      <c r="BB63" s="2" t="str">
        <f t="shared" si="11"/>
        <v>1</v>
      </c>
      <c r="BC63" s="3">
        <v>1</v>
      </c>
      <c r="BD63" s="7">
        <f t="shared" si="23"/>
        <v>1.25</v>
      </c>
      <c r="BE63" s="62" t="s">
        <v>828</v>
      </c>
      <c r="BF63" s="62"/>
      <c r="BG63" s="62"/>
      <c r="BH63" s="10">
        <v>8646</v>
      </c>
      <c r="BI63" s="10"/>
      <c r="BJ63" s="10"/>
      <c r="BK63" s="10"/>
      <c r="BL63" s="10"/>
      <c r="BM63" s="10"/>
    </row>
    <row r="64" spans="1:66" ht="80" x14ac:dyDescent="0.2">
      <c r="A64" s="10">
        <v>20036967</v>
      </c>
      <c r="B64" s="10">
        <v>506631</v>
      </c>
      <c r="C64" s="10">
        <v>25000</v>
      </c>
      <c r="D64" s="10" t="s">
        <v>152</v>
      </c>
      <c r="E64" s="10" t="s">
        <v>292</v>
      </c>
      <c r="F64" s="10" t="s">
        <v>294</v>
      </c>
      <c r="G64" s="10" t="s">
        <v>125</v>
      </c>
      <c r="H64" s="10" t="s">
        <v>148</v>
      </c>
      <c r="I64" s="10" t="s">
        <v>81</v>
      </c>
      <c r="J64" s="10" t="s">
        <v>143</v>
      </c>
      <c r="K64" s="10" t="s">
        <v>48</v>
      </c>
      <c r="L64" s="10" t="s">
        <v>137</v>
      </c>
      <c r="M64" s="10" t="s">
        <v>60</v>
      </c>
      <c r="N64" s="10" t="s">
        <v>61</v>
      </c>
      <c r="O64" s="10" t="s">
        <v>295</v>
      </c>
      <c r="P64" s="10">
        <v>7.7</v>
      </c>
      <c r="Q64" s="10">
        <v>11.2</v>
      </c>
      <c r="R64" s="10">
        <v>4.4000000000000004</v>
      </c>
      <c r="S64" s="10">
        <v>1.3</v>
      </c>
      <c r="T64" s="2">
        <f t="shared" si="0"/>
        <v>24.599999999999998</v>
      </c>
      <c r="U64" s="10">
        <v>1151</v>
      </c>
      <c r="V64" s="10">
        <v>4064</v>
      </c>
      <c r="W64" s="2" t="str">
        <f t="shared" si="22"/>
        <v>5</v>
      </c>
      <c r="X64" s="2" t="str">
        <f t="shared" si="15"/>
        <v>3</v>
      </c>
      <c r="Y64" s="2" t="str">
        <f t="shared" si="16"/>
        <v>1</v>
      </c>
      <c r="Z64" s="3" t="str">
        <f t="shared" si="17"/>
        <v>1</v>
      </c>
      <c r="AA64" s="10">
        <v>0</v>
      </c>
      <c r="AB64" s="3">
        <f t="shared" si="12"/>
        <v>2.5</v>
      </c>
      <c r="AC64" s="10">
        <v>42</v>
      </c>
      <c r="AD64" s="10">
        <v>11</v>
      </c>
      <c r="AE64" s="10">
        <v>0.02</v>
      </c>
      <c r="AF64" s="10">
        <v>42.9</v>
      </c>
      <c r="AG64" s="2">
        <f t="shared" si="18"/>
        <v>2145</v>
      </c>
      <c r="AH64" s="2" t="str">
        <f t="shared" si="19"/>
        <v>1</v>
      </c>
      <c r="AI64" s="3" t="str">
        <f t="shared" si="20"/>
        <v>1</v>
      </c>
      <c r="AJ64" s="3">
        <f t="shared" si="21"/>
        <v>1</v>
      </c>
      <c r="AK64" s="2">
        <v>3456</v>
      </c>
      <c r="AL64" s="2" t="str">
        <f t="shared" si="9"/>
        <v>2</v>
      </c>
      <c r="AM64" s="10">
        <v>418.4</v>
      </c>
      <c r="AN64" s="10">
        <v>338.904</v>
      </c>
      <c r="AO64" s="10">
        <v>1045.9000000000001</v>
      </c>
      <c r="AP64" s="10">
        <v>847.17900000000009</v>
      </c>
      <c r="AQ64" s="10" t="s">
        <v>61</v>
      </c>
      <c r="AR64" s="10" t="s">
        <v>61</v>
      </c>
      <c r="AS64" s="10">
        <v>81</v>
      </c>
      <c r="AT64" s="2">
        <v>2</v>
      </c>
      <c r="AU64" s="10">
        <v>5</v>
      </c>
      <c r="AV64" s="10">
        <v>1</v>
      </c>
      <c r="AW64" s="10">
        <v>1</v>
      </c>
      <c r="AX64" s="10">
        <v>1</v>
      </c>
      <c r="AY64" s="2">
        <v>1</v>
      </c>
      <c r="AZ64" s="10">
        <v>2020</v>
      </c>
      <c r="BA64" s="2">
        <f t="shared" si="10"/>
        <v>5</v>
      </c>
      <c r="BB64" s="2" t="str">
        <f t="shared" si="11"/>
        <v>1</v>
      </c>
      <c r="BC64" s="3">
        <v>1</v>
      </c>
      <c r="BD64" s="7">
        <f t="shared" si="23"/>
        <v>1.45</v>
      </c>
      <c r="BE64" s="62" t="s">
        <v>827</v>
      </c>
      <c r="BF64" s="62"/>
      <c r="BG64" s="62" t="s">
        <v>857</v>
      </c>
      <c r="BH64" s="10">
        <v>9186</v>
      </c>
      <c r="BI64" s="10"/>
      <c r="BJ64" s="10"/>
      <c r="BK64" s="107">
        <v>46054</v>
      </c>
      <c r="BL64" s="10" t="s">
        <v>950</v>
      </c>
      <c r="BM64" s="10"/>
      <c r="BN64" s="61" t="s">
        <v>998</v>
      </c>
    </row>
    <row r="65" spans="1:66" ht="64" x14ac:dyDescent="0.2">
      <c r="A65" s="10">
        <v>20036967</v>
      </c>
      <c r="B65" s="10">
        <v>1072462801</v>
      </c>
      <c r="C65" s="10">
        <v>25000</v>
      </c>
      <c r="D65" s="10" t="s">
        <v>152</v>
      </c>
      <c r="E65" s="10" t="s">
        <v>292</v>
      </c>
      <c r="F65" s="10" t="s">
        <v>293</v>
      </c>
      <c r="G65" s="10" t="s">
        <v>125</v>
      </c>
      <c r="H65" s="10" t="s">
        <v>148</v>
      </c>
      <c r="I65" s="10" t="s">
        <v>81</v>
      </c>
      <c r="J65" s="10" t="s">
        <v>82</v>
      </c>
      <c r="K65" s="10" t="s">
        <v>48</v>
      </c>
      <c r="L65" s="10" t="s">
        <v>137</v>
      </c>
      <c r="M65" s="10" t="s">
        <v>60</v>
      </c>
      <c r="N65" s="10" t="s">
        <v>61</v>
      </c>
      <c r="O65" s="10" t="s">
        <v>295</v>
      </c>
      <c r="P65" s="10">
        <v>14.4</v>
      </c>
      <c r="Q65" s="10">
        <v>3</v>
      </c>
      <c r="R65" s="10">
        <v>1.2</v>
      </c>
      <c r="S65" s="10">
        <v>1.6</v>
      </c>
      <c r="T65" s="2">
        <f t="shared" si="0"/>
        <v>20.2</v>
      </c>
      <c r="U65" s="10">
        <v>345</v>
      </c>
      <c r="V65" s="10">
        <v>441</v>
      </c>
      <c r="W65" s="2" t="str">
        <f t="shared" si="22"/>
        <v>3</v>
      </c>
      <c r="X65" s="2" t="str">
        <f t="shared" si="15"/>
        <v>1</v>
      </c>
      <c r="Y65" s="2" t="str">
        <f t="shared" si="16"/>
        <v>1</v>
      </c>
      <c r="Z65" s="3" t="str">
        <f t="shared" si="17"/>
        <v>1</v>
      </c>
      <c r="AA65" s="10">
        <v>0</v>
      </c>
      <c r="AB65" s="3">
        <f t="shared" si="12"/>
        <v>1.5</v>
      </c>
      <c r="AC65" s="10">
        <v>55</v>
      </c>
      <c r="AD65" s="10">
        <v>4</v>
      </c>
      <c r="AE65" s="10">
        <v>0.02</v>
      </c>
      <c r="AF65" s="10">
        <v>46.8</v>
      </c>
      <c r="AG65" s="2">
        <f t="shared" si="18"/>
        <v>2340</v>
      </c>
      <c r="AH65" s="2" t="str">
        <f t="shared" si="19"/>
        <v>1</v>
      </c>
      <c r="AI65" s="3" t="str">
        <f t="shared" si="20"/>
        <v>1</v>
      </c>
      <c r="AJ65" s="3">
        <f t="shared" si="21"/>
        <v>1</v>
      </c>
      <c r="AK65" s="2">
        <v>14</v>
      </c>
      <c r="AL65" s="2" t="str">
        <f t="shared" si="9"/>
        <v>1</v>
      </c>
      <c r="AM65" s="10"/>
      <c r="AN65" s="10"/>
      <c r="AO65" s="10"/>
      <c r="AP65" s="10"/>
      <c r="AQ65" s="10"/>
      <c r="AR65" s="10"/>
      <c r="AS65" s="10">
        <v>40</v>
      </c>
      <c r="AT65" s="2" t="str">
        <f t="shared" si="13"/>
        <v>1</v>
      </c>
      <c r="AU65" s="10"/>
      <c r="AV65" s="10"/>
      <c r="AW65" s="10"/>
      <c r="AX65" s="10"/>
      <c r="AY65" s="2">
        <v>1</v>
      </c>
      <c r="AZ65" s="10">
        <v>2023</v>
      </c>
      <c r="BA65" s="2">
        <f t="shared" si="10"/>
        <v>2</v>
      </c>
      <c r="BB65" s="2" t="str">
        <f t="shared" si="11"/>
        <v>1</v>
      </c>
      <c r="BC65" s="3">
        <v>1</v>
      </c>
      <c r="BD65" s="7">
        <f t="shared" si="23"/>
        <v>1.1000000000000001</v>
      </c>
      <c r="BE65" s="62" t="s">
        <v>828</v>
      </c>
      <c r="BF65" s="62"/>
      <c r="BG65" s="62"/>
      <c r="BH65" s="10">
        <v>19443</v>
      </c>
      <c r="BI65" s="10"/>
      <c r="BJ65" s="10"/>
      <c r="BK65" s="107">
        <v>46054</v>
      </c>
      <c r="BL65" s="10" t="s">
        <v>950</v>
      </c>
      <c r="BM65" s="10"/>
    </row>
    <row r="66" spans="1:66" ht="80" x14ac:dyDescent="0.2">
      <c r="A66" s="10">
        <v>20026983</v>
      </c>
      <c r="B66" s="10">
        <v>1057609397</v>
      </c>
      <c r="C66" s="10">
        <v>2000</v>
      </c>
      <c r="D66" s="10" t="s">
        <v>73</v>
      </c>
      <c r="E66" s="10" t="s">
        <v>298</v>
      </c>
      <c r="F66" s="10" t="s">
        <v>299</v>
      </c>
      <c r="G66" s="10" t="s">
        <v>58</v>
      </c>
      <c r="H66" s="10" t="s">
        <v>59</v>
      </c>
      <c r="I66" s="10" t="s">
        <v>65</v>
      </c>
      <c r="J66" s="10" t="s">
        <v>61</v>
      </c>
      <c r="K66" s="10" t="s">
        <v>66</v>
      </c>
      <c r="L66" s="10" t="s">
        <v>76</v>
      </c>
      <c r="M66" s="10" t="s">
        <v>60</v>
      </c>
      <c r="N66" s="10" t="s">
        <v>61</v>
      </c>
      <c r="O66" s="10" t="s">
        <v>77</v>
      </c>
      <c r="P66" s="10">
        <v>81</v>
      </c>
      <c r="Q66" s="10">
        <v>20</v>
      </c>
      <c r="R66" s="10">
        <v>4.5</v>
      </c>
      <c r="S66" s="10">
        <v>3.4</v>
      </c>
      <c r="T66" s="2">
        <f t="shared" ref="T66:T129" si="24">SUM(P66:S66)</f>
        <v>108.9</v>
      </c>
      <c r="U66" s="10">
        <v>1171</v>
      </c>
      <c r="V66" s="10">
        <v>4107</v>
      </c>
      <c r="W66" s="2" t="str">
        <f t="shared" ref="W66:W89" si="25">IF(U66&gt;=750,"5",IF(U66&gt;=550,"4",IF(U66&gt;=300,"3",IF(U66&gt;=100,"2","1"))))</f>
        <v>5</v>
      </c>
      <c r="X66" s="2" t="str">
        <f t="shared" ref="X66:X89" si="26">IF(V66&gt;=7001,"5",IF(V66&gt;=5000,"4",IF(V66&gt;=3000,"3",IF(V66&gt;=1500,"2","1"))))</f>
        <v>3</v>
      </c>
      <c r="Y66" s="2" t="str">
        <f t="shared" ref="Y66:Y89" si="27">IF(T66&gt;=401,"5",IF(T66&gt;=301,"4",IF(T66&gt;=201,"3",IF(T66&gt;=95,"2","1"))))</f>
        <v>2</v>
      </c>
      <c r="Z66" s="3" t="str">
        <f t="shared" ref="Z66:Z89" si="28">IF(AA66&gt;=7,"5",IF(AA66&gt;=6,"4",IF(AA66&gt;=5,"3",IF(AA66&gt;=2,"2","1"))))</f>
        <v>1</v>
      </c>
      <c r="AA66" s="10">
        <v>0</v>
      </c>
      <c r="AB66" s="3">
        <f t="shared" si="12"/>
        <v>2.75</v>
      </c>
      <c r="AC66" s="10">
        <v>39</v>
      </c>
      <c r="AD66" s="10">
        <v>12</v>
      </c>
      <c r="AE66" s="10">
        <v>0.02</v>
      </c>
      <c r="AF66" s="10">
        <v>43.1</v>
      </c>
      <c r="AG66" s="2">
        <f t="shared" ref="AG66:AG78" si="29">AF66/AE66</f>
        <v>2155</v>
      </c>
      <c r="AH66" s="2" t="str">
        <f t="shared" ref="AH66:AH89" si="30">IF(AC66&lt;=16,"5",IF(AC66&lt;=20,"4",IF(AC66&lt;=25,"3",IF(AC66&lt;=33,"2","1"))))</f>
        <v>1</v>
      </c>
      <c r="AI66" s="3" t="str">
        <f t="shared" ref="AI66:AI89" si="31">IF(AG66&lt;=713,"5",IF(AG66&lt;=999,"4",IF(AG66&lt;=1130,"3",IF(AG66&lt;=1499,"2","1"))))</f>
        <v>1</v>
      </c>
      <c r="AJ66" s="3">
        <f t="shared" ref="AJ66:AJ89" si="32">AH66*0.8+AI66*0.2</f>
        <v>1</v>
      </c>
      <c r="AK66" s="2">
        <v>14</v>
      </c>
      <c r="AL66" s="2" t="str">
        <f t="shared" ref="AL66:AL129" si="33">IF(AK66&gt;=5500,"5",IF(AK66&gt;=4800,"4",IF(AK66&gt;=3600,"3",IF(AK66&gt;=2400,"2","1"))))</f>
        <v>1</v>
      </c>
      <c r="AM66" s="10">
        <v>33.47</v>
      </c>
      <c r="AN66" s="10">
        <v>27.110700000000001</v>
      </c>
      <c r="AO66" s="10">
        <v>88.67</v>
      </c>
      <c r="AP66" s="10">
        <v>71.822700000000012</v>
      </c>
      <c r="AQ66" s="10" t="s">
        <v>61</v>
      </c>
      <c r="AR66" s="10" t="s">
        <v>61</v>
      </c>
      <c r="AS66" s="10">
        <v>81</v>
      </c>
      <c r="AT66" s="2" t="str">
        <f t="shared" ref="AT66:AT128" si="34">IF(AS66&lt;60,"1",IF(AS66&lt;=65,"2",IF(AS66&lt;=75,"3",IF(AS66&lt;=95,"4","5"))))</f>
        <v>4</v>
      </c>
      <c r="AU66" s="10">
        <v>1</v>
      </c>
      <c r="AV66" s="10">
        <v>1</v>
      </c>
      <c r="AW66" s="10">
        <v>1</v>
      </c>
      <c r="AX66" s="10" t="s">
        <v>61</v>
      </c>
      <c r="AY66" s="2">
        <v>1</v>
      </c>
      <c r="AZ66" s="10">
        <v>2020</v>
      </c>
      <c r="BA66" s="2">
        <f t="shared" ref="BA66:BA129" si="35">2025-AZ66</f>
        <v>5</v>
      </c>
      <c r="BB66" s="2" t="str">
        <f t="shared" ref="BB66:BB129" si="36">IF(BA66&gt;=30,"5",IF(BA66&gt;=26,"4",IF(BA66&gt;=19,"3",IF(BA66&gt;=7,"2","1"))))</f>
        <v>1</v>
      </c>
      <c r="BC66" s="3">
        <v>1</v>
      </c>
      <c r="BD66" s="7">
        <f t="shared" si="23"/>
        <v>1.65</v>
      </c>
      <c r="BE66" s="62" t="s">
        <v>827</v>
      </c>
      <c r="BF66" s="62"/>
      <c r="BG66" s="62"/>
      <c r="BH66" s="10">
        <v>2101</v>
      </c>
      <c r="BI66" s="10"/>
      <c r="BJ66" s="10"/>
      <c r="BK66" s="107">
        <v>46194</v>
      </c>
      <c r="BL66" s="10" t="s">
        <v>950</v>
      </c>
      <c r="BM66" s="10"/>
    </row>
    <row r="67" spans="1:66" ht="80" x14ac:dyDescent="0.2">
      <c r="A67" s="10">
        <v>20026968</v>
      </c>
      <c r="B67" s="10">
        <v>55410119</v>
      </c>
      <c r="C67" s="10">
        <v>6500</v>
      </c>
      <c r="D67" s="10" t="s">
        <v>73</v>
      </c>
      <c r="E67" s="10" t="s">
        <v>300</v>
      </c>
      <c r="F67" s="10" t="s">
        <v>301</v>
      </c>
      <c r="G67" s="10" t="s">
        <v>58</v>
      </c>
      <c r="H67" s="10" t="s">
        <v>64</v>
      </c>
      <c r="I67" s="10" t="s">
        <v>81</v>
      </c>
      <c r="J67" s="10" t="s">
        <v>82</v>
      </c>
      <c r="K67" s="10" t="s">
        <v>66</v>
      </c>
      <c r="L67" s="10" t="s">
        <v>76</v>
      </c>
      <c r="M67" s="10" t="s">
        <v>60</v>
      </c>
      <c r="N67" s="10" t="s">
        <v>61</v>
      </c>
      <c r="O67" s="10" t="s">
        <v>83</v>
      </c>
      <c r="P67" s="10">
        <v>3.4</v>
      </c>
      <c r="Q67" s="10">
        <v>83</v>
      </c>
      <c r="R67" s="10">
        <v>3.6</v>
      </c>
      <c r="S67" s="10">
        <v>18</v>
      </c>
      <c r="T67" s="2">
        <f t="shared" si="24"/>
        <v>108</v>
      </c>
      <c r="U67" s="10">
        <v>581</v>
      </c>
      <c r="V67" s="10">
        <v>6206</v>
      </c>
      <c r="W67" s="2" t="str">
        <f t="shared" si="25"/>
        <v>4</v>
      </c>
      <c r="X67" s="2" t="str">
        <f t="shared" si="26"/>
        <v>4</v>
      </c>
      <c r="Y67" s="2" t="str">
        <f t="shared" si="27"/>
        <v>2</v>
      </c>
      <c r="Z67" s="3" t="str">
        <f t="shared" si="28"/>
        <v>1</v>
      </c>
      <c r="AA67" s="10">
        <v>0</v>
      </c>
      <c r="AB67" s="3">
        <f t="shared" ref="AB67:AB130" si="37">(W67+X67+Y67+Z67)/4</f>
        <v>2.75</v>
      </c>
      <c r="AC67" s="10">
        <v>53</v>
      </c>
      <c r="AD67" s="10">
        <v>9</v>
      </c>
      <c r="AE67" s="10">
        <v>0.02</v>
      </c>
      <c r="AF67" s="10">
        <v>41.6</v>
      </c>
      <c r="AG67" s="2">
        <f t="shared" si="29"/>
        <v>2080</v>
      </c>
      <c r="AH67" s="2" t="str">
        <f t="shared" si="30"/>
        <v>1</v>
      </c>
      <c r="AI67" s="3" t="str">
        <f t="shared" si="31"/>
        <v>1</v>
      </c>
      <c r="AJ67" s="3">
        <f t="shared" si="32"/>
        <v>1</v>
      </c>
      <c r="AK67" s="2">
        <v>14</v>
      </c>
      <c r="AL67" s="2" t="str">
        <f t="shared" si="33"/>
        <v>1</v>
      </c>
      <c r="AM67" s="10">
        <v>86.67</v>
      </c>
      <c r="AN67" s="10">
        <v>58.068900000000006</v>
      </c>
      <c r="AO67" s="10">
        <v>209.19</v>
      </c>
      <c r="AP67" s="10">
        <v>140.15730000000002</v>
      </c>
      <c r="AQ67" s="10" t="s">
        <v>61</v>
      </c>
      <c r="AR67" s="10" t="s">
        <v>61</v>
      </c>
      <c r="AS67" s="10">
        <v>67</v>
      </c>
      <c r="AT67" s="2" t="str">
        <f t="shared" si="34"/>
        <v>3</v>
      </c>
      <c r="AU67" s="10">
        <v>1</v>
      </c>
      <c r="AV67" s="10">
        <v>1</v>
      </c>
      <c r="AW67" s="10">
        <v>1</v>
      </c>
      <c r="AX67" s="10" t="s">
        <v>61</v>
      </c>
      <c r="AY67" s="2">
        <v>1</v>
      </c>
      <c r="AZ67" s="10">
        <v>2020</v>
      </c>
      <c r="BA67" s="2">
        <f t="shared" si="35"/>
        <v>5</v>
      </c>
      <c r="BB67" s="2" t="str">
        <f t="shared" si="36"/>
        <v>1</v>
      </c>
      <c r="BC67" s="3">
        <v>1</v>
      </c>
      <c r="BD67" s="7">
        <f t="shared" si="23"/>
        <v>1.55</v>
      </c>
      <c r="BE67" s="62" t="s">
        <v>827</v>
      </c>
      <c r="BF67" s="62"/>
      <c r="BG67" s="62"/>
      <c r="BH67" s="10">
        <v>6114</v>
      </c>
      <c r="BI67" s="10"/>
      <c r="BJ67" s="10"/>
      <c r="BK67" s="10" t="s">
        <v>966</v>
      </c>
      <c r="BL67" s="10" t="s">
        <v>949</v>
      </c>
      <c r="BM67" s="10"/>
      <c r="BN67" s="61" t="s">
        <v>61</v>
      </c>
    </row>
    <row r="68" spans="1:66" ht="32" x14ac:dyDescent="0.2">
      <c r="A68" s="10">
        <v>20700124</v>
      </c>
      <c r="B68" s="10">
        <v>148223</v>
      </c>
      <c r="C68" s="10">
        <v>500</v>
      </c>
      <c r="D68" s="10" t="s">
        <v>73</v>
      </c>
      <c r="E68" s="10" t="s">
        <v>304</v>
      </c>
      <c r="F68" s="10" t="s">
        <v>305</v>
      </c>
      <c r="G68" s="10" t="s">
        <v>58</v>
      </c>
      <c r="H68" s="10" t="s">
        <v>59</v>
      </c>
      <c r="I68" s="10" t="s">
        <v>65</v>
      </c>
      <c r="J68" s="10" t="s">
        <v>61</v>
      </c>
      <c r="K68" s="10" t="s">
        <v>66</v>
      </c>
      <c r="L68" s="10" t="s">
        <v>76</v>
      </c>
      <c r="M68" s="10" t="s">
        <v>60</v>
      </c>
      <c r="N68" s="10" t="s">
        <v>61</v>
      </c>
      <c r="O68" s="10" t="s">
        <v>77</v>
      </c>
      <c r="P68" s="10">
        <v>26424</v>
      </c>
      <c r="Q68" s="10">
        <v>12012</v>
      </c>
      <c r="R68" s="10">
        <v>5.4</v>
      </c>
      <c r="S68" s="10">
        <v>4743</v>
      </c>
      <c r="T68" s="2">
        <f t="shared" si="24"/>
        <v>43184.4</v>
      </c>
      <c r="U68" s="10">
        <v>186</v>
      </c>
      <c r="V68" s="10">
        <v>1742</v>
      </c>
      <c r="W68" s="2" t="str">
        <f t="shared" si="25"/>
        <v>2</v>
      </c>
      <c r="X68" s="2" t="str">
        <f t="shared" si="26"/>
        <v>2</v>
      </c>
      <c r="Y68" s="2" t="str">
        <f t="shared" si="27"/>
        <v>5</v>
      </c>
      <c r="Z68" s="3" t="str">
        <f t="shared" si="28"/>
        <v>2</v>
      </c>
      <c r="AA68" s="10">
        <v>3.2</v>
      </c>
      <c r="AB68" s="3">
        <f t="shared" si="37"/>
        <v>2.75</v>
      </c>
      <c r="AC68" s="10">
        <v>29</v>
      </c>
      <c r="AD68" s="10">
        <v>22</v>
      </c>
      <c r="AE68" s="10">
        <v>0.02</v>
      </c>
      <c r="AF68" s="10">
        <v>29.8</v>
      </c>
      <c r="AG68" s="2">
        <f t="shared" si="29"/>
        <v>1490</v>
      </c>
      <c r="AH68" s="2" t="str">
        <f t="shared" si="30"/>
        <v>2</v>
      </c>
      <c r="AI68" s="3" t="str">
        <f t="shared" si="31"/>
        <v>2</v>
      </c>
      <c r="AJ68" s="3">
        <f t="shared" si="32"/>
        <v>2</v>
      </c>
      <c r="AK68" s="2">
        <v>14</v>
      </c>
      <c r="AL68" s="2" t="str">
        <f t="shared" si="33"/>
        <v>1</v>
      </c>
      <c r="AM68" s="10">
        <v>14.5</v>
      </c>
      <c r="AN68" s="10">
        <v>9.57</v>
      </c>
      <c r="AO68" s="10">
        <v>62.8</v>
      </c>
      <c r="AP68" s="10">
        <v>41.448</v>
      </c>
      <c r="AQ68" s="10" t="s">
        <v>61</v>
      </c>
      <c r="AR68" s="10" t="s">
        <v>61</v>
      </c>
      <c r="AS68" s="10">
        <v>66</v>
      </c>
      <c r="AT68" s="2" t="str">
        <f t="shared" si="34"/>
        <v>3</v>
      </c>
      <c r="AU68" s="10">
        <v>5</v>
      </c>
      <c r="AV68" s="10">
        <v>1</v>
      </c>
      <c r="AW68" s="10">
        <v>5</v>
      </c>
      <c r="AX68" s="10" t="s">
        <v>61</v>
      </c>
      <c r="AY68" s="2">
        <v>1</v>
      </c>
      <c r="AZ68" s="10">
        <v>2006</v>
      </c>
      <c r="BA68" s="2">
        <f t="shared" si="35"/>
        <v>19</v>
      </c>
      <c r="BB68" s="2" t="str">
        <f t="shared" si="36"/>
        <v>3</v>
      </c>
      <c r="BC68" s="3">
        <v>1</v>
      </c>
      <c r="BD68" s="7">
        <v>4</v>
      </c>
      <c r="BE68" s="117" t="s">
        <v>976</v>
      </c>
      <c r="BF68" s="62"/>
      <c r="BG68" s="62" t="s">
        <v>819</v>
      </c>
      <c r="BH68" s="10">
        <v>32</v>
      </c>
      <c r="BI68" s="10"/>
      <c r="BJ68" s="10" t="s">
        <v>921</v>
      </c>
      <c r="BK68" s="10"/>
      <c r="BL68" s="10"/>
      <c r="BM68" s="10"/>
    </row>
    <row r="69" spans="1:66" ht="32" x14ac:dyDescent="0.2">
      <c r="A69" s="10">
        <v>20700124</v>
      </c>
      <c r="B69" s="10">
        <v>148224</v>
      </c>
      <c r="C69" s="10">
        <v>500</v>
      </c>
      <c r="D69" s="10" t="s">
        <v>73</v>
      </c>
      <c r="E69" s="10" t="s">
        <v>304</v>
      </c>
      <c r="F69" s="10" t="s">
        <v>308</v>
      </c>
      <c r="G69" s="10" t="s">
        <v>58</v>
      </c>
      <c r="H69" s="10" t="s">
        <v>59</v>
      </c>
      <c r="I69" s="10" t="s">
        <v>65</v>
      </c>
      <c r="J69" s="10" t="s">
        <v>61</v>
      </c>
      <c r="K69" s="10" t="s">
        <v>66</v>
      </c>
      <c r="L69" s="10" t="s">
        <v>76</v>
      </c>
      <c r="M69" s="10" t="s">
        <v>60</v>
      </c>
      <c r="N69" s="10" t="s">
        <v>61</v>
      </c>
      <c r="O69" s="10" t="s">
        <v>77</v>
      </c>
      <c r="P69" s="10">
        <v>2395</v>
      </c>
      <c r="Q69" s="10">
        <v>326</v>
      </c>
      <c r="R69" s="10">
        <v>2.6</v>
      </c>
      <c r="S69" s="10">
        <v>133</v>
      </c>
      <c r="T69" s="2">
        <f t="shared" si="24"/>
        <v>2856.6</v>
      </c>
      <c r="U69" s="10">
        <v>1203</v>
      </c>
      <c r="V69" s="10">
        <v>1363</v>
      </c>
      <c r="W69" s="2" t="str">
        <f t="shared" si="25"/>
        <v>5</v>
      </c>
      <c r="X69" s="2" t="str">
        <f t="shared" si="26"/>
        <v>1</v>
      </c>
      <c r="Y69" s="2" t="str">
        <f t="shared" si="27"/>
        <v>5</v>
      </c>
      <c r="Z69" s="3" t="str">
        <f t="shared" si="28"/>
        <v>1</v>
      </c>
      <c r="AA69" s="10">
        <v>1.2</v>
      </c>
      <c r="AB69" s="3">
        <f t="shared" si="37"/>
        <v>3</v>
      </c>
      <c r="AC69" s="10">
        <v>11.3</v>
      </c>
      <c r="AD69" s="10">
        <v>38</v>
      </c>
      <c r="AE69" s="10">
        <v>0.04</v>
      </c>
      <c r="AF69" s="10">
        <v>24.2</v>
      </c>
      <c r="AG69" s="2">
        <f t="shared" si="29"/>
        <v>605</v>
      </c>
      <c r="AH69" s="2" t="str">
        <f t="shared" si="30"/>
        <v>5</v>
      </c>
      <c r="AI69" s="3" t="str">
        <f t="shared" si="31"/>
        <v>5</v>
      </c>
      <c r="AJ69" s="3">
        <f t="shared" si="32"/>
        <v>5</v>
      </c>
      <c r="AK69" s="2">
        <v>32</v>
      </c>
      <c r="AL69" s="2" t="str">
        <f t="shared" si="33"/>
        <v>1</v>
      </c>
      <c r="AM69" s="10">
        <v>14.5</v>
      </c>
      <c r="AN69" s="10">
        <v>9.57</v>
      </c>
      <c r="AO69" s="10">
        <v>62.8</v>
      </c>
      <c r="AP69" s="10">
        <v>41.448</v>
      </c>
      <c r="AQ69" s="10" t="s">
        <v>61</v>
      </c>
      <c r="AR69" s="10" t="s">
        <v>61</v>
      </c>
      <c r="AS69" s="10">
        <v>66</v>
      </c>
      <c r="AT69" s="2" t="str">
        <f t="shared" si="34"/>
        <v>3</v>
      </c>
      <c r="AU69" s="10">
        <v>5</v>
      </c>
      <c r="AV69" s="10">
        <v>1</v>
      </c>
      <c r="AW69" s="10">
        <v>5</v>
      </c>
      <c r="AX69" s="10" t="s">
        <v>61</v>
      </c>
      <c r="AY69" s="2">
        <v>1</v>
      </c>
      <c r="AZ69" s="10">
        <v>2006</v>
      </c>
      <c r="BA69" s="2">
        <f t="shared" si="35"/>
        <v>19</v>
      </c>
      <c r="BB69" s="2" t="str">
        <f t="shared" si="36"/>
        <v>3</v>
      </c>
      <c r="BC69" s="3">
        <v>1</v>
      </c>
      <c r="BD69" s="7">
        <v>4</v>
      </c>
      <c r="BE69" s="117" t="s">
        <v>976</v>
      </c>
      <c r="BF69" s="62"/>
      <c r="BG69" s="62" t="s">
        <v>819</v>
      </c>
      <c r="BH69" s="10">
        <v>32</v>
      </c>
      <c r="BI69" s="10"/>
      <c r="BJ69" s="10" t="s">
        <v>921</v>
      </c>
      <c r="BK69" s="10"/>
      <c r="BL69" s="10"/>
      <c r="BM69" s="10"/>
    </row>
    <row r="70" spans="1:66" ht="64" x14ac:dyDescent="0.2">
      <c r="A70" s="10">
        <v>20026980</v>
      </c>
      <c r="B70" s="10">
        <v>201103</v>
      </c>
      <c r="C70" s="10">
        <v>50000</v>
      </c>
      <c r="D70" s="10" t="s">
        <v>134</v>
      </c>
      <c r="E70" s="10" t="s">
        <v>309</v>
      </c>
      <c r="F70" s="10" t="s">
        <v>310</v>
      </c>
      <c r="G70" s="10" t="s">
        <v>58</v>
      </c>
      <c r="H70" s="10" t="s">
        <v>59</v>
      </c>
      <c r="I70" s="10" t="s">
        <v>81</v>
      </c>
      <c r="J70" s="10" t="s">
        <v>82</v>
      </c>
      <c r="K70" s="10" t="s">
        <v>48</v>
      </c>
      <c r="L70" s="10">
        <v>110</v>
      </c>
      <c r="M70" s="10" t="s">
        <v>137</v>
      </c>
      <c r="N70" s="10" t="s">
        <v>60</v>
      </c>
      <c r="O70" s="10" t="s">
        <v>311</v>
      </c>
      <c r="P70" s="10">
        <v>4</v>
      </c>
      <c r="Q70" s="10">
        <v>27</v>
      </c>
      <c r="R70" s="10">
        <v>16</v>
      </c>
      <c r="S70" s="10">
        <v>5.0999999999999996</v>
      </c>
      <c r="T70" s="2">
        <f t="shared" si="24"/>
        <v>52.1</v>
      </c>
      <c r="U70" s="10">
        <v>816</v>
      </c>
      <c r="V70" s="10">
        <v>3208</v>
      </c>
      <c r="W70" s="2" t="str">
        <f t="shared" si="25"/>
        <v>5</v>
      </c>
      <c r="X70" s="2" t="str">
        <f t="shared" si="26"/>
        <v>3</v>
      </c>
      <c r="Y70" s="2" t="str">
        <f t="shared" si="27"/>
        <v>1</v>
      </c>
      <c r="Z70" s="3" t="str">
        <f t="shared" si="28"/>
        <v>1</v>
      </c>
      <c r="AA70" s="10">
        <v>0</v>
      </c>
      <c r="AB70" s="3">
        <f t="shared" si="37"/>
        <v>2.5</v>
      </c>
      <c r="AC70" s="10">
        <v>63</v>
      </c>
      <c r="AD70" s="10">
        <v>6</v>
      </c>
      <c r="AE70" s="10">
        <v>0.02</v>
      </c>
      <c r="AF70" s="10">
        <v>40.9</v>
      </c>
      <c r="AG70" s="2">
        <f t="shared" si="29"/>
        <v>2045</v>
      </c>
      <c r="AH70" s="2" t="str">
        <f t="shared" si="30"/>
        <v>1</v>
      </c>
      <c r="AI70" s="3" t="str">
        <f t="shared" si="31"/>
        <v>1</v>
      </c>
      <c r="AJ70" s="3">
        <f t="shared" si="32"/>
        <v>1</v>
      </c>
      <c r="AK70" s="2">
        <v>14</v>
      </c>
      <c r="AL70" s="2" t="str">
        <f t="shared" si="33"/>
        <v>1</v>
      </c>
      <c r="AM70" s="10">
        <v>262.39999999999998</v>
      </c>
      <c r="AN70" s="10">
        <v>83.967999999999989</v>
      </c>
      <c r="AO70" s="10">
        <v>502</v>
      </c>
      <c r="AP70" s="10">
        <v>190.76</v>
      </c>
      <c r="AQ70" s="10">
        <v>836.7</v>
      </c>
      <c r="AR70" s="10">
        <v>175.70699999999999</v>
      </c>
      <c r="AS70" s="10">
        <v>38</v>
      </c>
      <c r="AT70" s="2" t="str">
        <f t="shared" si="34"/>
        <v>1</v>
      </c>
      <c r="AU70" s="10">
        <v>1</v>
      </c>
      <c r="AV70" s="10">
        <v>1</v>
      </c>
      <c r="AW70" s="10">
        <v>1</v>
      </c>
      <c r="AX70" s="10">
        <v>1</v>
      </c>
      <c r="AY70" s="2">
        <v>1</v>
      </c>
      <c r="AZ70" s="10">
        <v>2012</v>
      </c>
      <c r="BA70" s="2">
        <f t="shared" si="35"/>
        <v>13</v>
      </c>
      <c r="BB70" s="2" t="str">
        <f t="shared" si="36"/>
        <v>2</v>
      </c>
      <c r="BC70" s="3">
        <v>1</v>
      </c>
      <c r="BD70" s="7">
        <f>(AB70*0.2)+(AJ70*0.23)+(AL70*0.05)+(AT70*0.1)+(AY70*0.18)+(BB70*0.05)+(BC70*0.19)</f>
        <v>1.35</v>
      </c>
      <c r="BE70" s="62" t="s">
        <v>854</v>
      </c>
      <c r="BF70" s="62"/>
      <c r="BG70" s="8" t="s">
        <v>867</v>
      </c>
      <c r="BH70" s="10">
        <v>3681</v>
      </c>
      <c r="BI70" s="10"/>
      <c r="BJ70" s="10"/>
      <c r="BK70" s="107">
        <v>46264</v>
      </c>
      <c r="BL70" s="10" t="s">
        <v>945</v>
      </c>
      <c r="BM70" s="10"/>
    </row>
    <row r="71" spans="1:66" ht="32" x14ac:dyDescent="0.2">
      <c r="A71" s="10">
        <v>20027765</v>
      </c>
      <c r="B71" s="10">
        <v>1097131006</v>
      </c>
      <c r="C71" s="10">
        <v>2500</v>
      </c>
      <c r="D71" s="10" t="s">
        <v>73</v>
      </c>
      <c r="E71" s="10" t="s">
        <v>313</v>
      </c>
      <c r="F71" s="101" t="s">
        <v>314</v>
      </c>
      <c r="G71" s="10" t="s">
        <v>125</v>
      </c>
      <c r="H71" s="10" t="s">
        <v>126</v>
      </c>
      <c r="I71" s="10" t="s">
        <v>65</v>
      </c>
      <c r="J71" s="10" t="s">
        <v>61</v>
      </c>
      <c r="K71" s="10" t="s">
        <v>66</v>
      </c>
      <c r="L71" s="10" t="s">
        <v>76</v>
      </c>
      <c r="M71" s="10" t="s">
        <v>60</v>
      </c>
      <c r="N71" s="10" t="s">
        <v>61</v>
      </c>
      <c r="O71" s="10" t="s">
        <v>77</v>
      </c>
      <c r="P71" s="10">
        <v>5.3</v>
      </c>
      <c r="Q71" s="10">
        <v>7.5</v>
      </c>
      <c r="R71" s="10">
        <v>18.100000000000001</v>
      </c>
      <c r="S71" s="10">
        <v>3.8</v>
      </c>
      <c r="T71" s="2">
        <f t="shared" si="24"/>
        <v>34.700000000000003</v>
      </c>
      <c r="U71" s="10">
        <v>571</v>
      </c>
      <c r="V71" s="10">
        <v>7983</v>
      </c>
      <c r="W71" s="2" t="str">
        <f t="shared" si="25"/>
        <v>4</v>
      </c>
      <c r="X71" s="2" t="str">
        <f t="shared" si="26"/>
        <v>5</v>
      </c>
      <c r="Y71" s="2" t="str">
        <f t="shared" si="27"/>
        <v>1</v>
      </c>
      <c r="Z71" s="3" t="str">
        <f t="shared" si="28"/>
        <v>1</v>
      </c>
      <c r="AA71" s="10">
        <v>0.1</v>
      </c>
      <c r="AB71" s="3">
        <f t="shared" si="37"/>
        <v>2.75</v>
      </c>
      <c r="AC71" s="10">
        <v>56</v>
      </c>
      <c r="AD71" s="10">
        <v>10</v>
      </c>
      <c r="AE71" s="10">
        <v>0.02</v>
      </c>
      <c r="AF71" s="10">
        <v>40.6</v>
      </c>
      <c r="AG71" s="2">
        <f t="shared" si="29"/>
        <v>2030</v>
      </c>
      <c r="AH71" s="2" t="str">
        <f t="shared" si="30"/>
        <v>1</v>
      </c>
      <c r="AI71" s="3" t="str">
        <f t="shared" si="31"/>
        <v>1</v>
      </c>
      <c r="AJ71" s="3">
        <f t="shared" si="32"/>
        <v>1</v>
      </c>
      <c r="AK71" s="2">
        <v>42</v>
      </c>
      <c r="AL71" s="2" t="str">
        <f t="shared" si="33"/>
        <v>1</v>
      </c>
      <c r="AM71" s="10">
        <v>41.84</v>
      </c>
      <c r="AN71" s="10">
        <v>35.982400000000005</v>
      </c>
      <c r="AO71" s="10">
        <v>104.59</v>
      </c>
      <c r="AP71" s="10">
        <v>89.947400000000002</v>
      </c>
      <c r="AQ71" s="10" t="s">
        <v>61</v>
      </c>
      <c r="AR71" s="10" t="s">
        <v>61</v>
      </c>
      <c r="AS71" s="10">
        <v>96</v>
      </c>
      <c r="AT71" s="2" t="str">
        <f t="shared" si="34"/>
        <v>5</v>
      </c>
      <c r="AU71" s="10">
        <v>1</v>
      </c>
      <c r="AV71" s="10">
        <v>1</v>
      </c>
      <c r="AW71" s="10">
        <v>1</v>
      </c>
      <c r="AX71" s="10" t="s">
        <v>61</v>
      </c>
      <c r="AY71" s="2">
        <v>2</v>
      </c>
      <c r="AZ71" s="10">
        <v>1998</v>
      </c>
      <c r="BA71" s="2">
        <f t="shared" si="35"/>
        <v>27</v>
      </c>
      <c r="BB71" s="2" t="str">
        <f t="shared" si="36"/>
        <v>4</v>
      </c>
      <c r="BC71" s="3">
        <v>1</v>
      </c>
      <c r="BD71" s="7">
        <v>4</v>
      </c>
      <c r="BE71" s="62" t="s">
        <v>977</v>
      </c>
      <c r="BF71" s="62" t="s">
        <v>898</v>
      </c>
      <c r="BG71" s="8" t="s">
        <v>865</v>
      </c>
      <c r="BH71" s="10">
        <v>3744</v>
      </c>
      <c r="BI71" s="10" t="s">
        <v>967</v>
      </c>
      <c r="BJ71" s="10" t="s">
        <v>920</v>
      </c>
      <c r="BK71" s="112">
        <v>46198</v>
      </c>
      <c r="BL71" s="113" t="s">
        <v>936</v>
      </c>
      <c r="BM71" s="10"/>
      <c r="BN71" s="61" t="s">
        <v>61</v>
      </c>
    </row>
    <row r="72" spans="1:66" ht="80" x14ac:dyDescent="0.2">
      <c r="A72" s="10">
        <v>20700080</v>
      </c>
      <c r="B72" s="10" t="s">
        <v>687</v>
      </c>
      <c r="C72" s="10">
        <v>1000</v>
      </c>
      <c r="D72" s="10" t="s">
        <v>73</v>
      </c>
      <c r="E72" s="10" t="s">
        <v>317</v>
      </c>
      <c r="F72" s="10" t="s">
        <v>318</v>
      </c>
      <c r="G72" s="10" t="s">
        <v>58</v>
      </c>
      <c r="H72" s="10" t="s">
        <v>59</v>
      </c>
      <c r="I72" s="10" t="s">
        <v>65</v>
      </c>
      <c r="J72" s="10" t="s">
        <v>61</v>
      </c>
      <c r="K72" s="10" t="s">
        <v>66</v>
      </c>
      <c r="L72" s="10" t="s">
        <v>76</v>
      </c>
      <c r="M72" s="10" t="s">
        <v>60</v>
      </c>
      <c r="N72" s="10" t="s">
        <v>61</v>
      </c>
      <c r="O72" s="10" t="s">
        <v>77</v>
      </c>
      <c r="P72" s="10">
        <v>11269</v>
      </c>
      <c r="Q72" s="10">
        <v>1060</v>
      </c>
      <c r="R72" s="10">
        <v>3.4</v>
      </c>
      <c r="S72" s="10">
        <v>151</v>
      </c>
      <c r="T72" s="2">
        <f t="shared" si="24"/>
        <v>12483.4</v>
      </c>
      <c r="U72" s="10">
        <v>255</v>
      </c>
      <c r="V72" s="10">
        <v>1031</v>
      </c>
      <c r="W72" s="2" t="str">
        <f t="shared" si="25"/>
        <v>2</v>
      </c>
      <c r="X72" s="2" t="str">
        <f t="shared" si="26"/>
        <v>1</v>
      </c>
      <c r="Y72" s="2" t="str">
        <f t="shared" si="27"/>
        <v>5</v>
      </c>
      <c r="Z72" s="3" t="str">
        <f t="shared" si="28"/>
        <v>2</v>
      </c>
      <c r="AA72" s="10">
        <v>3.1</v>
      </c>
      <c r="AB72" s="3">
        <f t="shared" si="37"/>
        <v>2.5</v>
      </c>
      <c r="AC72" s="10">
        <v>14</v>
      </c>
      <c r="AD72" s="10">
        <v>31</v>
      </c>
      <c r="AE72" s="10">
        <v>0.02</v>
      </c>
      <c r="AF72" s="10">
        <v>39.700000000000003</v>
      </c>
      <c r="AG72" s="2">
        <f t="shared" si="29"/>
        <v>1985</v>
      </c>
      <c r="AH72" s="2" t="str">
        <f t="shared" si="30"/>
        <v>5</v>
      </c>
      <c r="AI72" s="3" t="str">
        <f t="shared" si="31"/>
        <v>1</v>
      </c>
      <c r="AJ72" s="3">
        <f t="shared" si="32"/>
        <v>4.2</v>
      </c>
      <c r="AK72" s="2">
        <v>14</v>
      </c>
      <c r="AL72" s="2" t="str">
        <f t="shared" si="33"/>
        <v>1</v>
      </c>
      <c r="AM72" s="10">
        <v>16.739999999999998</v>
      </c>
      <c r="AN72" s="10"/>
      <c r="AO72" s="10">
        <v>41.84</v>
      </c>
      <c r="AP72" s="10"/>
      <c r="AQ72" s="10" t="s">
        <v>61</v>
      </c>
      <c r="AR72" s="10"/>
      <c r="AS72" s="10">
        <v>50</v>
      </c>
      <c r="AT72" s="2" t="str">
        <f t="shared" si="34"/>
        <v>1</v>
      </c>
      <c r="AU72" s="10">
        <v>1</v>
      </c>
      <c r="AV72" s="10">
        <v>1</v>
      </c>
      <c r="AW72" s="10">
        <v>1</v>
      </c>
      <c r="AX72" s="10" t="s">
        <v>61</v>
      </c>
      <c r="AY72" s="2">
        <v>1</v>
      </c>
      <c r="AZ72" s="10">
        <v>1987</v>
      </c>
      <c r="BA72" s="2">
        <f t="shared" si="35"/>
        <v>38</v>
      </c>
      <c r="BB72" s="2" t="str">
        <f t="shared" si="36"/>
        <v>5</v>
      </c>
      <c r="BC72" s="3">
        <v>1</v>
      </c>
      <c r="BD72" s="7">
        <f t="shared" ref="BD72:BD78" si="38">(AB72*0.2)+(AJ72*0.23)+(AL72*0.05)+(AT72*0.1)+(AY72*0.18)+(BB72*0.05)+(BC72*0.19)</f>
        <v>2.2360000000000002</v>
      </c>
      <c r="BE72" s="62" t="s">
        <v>827</v>
      </c>
      <c r="BF72" s="62"/>
      <c r="BG72" s="62"/>
      <c r="BH72" s="10">
        <v>38</v>
      </c>
      <c r="BI72" s="10"/>
      <c r="BJ72" s="10"/>
      <c r="BK72" s="114">
        <v>46037</v>
      </c>
      <c r="BL72" s="115" t="s">
        <v>957</v>
      </c>
      <c r="BM72" s="10"/>
    </row>
    <row r="73" spans="1:66" ht="64" x14ac:dyDescent="0.2">
      <c r="A73" s="10">
        <v>20700394</v>
      </c>
      <c r="B73" s="10">
        <v>200714</v>
      </c>
      <c r="C73" s="10">
        <v>6500</v>
      </c>
      <c r="D73" s="10" t="s">
        <v>73</v>
      </c>
      <c r="E73" s="10" t="s">
        <v>322</v>
      </c>
      <c r="F73" s="10" t="s">
        <v>323</v>
      </c>
      <c r="G73" s="10" t="s">
        <v>125</v>
      </c>
      <c r="H73" s="10" t="s">
        <v>148</v>
      </c>
      <c r="I73" s="10" t="s">
        <v>81</v>
      </c>
      <c r="J73" s="10" t="s">
        <v>82</v>
      </c>
      <c r="K73" s="10" t="s">
        <v>66</v>
      </c>
      <c r="L73" s="10" t="s">
        <v>76</v>
      </c>
      <c r="M73" s="10" t="s">
        <v>60</v>
      </c>
      <c r="N73" s="10" t="s">
        <v>61</v>
      </c>
      <c r="O73" s="10" t="s">
        <v>83</v>
      </c>
      <c r="P73" s="10">
        <v>2.6</v>
      </c>
      <c r="Q73" s="10">
        <v>39</v>
      </c>
      <c r="R73" s="10">
        <v>19.5</v>
      </c>
      <c r="S73" s="10">
        <v>5.8</v>
      </c>
      <c r="T73" s="2">
        <f t="shared" si="24"/>
        <v>66.900000000000006</v>
      </c>
      <c r="U73" s="10">
        <v>2657</v>
      </c>
      <c r="V73" s="10">
        <v>5452</v>
      </c>
      <c r="W73" s="2" t="str">
        <f t="shared" si="25"/>
        <v>5</v>
      </c>
      <c r="X73" s="2" t="str">
        <f t="shared" si="26"/>
        <v>4</v>
      </c>
      <c r="Y73" s="2" t="str">
        <f t="shared" si="27"/>
        <v>1</v>
      </c>
      <c r="Z73" s="3" t="str">
        <f t="shared" si="28"/>
        <v>1</v>
      </c>
      <c r="AA73" s="10">
        <v>0</v>
      </c>
      <c r="AB73" s="3">
        <f t="shared" si="37"/>
        <v>2.75</v>
      </c>
      <c r="AC73" s="10">
        <v>55</v>
      </c>
      <c r="AD73" s="10">
        <v>5</v>
      </c>
      <c r="AE73" s="10">
        <v>0.02</v>
      </c>
      <c r="AF73" s="10">
        <v>36</v>
      </c>
      <c r="AG73" s="2">
        <f t="shared" si="29"/>
        <v>1800</v>
      </c>
      <c r="AH73" s="2" t="str">
        <f t="shared" si="30"/>
        <v>1</v>
      </c>
      <c r="AI73" s="3" t="str">
        <f t="shared" si="31"/>
        <v>1</v>
      </c>
      <c r="AJ73" s="3">
        <f t="shared" si="32"/>
        <v>1</v>
      </c>
      <c r="AK73" s="2">
        <v>14</v>
      </c>
      <c r="AL73" s="2" t="str">
        <f t="shared" si="33"/>
        <v>1</v>
      </c>
      <c r="AM73" s="10">
        <v>111.6</v>
      </c>
      <c r="AN73" s="10">
        <v>61.38</v>
      </c>
      <c r="AO73" s="10">
        <v>271.89999999999998</v>
      </c>
      <c r="AP73" s="10">
        <v>149.54499999999999</v>
      </c>
      <c r="AQ73" s="10" t="s">
        <v>61</v>
      </c>
      <c r="AR73" s="10" t="s">
        <v>61</v>
      </c>
      <c r="AS73" s="10">
        <v>55</v>
      </c>
      <c r="AT73" s="2" t="str">
        <f t="shared" si="34"/>
        <v>1</v>
      </c>
      <c r="AU73" s="10">
        <v>1</v>
      </c>
      <c r="AV73" s="10">
        <v>1</v>
      </c>
      <c r="AW73" s="10">
        <v>1</v>
      </c>
      <c r="AX73" s="10" t="s">
        <v>61</v>
      </c>
      <c r="AY73" s="2">
        <v>1</v>
      </c>
      <c r="AZ73" s="10">
        <v>2009</v>
      </c>
      <c r="BA73" s="2">
        <f t="shared" si="35"/>
        <v>16</v>
      </c>
      <c r="BB73" s="2" t="str">
        <f t="shared" si="36"/>
        <v>2</v>
      </c>
      <c r="BC73" s="3">
        <v>1</v>
      </c>
      <c r="BD73" s="7">
        <f t="shared" si="38"/>
        <v>1.4000000000000001</v>
      </c>
      <c r="BE73" s="100" t="s">
        <v>828</v>
      </c>
      <c r="BF73" s="62"/>
      <c r="BG73" s="8" t="s">
        <v>856</v>
      </c>
      <c r="BH73" s="10">
        <v>8936</v>
      </c>
      <c r="BI73" s="10"/>
      <c r="BJ73" s="10"/>
      <c r="BK73" s="107">
        <v>46123</v>
      </c>
      <c r="BL73" s="10" t="s">
        <v>949</v>
      </c>
      <c r="BM73" s="10"/>
      <c r="BN73" s="61" t="s">
        <v>997</v>
      </c>
    </row>
    <row r="74" spans="1:66" ht="64" x14ac:dyDescent="0.2">
      <c r="A74" s="10">
        <v>20017166</v>
      </c>
      <c r="B74" s="10">
        <v>430659</v>
      </c>
      <c r="C74" s="10">
        <v>20000</v>
      </c>
      <c r="D74" s="10" t="s">
        <v>152</v>
      </c>
      <c r="E74" s="12" t="s">
        <v>324</v>
      </c>
      <c r="F74" s="10" t="s">
        <v>326</v>
      </c>
      <c r="G74" s="10" t="s">
        <v>70</v>
      </c>
      <c r="H74" s="10" t="s">
        <v>70</v>
      </c>
      <c r="I74" s="10" t="s">
        <v>81</v>
      </c>
      <c r="J74" s="10" t="s">
        <v>82</v>
      </c>
      <c r="K74" s="10" t="s">
        <v>48</v>
      </c>
      <c r="L74" s="10">
        <v>66</v>
      </c>
      <c r="M74" s="10" t="s">
        <v>60</v>
      </c>
      <c r="N74" s="10" t="s">
        <v>61</v>
      </c>
      <c r="O74" s="10" t="s">
        <v>177</v>
      </c>
      <c r="P74" s="10">
        <v>9.8000000000000007</v>
      </c>
      <c r="Q74" s="10">
        <v>23</v>
      </c>
      <c r="R74" s="10">
        <v>100</v>
      </c>
      <c r="S74" s="10">
        <v>32</v>
      </c>
      <c r="T74" s="2">
        <f t="shared" si="24"/>
        <v>164.8</v>
      </c>
      <c r="U74" s="10">
        <v>294</v>
      </c>
      <c r="V74" s="10">
        <v>3267</v>
      </c>
      <c r="W74" s="2" t="str">
        <f t="shared" si="25"/>
        <v>2</v>
      </c>
      <c r="X74" s="2" t="str">
        <f t="shared" si="26"/>
        <v>3</v>
      </c>
      <c r="Y74" s="2" t="str">
        <f t="shared" si="27"/>
        <v>2</v>
      </c>
      <c r="Z74" s="3" t="str">
        <f t="shared" si="28"/>
        <v>1</v>
      </c>
      <c r="AA74" s="10">
        <v>0.4</v>
      </c>
      <c r="AB74" s="3">
        <f t="shared" si="37"/>
        <v>2</v>
      </c>
      <c r="AC74" s="10">
        <v>27</v>
      </c>
      <c r="AD74" s="10">
        <v>17</v>
      </c>
      <c r="AE74" s="10">
        <v>0.03</v>
      </c>
      <c r="AF74" s="10">
        <v>31.5</v>
      </c>
      <c r="AG74" s="2">
        <f t="shared" si="29"/>
        <v>1050</v>
      </c>
      <c r="AH74" s="2" t="str">
        <f t="shared" si="30"/>
        <v>2</v>
      </c>
      <c r="AI74" s="3" t="str">
        <f t="shared" si="31"/>
        <v>3</v>
      </c>
      <c r="AJ74" s="3">
        <f t="shared" si="32"/>
        <v>2.2000000000000002</v>
      </c>
      <c r="AK74" s="2">
        <v>648</v>
      </c>
      <c r="AL74" s="2" t="str">
        <f t="shared" si="33"/>
        <v>1</v>
      </c>
      <c r="AM74" s="10">
        <v>175</v>
      </c>
      <c r="AN74" s="10">
        <v>85.75</v>
      </c>
      <c r="AO74" s="10">
        <v>807</v>
      </c>
      <c r="AP74" s="10">
        <v>395.43</v>
      </c>
      <c r="AQ74" s="10" t="s">
        <v>61</v>
      </c>
      <c r="AR74" s="10" t="s">
        <v>61</v>
      </c>
      <c r="AS74" s="10">
        <v>85</v>
      </c>
      <c r="AT74" s="2" t="str">
        <f t="shared" si="34"/>
        <v>4</v>
      </c>
      <c r="AU74" s="10">
        <v>1</v>
      </c>
      <c r="AV74" s="10">
        <v>1</v>
      </c>
      <c r="AW74" s="10">
        <v>5</v>
      </c>
      <c r="AX74" s="10">
        <v>1</v>
      </c>
      <c r="AY74" s="2">
        <v>5</v>
      </c>
      <c r="AZ74" s="10">
        <v>1969</v>
      </c>
      <c r="BA74" s="2">
        <f t="shared" si="35"/>
        <v>56</v>
      </c>
      <c r="BB74" s="2" t="str">
        <f t="shared" si="36"/>
        <v>5</v>
      </c>
      <c r="BC74" s="3">
        <v>1</v>
      </c>
      <c r="BD74" s="7">
        <f t="shared" si="38"/>
        <v>2.6960000000000002</v>
      </c>
      <c r="BE74" s="62" t="s">
        <v>844</v>
      </c>
      <c r="BF74" s="62" t="s">
        <v>899</v>
      </c>
      <c r="BG74" s="62" t="s">
        <v>912</v>
      </c>
      <c r="BH74" s="10">
        <v>12849</v>
      </c>
      <c r="BI74" s="10" t="s">
        <v>910</v>
      </c>
      <c r="BJ74" s="10" t="s">
        <v>925</v>
      </c>
      <c r="BK74" s="107">
        <v>46037</v>
      </c>
      <c r="BL74" s="10" t="s">
        <v>957</v>
      </c>
      <c r="BM74" s="109">
        <v>165000000</v>
      </c>
      <c r="BN74" s="61" t="s">
        <v>997</v>
      </c>
    </row>
    <row r="75" spans="1:66" ht="64" x14ac:dyDescent="0.2">
      <c r="A75" s="10">
        <v>20017166</v>
      </c>
      <c r="B75" s="10">
        <v>1057609449</v>
      </c>
      <c r="C75" s="10">
        <v>20000</v>
      </c>
      <c r="D75" s="10" t="s">
        <v>152</v>
      </c>
      <c r="E75" s="10" t="s">
        <v>324</v>
      </c>
      <c r="F75" s="10" t="s">
        <v>325</v>
      </c>
      <c r="G75" s="10" t="s">
        <v>70</v>
      </c>
      <c r="H75" s="10" t="s">
        <v>70</v>
      </c>
      <c r="I75" s="10" t="s">
        <v>81</v>
      </c>
      <c r="J75" s="10" t="s">
        <v>82</v>
      </c>
      <c r="K75" s="10" t="s">
        <v>48</v>
      </c>
      <c r="L75" s="10">
        <v>66</v>
      </c>
      <c r="M75" s="10" t="s">
        <v>60</v>
      </c>
      <c r="N75" s="10" t="s">
        <v>61</v>
      </c>
      <c r="O75" s="10" t="s">
        <v>177</v>
      </c>
      <c r="P75" s="10">
        <v>2.8</v>
      </c>
      <c r="Q75" s="10">
        <v>14.5</v>
      </c>
      <c r="R75" s="10">
        <v>1.7</v>
      </c>
      <c r="S75" s="10">
        <v>2.5</v>
      </c>
      <c r="T75" s="2">
        <f t="shared" si="24"/>
        <v>21.5</v>
      </c>
      <c r="U75" s="10">
        <v>1694</v>
      </c>
      <c r="V75" s="10">
        <v>5311</v>
      </c>
      <c r="W75" s="2" t="str">
        <f t="shared" si="25"/>
        <v>5</v>
      </c>
      <c r="X75" s="2" t="str">
        <f t="shared" si="26"/>
        <v>4</v>
      </c>
      <c r="Y75" s="2" t="str">
        <f t="shared" si="27"/>
        <v>1</v>
      </c>
      <c r="Z75" s="3" t="str">
        <f t="shared" si="28"/>
        <v>1</v>
      </c>
      <c r="AA75" s="10">
        <v>0</v>
      </c>
      <c r="AB75" s="3">
        <f t="shared" si="37"/>
        <v>2.75</v>
      </c>
      <c r="AC75" s="10">
        <v>54</v>
      </c>
      <c r="AD75" s="10">
        <v>8</v>
      </c>
      <c r="AE75" s="10">
        <v>0.02</v>
      </c>
      <c r="AF75" s="10">
        <v>46.6</v>
      </c>
      <c r="AG75" s="2">
        <f t="shared" si="29"/>
        <v>2330</v>
      </c>
      <c r="AH75" s="2" t="str">
        <f t="shared" si="30"/>
        <v>1</v>
      </c>
      <c r="AI75" s="3" t="str">
        <f t="shared" si="31"/>
        <v>1</v>
      </c>
      <c r="AJ75" s="3">
        <f t="shared" si="32"/>
        <v>1</v>
      </c>
      <c r="AK75" s="2">
        <v>14</v>
      </c>
      <c r="AL75" s="2" t="str">
        <f t="shared" si="33"/>
        <v>1</v>
      </c>
      <c r="AM75" s="10">
        <v>175</v>
      </c>
      <c r="AN75" s="10">
        <v>85.75</v>
      </c>
      <c r="AO75" s="10">
        <v>807.5</v>
      </c>
      <c r="AP75" s="10">
        <v>395.67500000000001</v>
      </c>
      <c r="AQ75" s="10" t="s">
        <v>61</v>
      </c>
      <c r="AR75" s="10" t="s">
        <v>61</v>
      </c>
      <c r="AS75" s="10">
        <v>49</v>
      </c>
      <c r="AT75" s="2" t="str">
        <f t="shared" si="34"/>
        <v>1</v>
      </c>
      <c r="AU75" s="10">
        <v>1</v>
      </c>
      <c r="AV75" s="10">
        <v>1</v>
      </c>
      <c r="AW75" s="10">
        <v>1</v>
      </c>
      <c r="AX75" s="10">
        <v>1</v>
      </c>
      <c r="AY75" s="2">
        <v>1</v>
      </c>
      <c r="AZ75" s="10">
        <v>2021</v>
      </c>
      <c r="BA75" s="2">
        <f t="shared" si="35"/>
        <v>4</v>
      </c>
      <c r="BB75" s="2" t="str">
        <f t="shared" si="36"/>
        <v>1</v>
      </c>
      <c r="BC75" s="3">
        <v>1</v>
      </c>
      <c r="BD75" s="7">
        <f t="shared" si="38"/>
        <v>1.35</v>
      </c>
      <c r="BE75" s="100" t="s">
        <v>828</v>
      </c>
      <c r="BF75" s="62"/>
      <c r="BG75" s="62"/>
      <c r="BH75" s="10">
        <v>16295</v>
      </c>
      <c r="BI75" s="10"/>
      <c r="BJ75" s="10"/>
      <c r="BK75" s="10"/>
      <c r="BL75" s="10"/>
      <c r="BM75" s="10"/>
      <c r="BN75" s="61" t="s">
        <v>61</v>
      </c>
    </row>
    <row r="76" spans="1:66" ht="64" x14ac:dyDescent="0.2">
      <c r="A76" s="10">
        <v>20017166</v>
      </c>
      <c r="B76" s="10">
        <v>10769355362</v>
      </c>
      <c r="C76" s="10">
        <v>30000</v>
      </c>
      <c r="D76" s="10" t="s">
        <v>152</v>
      </c>
      <c r="E76" s="10" t="s">
        <v>324</v>
      </c>
      <c r="F76" s="10" t="s">
        <v>329</v>
      </c>
      <c r="G76" s="10" t="s">
        <v>70</v>
      </c>
      <c r="H76" s="10" t="s">
        <v>70</v>
      </c>
      <c r="I76" s="10" t="s">
        <v>81</v>
      </c>
      <c r="J76" s="10" t="s">
        <v>82</v>
      </c>
      <c r="K76" s="10" t="s">
        <v>48</v>
      </c>
      <c r="L76" s="10">
        <v>66</v>
      </c>
      <c r="M76" s="10" t="s">
        <v>137</v>
      </c>
      <c r="N76" s="10" t="s">
        <v>60</v>
      </c>
      <c r="O76" s="10" t="s">
        <v>189</v>
      </c>
      <c r="P76" s="10">
        <v>31</v>
      </c>
      <c r="Q76" s="10">
        <v>3.4</v>
      </c>
      <c r="R76" s="10">
        <v>0.2</v>
      </c>
      <c r="S76" s="10">
        <v>0.3</v>
      </c>
      <c r="T76" s="2">
        <f t="shared" si="24"/>
        <v>34.9</v>
      </c>
      <c r="U76" s="10">
        <v>449</v>
      </c>
      <c r="V76" s="10">
        <v>899</v>
      </c>
      <c r="W76" s="2" t="str">
        <f t="shared" si="25"/>
        <v>3</v>
      </c>
      <c r="X76" s="2" t="str">
        <f t="shared" si="26"/>
        <v>1</v>
      </c>
      <c r="Y76" s="2" t="str">
        <f t="shared" si="27"/>
        <v>1</v>
      </c>
      <c r="Z76" s="3" t="str">
        <f t="shared" si="28"/>
        <v>1</v>
      </c>
      <c r="AA76" s="10">
        <v>0</v>
      </c>
      <c r="AB76" s="3">
        <f t="shared" si="37"/>
        <v>1.5</v>
      </c>
      <c r="AC76" s="10">
        <v>59</v>
      </c>
      <c r="AD76" s="10">
        <v>6</v>
      </c>
      <c r="AE76" s="10">
        <v>0.02</v>
      </c>
      <c r="AF76" s="10">
        <v>44.6</v>
      </c>
      <c r="AG76" s="2">
        <f t="shared" si="29"/>
        <v>2230</v>
      </c>
      <c r="AH76" s="2" t="str">
        <f t="shared" si="30"/>
        <v>1</v>
      </c>
      <c r="AI76" s="3" t="str">
        <f t="shared" si="31"/>
        <v>1</v>
      </c>
      <c r="AJ76" s="3">
        <f t="shared" si="32"/>
        <v>1</v>
      </c>
      <c r="AK76" s="2">
        <v>14</v>
      </c>
      <c r="AL76" s="2" t="str">
        <f t="shared" si="33"/>
        <v>1</v>
      </c>
      <c r="AM76" s="10">
        <v>262.39999999999998</v>
      </c>
      <c r="AN76" s="10">
        <v>141.696</v>
      </c>
      <c r="AO76" s="10">
        <v>502</v>
      </c>
      <c r="AP76" s="10">
        <v>271.08000000000004</v>
      </c>
      <c r="AQ76" s="10" t="s">
        <v>61</v>
      </c>
      <c r="AR76" s="10" t="s">
        <v>61</v>
      </c>
      <c r="AS76" s="10">
        <v>54</v>
      </c>
      <c r="AT76" s="2" t="str">
        <f t="shared" si="34"/>
        <v>1</v>
      </c>
      <c r="AU76" s="10">
        <v>1</v>
      </c>
      <c r="AV76" s="10">
        <v>1</v>
      </c>
      <c r="AW76" s="10">
        <v>1</v>
      </c>
      <c r="AX76" s="10">
        <v>1</v>
      </c>
      <c r="AY76" s="2">
        <v>1</v>
      </c>
      <c r="AZ76" s="10">
        <v>2023</v>
      </c>
      <c r="BA76" s="2">
        <f t="shared" si="35"/>
        <v>2</v>
      </c>
      <c r="BB76" s="2" t="str">
        <f t="shared" si="36"/>
        <v>1</v>
      </c>
      <c r="BC76" s="3">
        <v>1</v>
      </c>
      <c r="BD76" s="7">
        <f t="shared" si="38"/>
        <v>1.1000000000000001</v>
      </c>
      <c r="BE76" s="100" t="s">
        <v>828</v>
      </c>
      <c r="BF76" s="62"/>
      <c r="BG76" s="62"/>
      <c r="BH76" s="10">
        <v>2</v>
      </c>
      <c r="BI76" s="10"/>
      <c r="BJ76" s="10"/>
      <c r="BK76" s="10"/>
      <c r="BL76" s="10"/>
      <c r="BM76" s="10"/>
    </row>
    <row r="77" spans="1:66" ht="96" x14ac:dyDescent="0.2">
      <c r="A77" s="10">
        <v>20700518</v>
      </c>
      <c r="B77" s="10">
        <v>200005</v>
      </c>
      <c r="C77" s="10">
        <v>6000</v>
      </c>
      <c r="D77" s="10" t="s">
        <v>73</v>
      </c>
      <c r="E77" s="10" t="s">
        <v>330</v>
      </c>
      <c r="F77" s="10" t="s">
        <v>331</v>
      </c>
      <c r="G77" s="10" t="s">
        <v>58</v>
      </c>
      <c r="H77" s="10" t="s">
        <v>64</v>
      </c>
      <c r="I77" s="10" t="s">
        <v>81</v>
      </c>
      <c r="J77" s="10" t="s">
        <v>61</v>
      </c>
      <c r="K77" s="10" t="s">
        <v>66</v>
      </c>
      <c r="L77" s="10" t="s">
        <v>76</v>
      </c>
      <c r="M77" s="10" t="s">
        <v>60</v>
      </c>
      <c r="N77" s="10" t="s">
        <v>61</v>
      </c>
      <c r="O77" s="10" t="s">
        <v>130</v>
      </c>
      <c r="P77" s="10">
        <v>23</v>
      </c>
      <c r="Q77" s="10">
        <v>3.4</v>
      </c>
      <c r="R77" s="10">
        <v>19.399999999999999</v>
      </c>
      <c r="S77" s="10">
        <v>1</v>
      </c>
      <c r="T77" s="2">
        <f t="shared" si="24"/>
        <v>46.8</v>
      </c>
      <c r="U77" s="10">
        <v>282</v>
      </c>
      <c r="V77" s="10">
        <v>4102</v>
      </c>
      <c r="W77" s="2" t="str">
        <f t="shared" si="25"/>
        <v>2</v>
      </c>
      <c r="X77" s="2" t="str">
        <f t="shared" si="26"/>
        <v>3</v>
      </c>
      <c r="Y77" s="2" t="str">
        <f t="shared" si="27"/>
        <v>1</v>
      </c>
      <c r="Z77" s="3" t="str">
        <f t="shared" si="28"/>
        <v>1</v>
      </c>
      <c r="AA77" s="10">
        <v>0.2</v>
      </c>
      <c r="AB77" s="3">
        <f t="shared" si="37"/>
        <v>1.75</v>
      </c>
      <c r="AC77" s="10">
        <v>19</v>
      </c>
      <c r="AD77" s="10">
        <v>23</v>
      </c>
      <c r="AE77" s="10">
        <v>0.02</v>
      </c>
      <c r="AF77" s="10">
        <v>34</v>
      </c>
      <c r="AG77" s="2">
        <f t="shared" si="29"/>
        <v>1700</v>
      </c>
      <c r="AH77" s="2" t="str">
        <f t="shared" si="30"/>
        <v>4</v>
      </c>
      <c r="AI77" s="3" t="str">
        <f t="shared" si="31"/>
        <v>1</v>
      </c>
      <c r="AJ77" s="3">
        <f t="shared" si="32"/>
        <v>3.4000000000000004</v>
      </c>
      <c r="AK77" s="2">
        <v>1794</v>
      </c>
      <c r="AL77" s="2" t="str">
        <f t="shared" si="33"/>
        <v>1</v>
      </c>
      <c r="AM77" s="10">
        <v>100.4</v>
      </c>
      <c r="AN77" s="10">
        <v>64.256</v>
      </c>
      <c r="AO77" s="10">
        <v>251.02</v>
      </c>
      <c r="AP77" s="10">
        <v>160.65280000000001</v>
      </c>
      <c r="AQ77" s="10" t="s">
        <v>61</v>
      </c>
      <c r="AR77" s="10" t="s">
        <v>61</v>
      </c>
      <c r="AS77" s="10">
        <v>64</v>
      </c>
      <c r="AT77" s="2" t="str">
        <f t="shared" si="34"/>
        <v>2</v>
      </c>
      <c r="AU77" s="10">
        <v>1</v>
      </c>
      <c r="AV77" s="10">
        <v>1</v>
      </c>
      <c r="AW77" s="10">
        <v>1</v>
      </c>
      <c r="AX77" s="10" t="s">
        <v>61</v>
      </c>
      <c r="AY77" s="2">
        <v>1</v>
      </c>
      <c r="AZ77" s="10">
        <v>1990</v>
      </c>
      <c r="BA77" s="2">
        <f t="shared" si="35"/>
        <v>35</v>
      </c>
      <c r="BB77" s="2" t="str">
        <f t="shared" si="36"/>
        <v>5</v>
      </c>
      <c r="BC77" s="3">
        <v>1</v>
      </c>
      <c r="BD77" s="7">
        <f t="shared" si="38"/>
        <v>2.0020000000000002</v>
      </c>
      <c r="BE77" s="62" t="s">
        <v>839</v>
      </c>
      <c r="BF77" s="62"/>
      <c r="BG77" s="8" t="s">
        <v>990</v>
      </c>
      <c r="BH77" s="10">
        <v>6090</v>
      </c>
      <c r="BI77" s="10"/>
      <c r="BJ77" s="10"/>
      <c r="BK77" s="10"/>
      <c r="BL77" s="10"/>
      <c r="BM77" s="10"/>
    </row>
    <row r="78" spans="1:66" ht="64" x14ac:dyDescent="0.2">
      <c r="A78" s="10">
        <v>20037178</v>
      </c>
      <c r="B78" s="10">
        <v>1079537172</v>
      </c>
      <c r="C78" s="10">
        <v>12500</v>
      </c>
      <c r="D78" s="10" t="s">
        <v>73</v>
      </c>
      <c r="E78" s="10" t="s">
        <v>332</v>
      </c>
      <c r="F78" s="10" t="s">
        <v>333</v>
      </c>
      <c r="G78" s="10" t="s">
        <v>125</v>
      </c>
      <c r="H78" s="10" t="s">
        <v>148</v>
      </c>
      <c r="I78" s="10" t="s">
        <v>81</v>
      </c>
      <c r="J78" s="10" t="s">
        <v>82</v>
      </c>
      <c r="K78" s="10" t="s">
        <v>66</v>
      </c>
      <c r="L78" s="10" t="s">
        <v>76</v>
      </c>
      <c r="M78" s="10" t="s">
        <v>60</v>
      </c>
      <c r="N78" s="10" t="s">
        <v>61</v>
      </c>
      <c r="O78" s="10" t="s">
        <v>164</v>
      </c>
      <c r="P78" s="10">
        <v>13.6</v>
      </c>
      <c r="Q78" s="10">
        <v>8.6</v>
      </c>
      <c r="R78" s="10">
        <v>1.7</v>
      </c>
      <c r="S78" s="10">
        <v>2.1</v>
      </c>
      <c r="T78" s="2">
        <f t="shared" si="24"/>
        <v>26</v>
      </c>
      <c r="U78" s="10">
        <v>742</v>
      </c>
      <c r="V78" s="10">
        <v>3049</v>
      </c>
      <c r="W78" s="2" t="str">
        <f t="shared" si="25"/>
        <v>4</v>
      </c>
      <c r="X78" s="2" t="str">
        <f t="shared" si="26"/>
        <v>3</v>
      </c>
      <c r="Y78" s="2" t="str">
        <f t="shared" si="27"/>
        <v>1</v>
      </c>
      <c r="Z78" s="3" t="str">
        <f t="shared" si="28"/>
        <v>1</v>
      </c>
      <c r="AA78" s="10">
        <v>0</v>
      </c>
      <c r="AB78" s="3">
        <f t="shared" si="37"/>
        <v>2.25</v>
      </c>
      <c r="AC78" s="10">
        <v>59</v>
      </c>
      <c r="AD78" s="10">
        <v>6</v>
      </c>
      <c r="AE78" s="10">
        <v>0.02</v>
      </c>
      <c r="AF78" s="10">
        <v>46.4</v>
      </c>
      <c r="AG78" s="2">
        <f t="shared" si="29"/>
        <v>2320</v>
      </c>
      <c r="AH78" s="2" t="str">
        <f t="shared" si="30"/>
        <v>1</v>
      </c>
      <c r="AI78" s="3" t="str">
        <f t="shared" si="31"/>
        <v>1</v>
      </c>
      <c r="AJ78" s="3">
        <f t="shared" si="32"/>
        <v>1</v>
      </c>
      <c r="AK78" s="2">
        <v>1</v>
      </c>
      <c r="AL78" s="2" t="str">
        <f t="shared" si="33"/>
        <v>1</v>
      </c>
      <c r="AM78" s="10">
        <v>251</v>
      </c>
      <c r="AN78" s="10">
        <v>133.03</v>
      </c>
      <c r="AO78" s="10">
        <v>627.6</v>
      </c>
      <c r="AP78" s="10">
        <v>332.62800000000004</v>
      </c>
      <c r="AQ78" s="10" t="s">
        <v>61</v>
      </c>
      <c r="AR78" s="10" t="s">
        <v>61</v>
      </c>
      <c r="AS78" s="10">
        <v>53</v>
      </c>
      <c r="AT78" s="2" t="str">
        <f t="shared" si="34"/>
        <v>1</v>
      </c>
      <c r="AU78" s="10">
        <v>1</v>
      </c>
      <c r="AV78" s="10">
        <v>1</v>
      </c>
      <c r="AW78" s="10">
        <v>1</v>
      </c>
      <c r="AX78" s="10">
        <v>1</v>
      </c>
      <c r="AY78" s="2">
        <v>1</v>
      </c>
      <c r="AZ78" s="10">
        <v>2023</v>
      </c>
      <c r="BA78" s="2">
        <f t="shared" si="35"/>
        <v>2</v>
      </c>
      <c r="BB78" s="2" t="str">
        <f t="shared" si="36"/>
        <v>1</v>
      </c>
      <c r="BC78" s="3">
        <v>1</v>
      </c>
      <c r="BD78" s="7">
        <f t="shared" si="38"/>
        <v>1.25</v>
      </c>
      <c r="BE78" s="100" t="s">
        <v>828</v>
      </c>
      <c r="BF78" s="62"/>
      <c r="BG78" s="62"/>
      <c r="BH78" s="10">
        <v>8721</v>
      </c>
      <c r="BI78" s="10"/>
      <c r="BJ78" s="10"/>
      <c r="BK78" s="10"/>
      <c r="BL78" s="10"/>
      <c r="BM78" s="10"/>
    </row>
    <row r="79" spans="1:66" ht="64" x14ac:dyDescent="0.2">
      <c r="A79" s="10">
        <v>20027185</v>
      </c>
      <c r="B79" s="10" t="s">
        <v>337</v>
      </c>
      <c r="C79" s="10">
        <v>30000</v>
      </c>
      <c r="D79" s="10" t="s">
        <v>152</v>
      </c>
      <c r="E79" s="10" t="s">
        <v>334</v>
      </c>
      <c r="F79" s="10" t="s">
        <v>338</v>
      </c>
      <c r="G79" s="10" t="s">
        <v>58</v>
      </c>
      <c r="H79" s="10" t="s">
        <v>59</v>
      </c>
      <c r="I79" s="10" t="s">
        <v>81</v>
      </c>
      <c r="J79" s="10" t="s">
        <v>143</v>
      </c>
      <c r="K79" s="10" t="s">
        <v>48</v>
      </c>
      <c r="L79" s="10" t="s">
        <v>137</v>
      </c>
      <c r="M79" s="10" t="s">
        <v>60</v>
      </c>
      <c r="N79" s="10" t="s">
        <v>61</v>
      </c>
      <c r="O79" s="10" t="s">
        <v>295</v>
      </c>
      <c r="P79" s="10">
        <v>10.199999999999999</v>
      </c>
      <c r="Q79" s="10">
        <v>4.0999999999999996</v>
      </c>
      <c r="R79" s="10">
        <v>25</v>
      </c>
      <c r="S79" s="10">
        <v>0.9</v>
      </c>
      <c r="T79" s="2">
        <f t="shared" si="24"/>
        <v>40.199999999999996</v>
      </c>
      <c r="U79" s="10">
        <v>483</v>
      </c>
      <c r="V79" s="10">
        <v>4130</v>
      </c>
      <c r="W79" s="2" t="str">
        <f t="shared" si="25"/>
        <v>3</v>
      </c>
      <c r="X79" s="2" t="str">
        <f t="shared" si="26"/>
        <v>3</v>
      </c>
      <c r="Y79" s="2" t="str">
        <f t="shared" si="27"/>
        <v>1</v>
      </c>
      <c r="Z79" s="3" t="str">
        <f t="shared" si="28"/>
        <v>2</v>
      </c>
      <c r="AA79" s="10">
        <v>2.9</v>
      </c>
      <c r="AB79" s="3">
        <f t="shared" si="37"/>
        <v>2.25</v>
      </c>
      <c r="AC79" s="10">
        <v>25</v>
      </c>
      <c r="AD79" s="10">
        <v>26</v>
      </c>
      <c r="AE79" s="10">
        <v>0.04</v>
      </c>
      <c r="AF79" s="10">
        <v>37.1</v>
      </c>
      <c r="AG79" s="2">
        <v>35.700000000000003</v>
      </c>
      <c r="AH79" s="2" t="str">
        <f t="shared" si="30"/>
        <v>3</v>
      </c>
      <c r="AI79" s="3" t="str">
        <f t="shared" si="31"/>
        <v>5</v>
      </c>
      <c r="AJ79" s="3">
        <f t="shared" si="32"/>
        <v>3.4000000000000004</v>
      </c>
      <c r="AK79" s="2">
        <v>8744</v>
      </c>
      <c r="AL79" s="2" t="str">
        <f t="shared" si="33"/>
        <v>5</v>
      </c>
      <c r="AM79" s="10">
        <v>502</v>
      </c>
      <c r="AN79" s="10">
        <v>461.84000000000003</v>
      </c>
      <c r="AO79" s="10">
        <v>1255.0999999999999</v>
      </c>
      <c r="AP79" s="10">
        <v>1154.692</v>
      </c>
      <c r="AQ79" s="10" t="s">
        <v>61</v>
      </c>
      <c r="AR79" s="10" t="s">
        <v>61</v>
      </c>
      <c r="AS79" s="10">
        <v>62</v>
      </c>
      <c r="AT79" s="2" t="str">
        <f t="shared" si="34"/>
        <v>2</v>
      </c>
      <c r="AU79" s="10">
        <v>1</v>
      </c>
      <c r="AV79" s="10">
        <v>1</v>
      </c>
      <c r="AW79" s="10">
        <v>1</v>
      </c>
      <c r="AX79" s="10">
        <v>1</v>
      </c>
      <c r="AY79" s="2">
        <v>1</v>
      </c>
      <c r="AZ79" s="10">
        <v>1998</v>
      </c>
      <c r="BA79" s="2">
        <f t="shared" si="35"/>
        <v>27</v>
      </c>
      <c r="BB79" s="2" t="str">
        <f t="shared" si="36"/>
        <v>4</v>
      </c>
      <c r="BC79" s="3">
        <v>1</v>
      </c>
      <c r="BD79" s="7">
        <v>5</v>
      </c>
      <c r="BE79" s="62" t="s">
        <v>991</v>
      </c>
      <c r="BF79" s="62"/>
      <c r="BG79" s="62" t="s">
        <v>993</v>
      </c>
      <c r="BH79" s="2">
        <v>21525</v>
      </c>
      <c r="BI79" s="10"/>
      <c r="BJ79" s="10" t="s">
        <v>917</v>
      </c>
      <c r="BK79" s="10"/>
      <c r="BL79" s="10"/>
      <c r="BM79" s="10"/>
      <c r="BN79" s="61" t="s">
        <v>997</v>
      </c>
    </row>
    <row r="80" spans="1:66" ht="64" x14ac:dyDescent="0.2">
      <c r="A80" s="10">
        <v>20027185</v>
      </c>
      <c r="B80" s="10">
        <v>200718</v>
      </c>
      <c r="C80" s="10">
        <v>30000</v>
      </c>
      <c r="D80" s="10" t="s">
        <v>152</v>
      </c>
      <c r="E80" s="101" t="s">
        <v>334</v>
      </c>
      <c r="F80" s="10" t="s">
        <v>335</v>
      </c>
      <c r="G80" s="10" t="s">
        <v>58</v>
      </c>
      <c r="H80" s="10" t="s">
        <v>59</v>
      </c>
      <c r="I80" s="10" t="s">
        <v>81</v>
      </c>
      <c r="J80" s="10" t="s">
        <v>82</v>
      </c>
      <c r="K80" s="10" t="s">
        <v>48</v>
      </c>
      <c r="L80" s="10" t="s">
        <v>137</v>
      </c>
      <c r="M80" s="10" t="s">
        <v>60</v>
      </c>
      <c r="N80" s="10" t="s">
        <v>61</v>
      </c>
      <c r="O80" s="10" t="s">
        <v>295</v>
      </c>
      <c r="P80" s="10">
        <v>21</v>
      </c>
      <c r="Q80" s="10">
        <v>22</v>
      </c>
      <c r="R80" s="10">
        <v>22</v>
      </c>
      <c r="S80" s="10">
        <v>4.5999999999999996</v>
      </c>
      <c r="T80" s="2">
        <f t="shared" si="24"/>
        <v>69.599999999999994</v>
      </c>
      <c r="U80" s="10">
        <v>766</v>
      </c>
      <c r="V80" s="10">
        <v>5211</v>
      </c>
      <c r="W80" s="2" t="str">
        <f t="shared" si="25"/>
        <v>5</v>
      </c>
      <c r="X80" s="2" t="str">
        <f t="shared" si="26"/>
        <v>4</v>
      </c>
      <c r="Y80" s="2" t="str">
        <f t="shared" si="27"/>
        <v>1</v>
      </c>
      <c r="Z80" s="3" t="str">
        <f t="shared" si="28"/>
        <v>1</v>
      </c>
      <c r="AA80" s="10">
        <v>1</v>
      </c>
      <c r="AB80" s="3">
        <f t="shared" si="37"/>
        <v>2.75</v>
      </c>
      <c r="AC80" s="10">
        <v>62</v>
      </c>
      <c r="AD80" s="10">
        <v>9</v>
      </c>
      <c r="AE80" s="10">
        <v>0.02</v>
      </c>
      <c r="AF80" s="10">
        <v>38.799999999999997</v>
      </c>
      <c r="AG80" s="2">
        <f>AF80/AE80</f>
        <v>1939.9999999999998</v>
      </c>
      <c r="AH80" s="2" t="str">
        <f t="shared" si="30"/>
        <v>1</v>
      </c>
      <c r="AI80" s="3" t="str">
        <f t="shared" si="31"/>
        <v>1</v>
      </c>
      <c r="AJ80" s="3">
        <f t="shared" si="32"/>
        <v>1</v>
      </c>
      <c r="AK80" s="2">
        <v>26</v>
      </c>
      <c r="AL80" s="2" t="str">
        <f t="shared" si="33"/>
        <v>1</v>
      </c>
      <c r="AM80" s="10">
        <v>5022</v>
      </c>
      <c r="AN80" s="10">
        <v>4268.7</v>
      </c>
      <c r="AO80" s="10">
        <v>1255.0999999999999</v>
      </c>
      <c r="AP80" s="10">
        <v>1066.8349999999998</v>
      </c>
      <c r="AQ80" s="10" t="s">
        <v>61</v>
      </c>
      <c r="AR80" s="10" t="s">
        <v>61</v>
      </c>
      <c r="AS80" s="10">
        <v>110</v>
      </c>
      <c r="AT80" s="2" t="str">
        <f t="shared" si="34"/>
        <v>5</v>
      </c>
      <c r="AU80" s="10">
        <v>1</v>
      </c>
      <c r="AV80" s="10">
        <v>1</v>
      </c>
      <c r="AW80" s="10">
        <v>1</v>
      </c>
      <c r="AX80" s="10">
        <v>5</v>
      </c>
      <c r="AY80" s="2">
        <v>5</v>
      </c>
      <c r="AZ80" s="10">
        <v>2009</v>
      </c>
      <c r="BA80" s="2">
        <f>2025-AZ80</f>
        <v>16</v>
      </c>
      <c r="BB80" s="2" t="str">
        <f t="shared" si="36"/>
        <v>2</v>
      </c>
      <c r="BC80" s="3">
        <v>1</v>
      </c>
      <c r="BD80" s="7">
        <f t="shared" ref="BD80:BD88" si="39">(AB80*0.2)+(AJ80*0.23)+(AL80*0.05)+(AT80*0.1)+(AY80*0.18)+(BB80*0.05)+(BC80*0.19)</f>
        <v>2.52</v>
      </c>
      <c r="BE80" s="62" t="s">
        <v>847</v>
      </c>
      <c r="BF80" s="62" t="s">
        <v>808</v>
      </c>
      <c r="BG80" s="8" t="s">
        <v>868</v>
      </c>
      <c r="BH80" s="2">
        <v>6376</v>
      </c>
      <c r="BI80" s="10" t="s">
        <v>943</v>
      </c>
      <c r="BJ80" s="10" t="s">
        <v>922</v>
      </c>
      <c r="BK80" s="107">
        <v>46040</v>
      </c>
      <c r="BL80" s="10" t="s">
        <v>970</v>
      </c>
      <c r="BM80" s="109">
        <v>165000000</v>
      </c>
      <c r="BN80" s="61" t="s">
        <v>997</v>
      </c>
    </row>
    <row r="81" spans="1:66" x14ac:dyDescent="0.2">
      <c r="A81" s="10">
        <v>20027185</v>
      </c>
      <c r="B81" s="10">
        <v>7740131</v>
      </c>
      <c r="C81" s="10">
        <v>7875</v>
      </c>
      <c r="D81" s="10" t="s">
        <v>73</v>
      </c>
      <c r="E81" s="12" t="s">
        <v>334</v>
      </c>
      <c r="F81" s="10" t="s">
        <v>679</v>
      </c>
      <c r="G81" s="10" t="s">
        <v>58</v>
      </c>
      <c r="H81" s="10" t="s">
        <v>59</v>
      </c>
      <c r="I81" s="10" t="s">
        <v>81</v>
      </c>
      <c r="J81" s="10" t="s">
        <v>143</v>
      </c>
      <c r="K81" s="10" t="s">
        <v>66</v>
      </c>
      <c r="L81" s="10"/>
      <c r="M81" s="10"/>
      <c r="N81" s="10"/>
      <c r="O81" s="10" t="s">
        <v>295</v>
      </c>
      <c r="P81" s="10">
        <v>2</v>
      </c>
      <c r="Q81" s="10">
        <v>1.6</v>
      </c>
      <c r="R81" s="10">
        <v>1.2</v>
      </c>
      <c r="S81" s="10">
        <v>0.3</v>
      </c>
      <c r="T81" s="2">
        <f t="shared" si="24"/>
        <v>5.0999999999999996</v>
      </c>
      <c r="U81" s="10">
        <v>90</v>
      </c>
      <c r="V81" s="10">
        <v>1084</v>
      </c>
      <c r="W81" s="2" t="str">
        <f t="shared" si="25"/>
        <v>1</v>
      </c>
      <c r="X81" s="2" t="str">
        <f t="shared" si="26"/>
        <v>1</v>
      </c>
      <c r="Y81" s="2" t="str">
        <f t="shared" si="27"/>
        <v>1</v>
      </c>
      <c r="Z81" s="3" t="str">
        <f t="shared" si="28"/>
        <v>1</v>
      </c>
      <c r="AA81" s="10">
        <v>0.2</v>
      </c>
      <c r="AB81" s="3">
        <f t="shared" si="37"/>
        <v>1</v>
      </c>
      <c r="AC81" s="10">
        <v>22</v>
      </c>
      <c r="AD81" s="10">
        <v>26</v>
      </c>
      <c r="AE81" s="10">
        <v>0.02</v>
      </c>
      <c r="AF81" s="10">
        <v>42.9</v>
      </c>
      <c r="AG81" s="2">
        <f>AF81/AE81</f>
        <v>2145</v>
      </c>
      <c r="AH81" s="2" t="str">
        <f t="shared" si="30"/>
        <v>3</v>
      </c>
      <c r="AI81" s="3" t="str">
        <f t="shared" si="31"/>
        <v>1</v>
      </c>
      <c r="AJ81" s="3">
        <f t="shared" si="32"/>
        <v>2.6000000000000005</v>
      </c>
      <c r="AK81" s="2">
        <v>4876</v>
      </c>
      <c r="AL81" s="2" t="str">
        <f t="shared" si="33"/>
        <v>4</v>
      </c>
      <c r="AM81" s="10"/>
      <c r="AN81" s="10"/>
      <c r="AO81" s="10"/>
      <c r="AP81" s="10"/>
      <c r="AQ81" s="10" t="s">
        <v>61</v>
      </c>
      <c r="AR81" s="10" t="s">
        <v>61</v>
      </c>
      <c r="AS81" s="10">
        <v>65</v>
      </c>
      <c r="AT81" s="2" t="str">
        <f t="shared" si="34"/>
        <v>2</v>
      </c>
      <c r="AU81" s="10"/>
      <c r="AV81" s="10"/>
      <c r="AW81" s="10"/>
      <c r="AX81" s="10"/>
      <c r="AY81" s="2">
        <v>1</v>
      </c>
      <c r="AZ81" s="10">
        <v>1978</v>
      </c>
      <c r="BA81" s="2">
        <f t="shared" si="35"/>
        <v>47</v>
      </c>
      <c r="BB81" s="2" t="str">
        <f t="shared" si="36"/>
        <v>5</v>
      </c>
      <c r="BC81" s="3">
        <v>1</v>
      </c>
      <c r="BD81" s="7">
        <f t="shared" si="39"/>
        <v>1.8180000000000001</v>
      </c>
      <c r="BE81" s="10" t="s">
        <v>821</v>
      </c>
      <c r="BF81" s="62"/>
      <c r="BG81" s="62"/>
      <c r="BH81" s="10"/>
      <c r="BI81" s="10" t="s">
        <v>911</v>
      </c>
      <c r="BJ81" s="10"/>
      <c r="BK81" s="10"/>
      <c r="BL81" s="10"/>
      <c r="BM81" s="109">
        <v>75000000</v>
      </c>
      <c r="BN81" s="61" t="s">
        <v>997</v>
      </c>
    </row>
    <row r="82" spans="1:66" ht="64" x14ac:dyDescent="0.2">
      <c r="A82" s="10">
        <v>20700333</v>
      </c>
      <c r="B82" s="10">
        <v>1079537168</v>
      </c>
      <c r="C82" s="10">
        <v>5000</v>
      </c>
      <c r="D82" s="10" t="s">
        <v>73</v>
      </c>
      <c r="E82" s="10" t="s">
        <v>341</v>
      </c>
      <c r="F82" s="10" t="s">
        <v>342</v>
      </c>
      <c r="G82" s="10" t="s">
        <v>58</v>
      </c>
      <c r="H82" s="10" t="s">
        <v>70</v>
      </c>
      <c r="I82" s="10" t="s">
        <v>65</v>
      </c>
      <c r="J82" s="10" t="s">
        <v>61</v>
      </c>
      <c r="K82" s="10" t="s">
        <v>66</v>
      </c>
      <c r="L82" s="10" t="s">
        <v>76</v>
      </c>
      <c r="M82" s="10" t="s">
        <v>60</v>
      </c>
      <c r="N82" s="10" t="s">
        <v>61</v>
      </c>
      <c r="O82" s="10" t="s">
        <v>130</v>
      </c>
      <c r="P82" s="10">
        <v>14.7</v>
      </c>
      <c r="Q82" s="10">
        <v>13.2</v>
      </c>
      <c r="R82" s="10">
        <v>3.2</v>
      </c>
      <c r="S82" s="10">
        <v>3</v>
      </c>
      <c r="T82" s="2">
        <f t="shared" si="24"/>
        <v>34.099999999999994</v>
      </c>
      <c r="U82" s="10">
        <v>586</v>
      </c>
      <c r="V82" s="10">
        <v>2060</v>
      </c>
      <c r="W82" s="2" t="str">
        <f t="shared" si="25"/>
        <v>4</v>
      </c>
      <c r="X82" s="2" t="str">
        <f t="shared" si="26"/>
        <v>2</v>
      </c>
      <c r="Y82" s="2" t="str">
        <f t="shared" si="27"/>
        <v>1</v>
      </c>
      <c r="Z82" s="3" t="str">
        <f t="shared" si="28"/>
        <v>1</v>
      </c>
      <c r="AA82" s="10">
        <v>0</v>
      </c>
      <c r="AB82" s="3">
        <f t="shared" si="37"/>
        <v>2</v>
      </c>
      <c r="AC82" s="10">
        <v>57</v>
      </c>
      <c r="AD82" s="10">
        <v>5</v>
      </c>
      <c r="AE82" s="10">
        <v>0.02</v>
      </c>
      <c r="AF82" s="10">
        <v>45.5</v>
      </c>
      <c r="AG82" s="2">
        <f t="shared" ref="AG82:AG89" si="40">AF82/AE82</f>
        <v>2275</v>
      </c>
      <c r="AH82" s="2" t="str">
        <f t="shared" si="30"/>
        <v>1</v>
      </c>
      <c r="AI82" s="3" t="str">
        <f t="shared" si="31"/>
        <v>1</v>
      </c>
      <c r="AJ82" s="3">
        <f t="shared" si="32"/>
        <v>1</v>
      </c>
      <c r="AK82" s="2">
        <v>14</v>
      </c>
      <c r="AL82" s="2" t="str">
        <f t="shared" si="33"/>
        <v>1</v>
      </c>
      <c r="AM82" s="10">
        <v>83.67</v>
      </c>
      <c r="AN82" s="10">
        <v>32.631300000000003</v>
      </c>
      <c r="AO82" s="10">
        <v>209.18</v>
      </c>
      <c r="AP82" s="10">
        <v>81.580200000000005</v>
      </c>
      <c r="AQ82" s="10" t="s">
        <v>61</v>
      </c>
      <c r="AR82" s="10" t="s">
        <v>61</v>
      </c>
      <c r="AS82" s="10">
        <v>39</v>
      </c>
      <c r="AT82" s="2" t="str">
        <f t="shared" si="34"/>
        <v>1</v>
      </c>
      <c r="AU82" s="10">
        <v>1</v>
      </c>
      <c r="AV82" s="10">
        <v>1</v>
      </c>
      <c r="AW82" s="10">
        <v>1</v>
      </c>
      <c r="AX82" s="10" t="s">
        <v>61</v>
      </c>
      <c r="AY82" s="2">
        <v>1</v>
      </c>
      <c r="AZ82" s="10">
        <v>2023</v>
      </c>
      <c r="BA82" s="2">
        <f t="shared" si="35"/>
        <v>2</v>
      </c>
      <c r="BB82" s="2" t="str">
        <f t="shared" si="36"/>
        <v>1</v>
      </c>
      <c r="BC82" s="3">
        <v>1</v>
      </c>
      <c r="BD82" s="7">
        <f t="shared" si="39"/>
        <v>1.2</v>
      </c>
      <c r="BE82" s="100" t="s">
        <v>828</v>
      </c>
      <c r="BF82" s="62"/>
      <c r="BG82" s="62"/>
      <c r="BH82" s="2">
        <v>3157</v>
      </c>
      <c r="BI82" s="10"/>
      <c r="BJ82" s="10"/>
      <c r="BK82" s="10"/>
      <c r="BL82" s="10"/>
      <c r="BM82" s="10"/>
    </row>
    <row r="83" spans="1:66" ht="96" x14ac:dyDescent="0.2">
      <c r="A83" s="10">
        <v>20056589</v>
      </c>
      <c r="B83" s="10">
        <v>200103</v>
      </c>
      <c r="C83" s="10">
        <v>6500</v>
      </c>
      <c r="D83" s="10" t="s">
        <v>73</v>
      </c>
      <c r="E83" s="10" t="s">
        <v>343</v>
      </c>
      <c r="F83" s="10" t="s">
        <v>344</v>
      </c>
      <c r="G83" s="10" t="s">
        <v>125</v>
      </c>
      <c r="H83" s="10" t="s">
        <v>126</v>
      </c>
      <c r="I83" s="10" t="s">
        <v>81</v>
      </c>
      <c r="J83" s="10" t="s">
        <v>82</v>
      </c>
      <c r="K83" s="10" t="s">
        <v>66</v>
      </c>
      <c r="L83" s="10" t="s">
        <v>76</v>
      </c>
      <c r="M83" s="10" t="s">
        <v>60</v>
      </c>
      <c r="N83" s="10" t="s">
        <v>61</v>
      </c>
      <c r="O83" s="10" t="s">
        <v>83</v>
      </c>
      <c r="P83" s="10">
        <v>6.4</v>
      </c>
      <c r="Q83" s="10">
        <v>11.9</v>
      </c>
      <c r="R83" s="10">
        <v>18.600000000000001</v>
      </c>
      <c r="S83" s="10">
        <v>1.3</v>
      </c>
      <c r="T83" s="2">
        <f t="shared" si="24"/>
        <v>38.200000000000003</v>
      </c>
      <c r="U83" s="10">
        <v>844</v>
      </c>
      <c r="V83" s="10">
        <v>5174</v>
      </c>
      <c r="W83" s="2" t="str">
        <f t="shared" si="25"/>
        <v>5</v>
      </c>
      <c r="X83" s="2" t="str">
        <f t="shared" si="26"/>
        <v>4</v>
      </c>
      <c r="Y83" s="2" t="str">
        <f t="shared" si="27"/>
        <v>1</v>
      </c>
      <c r="Z83" s="3" t="str">
        <f t="shared" si="28"/>
        <v>1</v>
      </c>
      <c r="AA83" s="10">
        <v>0</v>
      </c>
      <c r="AB83" s="3">
        <f t="shared" si="37"/>
        <v>2.75</v>
      </c>
      <c r="AC83" s="10">
        <v>27</v>
      </c>
      <c r="AD83" s="10">
        <v>22</v>
      </c>
      <c r="AE83" s="10">
        <v>0.02</v>
      </c>
      <c r="AF83" s="10">
        <v>41.6</v>
      </c>
      <c r="AG83" s="2">
        <f t="shared" si="40"/>
        <v>2080</v>
      </c>
      <c r="AH83" s="2" t="str">
        <f t="shared" si="30"/>
        <v>2</v>
      </c>
      <c r="AI83" s="3" t="str">
        <f t="shared" si="31"/>
        <v>1</v>
      </c>
      <c r="AJ83" s="3">
        <f t="shared" si="32"/>
        <v>1.8</v>
      </c>
      <c r="AK83" s="2">
        <v>78</v>
      </c>
      <c r="AL83" s="2" t="str">
        <f t="shared" si="33"/>
        <v>1</v>
      </c>
      <c r="AM83" s="10">
        <v>108.77</v>
      </c>
      <c r="AN83" s="10">
        <v>39.157199999999996</v>
      </c>
      <c r="AO83" s="10">
        <v>271.94</v>
      </c>
      <c r="AP83" s="10">
        <v>97.898399999999995</v>
      </c>
      <c r="AQ83" s="10" t="s">
        <v>61</v>
      </c>
      <c r="AR83" s="10" t="s">
        <v>61</v>
      </c>
      <c r="AS83" s="10">
        <v>36</v>
      </c>
      <c r="AT83" s="2" t="str">
        <f t="shared" si="34"/>
        <v>1</v>
      </c>
      <c r="AU83" s="10">
        <v>1</v>
      </c>
      <c r="AV83" s="10">
        <v>1</v>
      </c>
      <c r="AW83" s="10">
        <v>1</v>
      </c>
      <c r="AX83" s="10" t="s">
        <v>61</v>
      </c>
      <c r="AY83" s="2">
        <v>1</v>
      </c>
      <c r="AZ83" s="10">
        <v>1999</v>
      </c>
      <c r="BA83" s="2">
        <f t="shared" si="35"/>
        <v>26</v>
      </c>
      <c r="BB83" s="2" t="str">
        <f t="shared" si="36"/>
        <v>4</v>
      </c>
      <c r="BC83" s="3">
        <v>1</v>
      </c>
      <c r="BD83" s="7">
        <f t="shared" si="39"/>
        <v>1.6839999999999999</v>
      </c>
      <c r="BE83" s="62" t="s">
        <v>839</v>
      </c>
      <c r="BF83" s="62"/>
      <c r="BG83" s="8" t="s">
        <v>990</v>
      </c>
      <c r="BH83" s="2">
        <v>5173</v>
      </c>
      <c r="BI83" s="10"/>
      <c r="BJ83" s="10"/>
      <c r="BK83" s="107">
        <v>46058</v>
      </c>
      <c r="BL83" s="10" t="s">
        <v>936</v>
      </c>
      <c r="BM83" s="10"/>
      <c r="BN83" s="61" t="s">
        <v>998</v>
      </c>
    </row>
    <row r="84" spans="1:66" ht="64" x14ac:dyDescent="0.2">
      <c r="A84" s="10">
        <v>20027665</v>
      </c>
      <c r="B84" s="10">
        <v>51660119</v>
      </c>
      <c r="C84" s="10">
        <v>2300</v>
      </c>
      <c r="D84" s="10" t="s">
        <v>73</v>
      </c>
      <c r="E84" s="10" t="s">
        <v>345</v>
      </c>
      <c r="F84" s="10" t="s">
        <v>346</v>
      </c>
      <c r="G84" s="10" t="s">
        <v>58</v>
      </c>
      <c r="H84" s="10" t="s">
        <v>59</v>
      </c>
      <c r="I84" s="10" t="s">
        <v>65</v>
      </c>
      <c r="J84" s="10" t="s">
        <v>61</v>
      </c>
      <c r="K84" s="10" t="s">
        <v>66</v>
      </c>
      <c r="L84" s="10" t="s">
        <v>76</v>
      </c>
      <c r="M84" s="10" t="s">
        <v>60</v>
      </c>
      <c r="N84" s="10" t="s">
        <v>61</v>
      </c>
      <c r="O84" s="10" t="s">
        <v>77</v>
      </c>
      <c r="P84" s="10">
        <v>16.600000000000001</v>
      </c>
      <c r="Q84" s="10">
        <v>3.7</v>
      </c>
      <c r="R84" s="10">
        <v>19.8</v>
      </c>
      <c r="S84" s="10">
        <v>1.3</v>
      </c>
      <c r="T84" s="2">
        <f t="shared" si="24"/>
        <v>41.4</v>
      </c>
      <c r="U84" s="10">
        <v>481</v>
      </c>
      <c r="V84" s="10">
        <v>2101</v>
      </c>
      <c r="W84" s="2" t="str">
        <f t="shared" si="25"/>
        <v>3</v>
      </c>
      <c r="X84" s="2" t="str">
        <f t="shared" si="26"/>
        <v>2</v>
      </c>
      <c r="Y84" s="2" t="str">
        <f t="shared" si="27"/>
        <v>1</v>
      </c>
      <c r="Z84" s="3" t="str">
        <f t="shared" si="28"/>
        <v>1</v>
      </c>
      <c r="AA84" s="10">
        <v>0</v>
      </c>
      <c r="AB84" s="3">
        <f t="shared" si="37"/>
        <v>1.75</v>
      </c>
      <c r="AC84" s="10">
        <v>61</v>
      </c>
      <c r="AD84" s="10">
        <v>6</v>
      </c>
      <c r="AE84" s="10">
        <v>0.02</v>
      </c>
      <c r="AF84" s="10">
        <v>38.299999999999997</v>
      </c>
      <c r="AG84" s="2">
        <f t="shared" si="40"/>
        <v>1914.9999999999998</v>
      </c>
      <c r="AH84" s="2" t="str">
        <f t="shared" si="30"/>
        <v>1</v>
      </c>
      <c r="AI84" s="3" t="str">
        <f t="shared" si="31"/>
        <v>1</v>
      </c>
      <c r="AJ84" s="3">
        <f t="shared" si="32"/>
        <v>1</v>
      </c>
      <c r="AK84" s="2">
        <v>14</v>
      </c>
      <c r="AL84" s="2" t="str">
        <f t="shared" si="33"/>
        <v>1</v>
      </c>
      <c r="AM84" s="10">
        <v>38.49</v>
      </c>
      <c r="AN84" s="10">
        <v>14.241300000000001</v>
      </c>
      <c r="AO84" s="10">
        <v>96.22</v>
      </c>
      <c r="AP84" s="10">
        <v>35.601399999999998</v>
      </c>
      <c r="AQ84" s="10" t="s">
        <v>61</v>
      </c>
      <c r="AR84" s="10" t="s">
        <v>61</v>
      </c>
      <c r="AS84" s="10">
        <v>37</v>
      </c>
      <c r="AT84" s="2" t="str">
        <f t="shared" si="34"/>
        <v>1</v>
      </c>
      <c r="AU84" s="10">
        <v>1</v>
      </c>
      <c r="AV84" s="10">
        <v>1</v>
      </c>
      <c r="AW84" s="10">
        <v>1</v>
      </c>
      <c r="AX84" s="10" t="s">
        <v>61</v>
      </c>
      <c r="AY84" s="2">
        <v>1</v>
      </c>
      <c r="AZ84" s="10">
        <v>2019</v>
      </c>
      <c r="BA84" s="2">
        <f t="shared" si="35"/>
        <v>6</v>
      </c>
      <c r="BB84" s="2" t="str">
        <f t="shared" si="36"/>
        <v>1</v>
      </c>
      <c r="BC84" s="3">
        <v>1</v>
      </c>
      <c r="BD84" s="7">
        <f t="shared" si="39"/>
        <v>1.1500000000000001</v>
      </c>
      <c r="BE84" s="100" t="s">
        <v>828</v>
      </c>
      <c r="BF84" s="62"/>
      <c r="BG84" s="62"/>
      <c r="BH84" s="2">
        <v>410</v>
      </c>
      <c r="BI84" s="10"/>
      <c r="BJ84" s="10"/>
      <c r="BK84" s="107">
        <v>46138</v>
      </c>
      <c r="BL84" s="10" t="s">
        <v>934</v>
      </c>
      <c r="BM84" s="10"/>
    </row>
    <row r="85" spans="1:66" ht="80" x14ac:dyDescent="0.2">
      <c r="A85" s="10">
        <v>20027669</v>
      </c>
      <c r="B85" s="10">
        <v>291239</v>
      </c>
      <c r="C85" s="10">
        <v>1600</v>
      </c>
      <c r="D85" s="10" t="s">
        <v>73</v>
      </c>
      <c r="E85" s="10" t="s">
        <v>347</v>
      </c>
      <c r="F85" s="101" t="s">
        <v>348</v>
      </c>
      <c r="G85" s="10" t="s">
        <v>58</v>
      </c>
      <c r="H85" s="10" t="s">
        <v>59</v>
      </c>
      <c r="I85" s="10" t="s">
        <v>65</v>
      </c>
      <c r="J85" s="10" t="s">
        <v>61</v>
      </c>
      <c r="K85" s="10" t="s">
        <v>66</v>
      </c>
      <c r="L85" s="10" t="s">
        <v>76</v>
      </c>
      <c r="M85" s="10" t="s">
        <v>60</v>
      </c>
      <c r="N85" s="10" t="s">
        <v>61</v>
      </c>
      <c r="O85" s="10" t="s">
        <v>77</v>
      </c>
      <c r="P85" s="10">
        <v>40805</v>
      </c>
      <c r="Q85" s="10">
        <v>18241</v>
      </c>
      <c r="R85" s="10">
        <v>1.5</v>
      </c>
      <c r="S85" s="10">
        <v>3952</v>
      </c>
      <c r="T85" s="2">
        <f t="shared" si="24"/>
        <v>62999.5</v>
      </c>
      <c r="U85" s="10">
        <v>585</v>
      </c>
      <c r="V85" s="10">
        <v>8706</v>
      </c>
      <c r="W85" s="2" t="str">
        <f t="shared" si="25"/>
        <v>4</v>
      </c>
      <c r="X85" s="2" t="str">
        <f t="shared" si="26"/>
        <v>5</v>
      </c>
      <c r="Y85" s="2" t="str">
        <f t="shared" si="27"/>
        <v>5</v>
      </c>
      <c r="Z85" s="3" t="str">
        <f t="shared" si="28"/>
        <v>1</v>
      </c>
      <c r="AA85" s="10">
        <v>0.9</v>
      </c>
      <c r="AB85" s="3">
        <f t="shared" si="37"/>
        <v>3.75</v>
      </c>
      <c r="AC85" s="10">
        <v>56</v>
      </c>
      <c r="AD85" s="10">
        <v>7</v>
      </c>
      <c r="AE85" s="10">
        <v>0.02</v>
      </c>
      <c r="AF85" s="10">
        <v>36.6</v>
      </c>
      <c r="AG85" s="2">
        <f t="shared" si="40"/>
        <v>1830</v>
      </c>
      <c r="AH85" s="2" t="str">
        <f t="shared" si="30"/>
        <v>1</v>
      </c>
      <c r="AI85" s="3" t="str">
        <f t="shared" si="31"/>
        <v>1</v>
      </c>
      <c r="AJ85" s="3">
        <f t="shared" si="32"/>
        <v>1</v>
      </c>
      <c r="AK85" s="2">
        <v>14</v>
      </c>
      <c r="AL85" s="2" t="str">
        <f t="shared" si="33"/>
        <v>1</v>
      </c>
      <c r="AM85" s="10">
        <v>26.8</v>
      </c>
      <c r="AN85" s="10">
        <v>5.0920000000000005</v>
      </c>
      <c r="AO85" s="10">
        <v>66.900000000000006</v>
      </c>
      <c r="AP85" s="10">
        <v>12.711000000000002</v>
      </c>
      <c r="AQ85" s="10" t="s">
        <v>61</v>
      </c>
      <c r="AR85" s="10" t="s">
        <v>61</v>
      </c>
      <c r="AS85" s="10">
        <v>40</v>
      </c>
      <c r="AT85" s="2" t="str">
        <f t="shared" si="34"/>
        <v>1</v>
      </c>
      <c r="AU85" s="10">
        <v>1</v>
      </c>
      <c r="AV85" s="10">
        <v>1</v>
      </c>
      <c r="AW85" s="10">
        <v>1</v>
      </c>
      <c r="AX85" s="10" t="s">
        <v>61</v>
      </c>
      <c r="AY85" s="2">
        <v>1</v>
      </c>
      <c r="AZ85" s="10">
        <v>2008</v>
      </c>
      <c r="BA85" s="2">
        <f t="shared" si="35"/>
        <v>17</v>
      </c>
      <c r="BB85" s="2" t="str">
        <f t="shared" si="36"/>
        <v>2</v>
      </c>
      <c r="BC85" s="3">
        <v>1</v>
      </c>
      <c r="BD85" s="7">
        <f t="shared" si="39"/>
        <v>1.6</v>
      </c>
      <c r="BE85" s="62" t="s">
        <v>827</v>
      </c>
      <c r="BF85" s="62"/>
      <c r="BG85" s="8" t="s">
        <v>868</v>
      </c>
      <c r="BH85" s="2">
        <v>99</v>
      </c>
      <c r="BI85" s="10"/>
      <c r="BJ85" s="10"/>
      <c r="BK85" s="107">
        <v>46194</v>
      </c>
      <c r="BL85" s="10" t="s">
        <v>950</v>
      </c>
      <c r="BM85" s="10"/>
      <c r="BN85" s="61" t="s">
        <v>61</v>
      </c>
    </row>
    <row r="86" spans="1:66" ht="64" x14ac:dyDescent="0.2">
      <c r="A86" s="10">
        <v>20029067</v>
      </c>
      <c r="B86" s="10" t="s">
        <v>350</v>
      </c>
      <c r="C86" s="10">
        <v>30000</v>
      </c>
      <c r="D86" s="10" t="s">
        <v>152</v>
      </c>
      <c r="E86" s="10" t="s">
        <v>351</v>
      </c>
      <c r="F86" s="10" t="s">
        <v>352</v>
      </c>
      <c r="G86" s="10" t="s">
        <v>58</v>
      </c>
      <c r="H86" s="10" t="s">
        <v>59</v>
      </c>
      <c r="I86" s="10" t="s">
        <v>81</v>
      </c>
      <c r="J86" s="10" t="s">
        <v>82</v>
      </c>
      <c r="K86" s="10" t="s">
        <v>48</v>
      </c>
      <c r="L86" s="10">
        <v>110</v>
      </c>
      <c r="M86" s="10" t="s">
        <v>137</v>
      </c>
      <c r="N86" s="10" t="s">
        <v>60</v>
      </c>
      <c r="O86" s="10" t="s">
        <v>243</v>
      </c>
      <c r="P86" s="10">
        <v>16.8</v>
      </c>
      <c r="Q86" s="10">
        <v>15.4</v>
      </c>
      <c r="R86" s="10">
        <v>14.7</v>
      </c>
      <c r="S86" s="10">
        <v>3.1</v>
      </c>
      <c r="T86" s="2">
        <f t="shared" si="24"/>
        <v>50.000000000000007</v>
      </c>
      <c r="U86" s="10">
        <v>1318</v>
      </c>
      <c r="V86" s="10">
        <v>3809</v>
      </c>
      <c r="W86" s="2" t="str">
        <f t="shared" si="25"/>
        <v>5</v>
      </c>
      <c r="X86" s="2" t="str">
        <f t="shared" si="26"/>
        <v>3</v>
      </c>
      <c r="Y86" s="2" t="str">
        <f t="shared" si="27"/>
        <v>1</v>
      </c>
      <c r="Z86" s="3" t="str">
        <f t="shared" si="28"/>
        <v>1</v>
      </c>
      <c r="AA86" s="10">
        <v>0</v>
      </c>
      <c r="AB86" s="3">
        <f t="shared" si="37"/>
        <v>2.5</v>
      </c>
      <c r="AC86" s="10">
        <v>58</v>
      </c>
      <c r="AD86" s="10">
        <v>7</v>
      </c>
      <c r="AE86" s="10">
        <v>0.02</v>
      </c>
      <c r="AF86" s="10">
        <v>43.9</v>
      </c>
      <c r="AG86" s="2">
        <f t="shared" si="40"/>
        <v>2195</v>
      </c>
      <c r="AH86" s="2" t="str">
        <f t="shared" si="30"/>
        <v>1</v>
      </c>
      <c r="AI86" s="3" t="str">
        <f t="shared" si="31"/>
        <v>1</v>
      </c>
      <c r="AJ86" s="3">
        <f t="shared" si="32"/>
        <v>1</v>
      </c>
      <c r="AK86" s="2">
        <v>46</v>
      </c>
      <c r="AL86" s="2" t="str">
        <f t="shared" si="33"/>
        <v>1</v>
      </c>
      <c r="AM86" s="10">
        <v>157.5</v>
      </c>
      <c r="AN86" s="10">
        <v>47.25</v>
      </c>
      <c r="AO86" s="10">
        <v>334.7</v>
      </c>
      <c r="AP86" s="10">
        <v>165.47567999999998</v>
      </c>
      <c r="AQ86" s="10">
        <v>418.4</v>
      </c>
      <c r="AR86" s="10">
        <v>214.68104</v>
      </c>
      <c r="AS86" s="10">
        <v>51</v>
      </c>
      <c r="AT86" s="2" t="str">
        <f t="shared" si="34"/>
        <v>1</v>
      </c>
      <c r="AU86" s="10">
        <v>1</v>
      </c>
      <c r="AV86" s="10">
        <v>1</v>
      </c>
      <c r="AW86" s="10">
        <v>1</v>
      </c>
      <c r="AX86" s="10">
        <v>1</v>
      </c>
      <c r="AY86" s="2">
        <v>1</v>
      </c>
      <c r="AZ86" s="10">
        <v>1998</v>
      </c>
      <c r="BA86" s="2">
        <f t="shared" si="35"/>
        <v>27</v>
      </c>
      <c r="BB86" s="2" t="str">
        <f t="shared" si="36"/>
        <v>4</v>
      </c>
      <c r="BC86" s="3">
        <v>1</v>
      </c>
      <c r="BD86" s="7">
        <f t="shared" si="39"/>
        <v>1.45</v>
      </c>
      <c r="BE86" s="100" t="s">
        <v>828</v>
      </c>
      <c r="BF86" s="62"/>
      <c r="BG86" s="62"/>
      <c r="BH86" s="2">
        <v>11984</v>
      </c>
      <c r="BI86" s="10"/>
      <c r="BJ86" s="10"/>
      <c r="BK86" s="107">
        <v>46054</v>
      </c>
      <c r="BL86" s="10" t="s">
        <v>945</v>
      </c>
      <c r="BM86" s="10"/>
    </row>
    <row r="87" spans="1:66" ht="64" x14ac:dyDescent="0.2">
      <c r="A87" s="10">
        <v>20029067</v>
      </c>
      <c r="B87" s="10">
        <v>1054440599</v>
      </c>
      <c r="C87" s="10">
        <v>30000</v>
      </c>
      <c r="D87" s="10" t="s">
        <v>152</v>
      </c>
      <c r="E87" s="10" t="s">
        <v>351</v>
      </c>
      <c r="F87" s="10" t="s">
        <v>355</v>
      </c>
      <c r="G87" s="10" t="s">
        <v>58</v>
      </c>
      <c r="H87" s="10" t="s">
        <v>59</v>
      </c>
      <c r="I87" s="10" t="s">
        <v>81</v>
      </c>
      <c r="J87" s="10" t="s">
        <v>82</v>
      </c>
      <c r="K87" s="10" t="s">
        <v>48</v>
      </c>
      <c r="L87" s="10">
        <v>110</v>
      </c>
      <c r="M87" s="10" t="s">
        <v>137</v>
      </c>
      <c r="N87" s="10" t="s">
        <v>60</v>
      </c>
      <c r="O87" s="10" t="s">
        <v>243</v>
      </c>
      <c r="P87" s="10">
        <v>4.9000000000000004</v>
      </c>
      <c r="Q87" s="10">
        <v>10</v>
      </c>
      <c r="R87" s="10">
        <v>0.9</v>
      </c>
      <c r="S87" s="10">
        <v>1.1000000000000001</v>
      </c>
      <c r="T87" s="2">
        <f t="shared" si="24"/>
        <v>16.900000000000002</v>
      </c>
      <c r="U87" s="10">
        <v>992</v>
      </c>
      <c r="V87" s="10">
        <v>2855</v>
      </c>
      <c r="W87" s="2" t="str">
        <f t="shared" si="25"/>
        <v>5</v>
      </c>
      <c r="X87" s="2" t="str">
        <f t="shared" si="26"/>
        <v>2</v>
      </c>
      <c r="Y87" s="2" t="str">
        <f t="shared" si="27"/>
        <v>1</v>
      </c>
      <c r="Z87" s="3" t="str">
        <f t="shared" si="28"/>
        <v>1</v>
      </c>
      <c r="AA87" s="10">
        <v>0</v>
      </c>
      <c r="AB87" s="3">
        <f t="shared" si="37"/>
        <v>2.25</v>
      </c>
      <c r="AC87" s="10">
        <v>59</v>
      </c>
      <c r="AD87" s="10">
        <v>8</v>
      </c>
      <c r="AE87" s="10">
        <v>0.02</v>
      </c>
      <c r="AF87" s="10">
        <v>47.5</v>
      </c>
      <c r="AG87" s="2">
        <f t="shared" si="40"/>
        <v>2375</v>
      </c>
      <c r="AH87" s="2" t="str">
        <f t="shared" si="30"/>
        <v>1</v>
      </c>
      <c r="AI87" s="3" t="str">
        <f t="shared" si="31"/>
        <v>1</v>
      </c>
      <c r="AJ87" s="3">
        <f t="shared" si="32"/>
        <v>1</v>
      </c>
      <c r="AK87" s="2">
        <v>14</v>
      </c>
      <c r="AL87" s="2" t="str">
        <f t="shared" si="33"/>
        <v>1</v>
      </c>
      <c r="AM87" s="10">
        <v>157.5</v>
      </c>
      <c r="AN87" s="10">
        <v>47.25</v>
      </c>
      <c r="AO87" s="10">
        <v>334.7</v>
      </c>
      <c r="AP87" s="10">
        <v>165.47567999999998</v>
      </c>
      <c r="AQ87" s="10">
        <v>418.7</v>
      </c>
      <c r="AR87" s="10">
        <v>214.83497</v>
      </c>
      <c r="AS87" s="10">
        <v>51</v>
      </c>
      <c r="AT87" s="2" t="str">
        <f t="shared" si="34"/>
        <v>1</v>
      </c>
      <c r="AU87" s="10">
        <v>1</v>
      </c>
      <c r="AV87" s="10">
        <v>1</v>
      </c>
      <c r="AW87" s="10">
        <v>1</v>
      </c>
      <c r="AX87" s="10">
        <v>1</v>
      </c>
      <c r="AY87" s="2">
        <v>1</v>
      </c>
      <c r="AZ87" s="10">
        <v>2020</v>
      </c>
      <c r="BA87" s="2">
        <f t="shared" si="35"/>
        <v>5</v>
      </c>
      <c r="BB87" s="2" t="str">
        <f t="shared" si="36"/>
        <v>1</v>
      </c>
      <c r="BC87" s="3">
        <v>1</v>
      </c>
      <c r="BD87" s="7">
        <f t="shared" si="39"/>
        <v>1.25</v>
      </c>
      <c r="BE87" s="100" t="s">
        <v>828</v>
      </c>
      <c r="BF87" s="62"/>
      <c r="BG87" s="62"/>
      <c r="BH87" s="2">
        <v>2615</v>
      </c>
      <c r="BI87" s="10"/>
      <c r="BJ87" s="10"/>
      <c r="BK87" s="107">
        <v>46054</v>
      </c>
      <c r="BL87" s="10" t="s">
        <v>945</v>
      </c>
      <c r="BM87" s="10"/>
    </row>
    <row r="88" spans="1:66" ht="64" x14ac:dyDescent="0.2">
      <c r="A88" s="10">
        <v>20700411</v>
      </c>
      <c r="B88" s="10">
        <v>200719</v>
      </c>
      <c r="C88" s="10">
        <v>30000</v>
      </c>
      <c r="D88" s="10" t="s">
        <v>152</v>
      </c>
      <c r="E88" s="10" t="s">
        <v>356</v>
      </c>
      <c r="F88" s="10" t="s">
        <v>357</v>
      </c>
      <c r="G88" s="10" t="s">
        <v>125</v>
      </c>
      <c r="H88" s="10" t="s">
        <v>148</v>
      </c>
      <c r="I88" s="10" t="s">
        <v>81</v>
      </c>
      <c r="J88" s="10" t="s">
        <v>82</v>
      </c>
      <c r="K88" s="10" t="s">
        <v>48</v>
      </c>
      <c r="L88" s="10">
        <v>110</v>
      </c>
      <c r="M88" s="10" t="s">
        <v>137</v>
      </c>
      <c r="N88" s="10" t="s">
        <v>60</v>
      </c>
      <c r="O88" s="10" t="s">
        <v>243</v>
      </c>
      <c r="P88" s="10">
        <v>30</v>
      </c>
      <c r="Q88" s="10">
        <v>59</v>
      </c>
      <c r="R88" s="10">
        <v>8.4</v>
      </c>
      <c r="S88" s="10">
        <v>9.6</v>
      </c>
      <c r="T88" s="2">
        <f t="shared" si="24"/>
        <v>107</v>
      </c>
      <c r="U88" s="10">
        <v>396</v>
      </c>
      <c r="V88" s="10">
        <v>1995</v>
      </c>
      <c r="W88" s="2" t="str">
        <f t="shared" si="25"/>
        <v>3</v>
      </c>
      <c r="X88" s="2" t="str">
        <f t="shared" si="26"/>
        <v>2</v>
      </c>
      <c r="Y88" s="2" t="str">
        <f t="shared" si="27"/>
        <v>2</v>
      </c>
      <c r="Z88" s="3" t="str">
        <f t="shared" si="28"/>
        <v>1</v>
      </c>
      <c r="AA88" s="10">
        <v>0.1</v>
      </c>
      <c r="AB88" s="3">
        <f t="shared" si="37"/>
        <v>2</v>
      </c>
      <c r="AC88" s="10">
        <v>54</v>
      </c>
      <c r="AD88" s="10">
        <v>6</v>
      </c>
      <c r="AE88" s="10">
        <v>0.02</v>
      </c>
      <c r="AF88" s="10">
        <v>43.9</v>
      </c>
      <c r="AG88" s="2">
        <f t="shared" si="40"/>
        <v>2195</v>
      </c>
      <c r="AH88" s="2" t="str">
        <f t="shared" si="30"/>
        <v>1</v>
      </c>
      <c r="AI88" s="3" t="str">
        <f t="shared" si="31"/>
        <v>1</v>
      </c>
      <c r="AJ88" s="3">
        <f t="shared" si="32"/>
        <v>1</v>
      </c>
      <c r="AK88" s="2">
        <v>15</v>
      </c>
      <c r="AL88" s="2" t="str">
        <f t="shared" si="33"/>
        <v>1</v>
      </c>
      <c r="AM88" s="10">
        <v>157.5</v>
      </c>
      <c r="AN88" s="10">
        <v>96.075000000000003</v>
      </c>
      <c r="AO88" s="10">
        <v>334.7</v>
      </c>
      <c r="AP88" s="10">
        <v>297.88299999999998</v>
      </c>
      <c r="AQ88" s="10">
        <v>418.4</v>
      </c>
      <c r="AR88" s="10">
        <v>133.88800000000001</v>
      </c>
      <c r="AS88" s="10">
        <v>89</v>
      </c>
      <c r="AT88" s="2" t="str">
        <f t="shared" si="34"/>
        <v>4</v>
      </c>
      <c r="AU88" s="10">
        <v>1</v>
      </c>
      <c r="AV88" s="10">
        <v>5</v>
      </c>
      <c r="AW88" s="10">
        <v>1</v>
      </c>
      <c r="AX88" s="10">
        <v>1</v>
      </c>
      <c r="AY88" s="2">
        <v>1</v>
      </c>
      <c r="AZ88" s="10">
        <v>2009</v>
      </c>
      <c r="BA88" s="2">
        <f t="shared" si="35"/>
        <v>16</v>
      </c>
      <c r="BB88" s="2" t="str">
        <f t="shared" si="36"/>
        <v>2</v>
      </c>
      <c r="BC88" s="3">
        <v>1</v>
      </c>
      <c r="BD88" s="7">
        <f t="shared" si="39"/>
        <v>1.55</v>
      </c>
      <c r="BE88" s="62" t="s">
        <v>820</v>
      </c>
      <c r="BF88" s="62"/>
      <c r="BG88" s="8" t="s">
        <v>869</v>
      </c>
      <c r="BH88" s="2">
        <v>5539</v>
      </c>
      <c r="BI88" s="10"/>
      <c r="BJ88" s="10"/>
      <c r="BK88" s="10"/>
      <c r="BL88" s="10"/>
      <c r="BM88" s="10"/>
    </row>
    <row r="89" spans="1:66" ht="32" x14ac:dyDescent="0.2">
      <c r="A89" s="10">
        <v>20027680</v>
      </c>
      <c r="B89" s="10">
        <v>200117</v>
      </c>
      <c r="C89" s="10">
        <v>12500</v>
      </c>
      <c r="D89" s="10" t="s">
        <v>73</v>
      </c>
      <c r="E89" s="10" t="s">
        <v>360</v>
      </c>
      <c r="F89" s="101" t="s">
        <v>361</v>
      </c>
      <c r="G89" s="10" t="s">
        <v>58</v>
      </c>
      <c r="H89" s="10" t="s">
        <v>59</v>
      </c>
      <c r="I89" s="10" t="s">
        <v>81</v>
      </c>
      <c r="J89" s="10" t="s">
        <v>143</v>
      </c>
      <c r="K89" s="10" t="s">
        <v>48</v>
      </c>
      <c r="L89" s="10" t="s">
        <v>76</v>
      </c>
      <c r="M89" s="10" t="s">
        <v>60</v>
      </c>
      <c r="N89" s="10" t="s">
        <v>61</v>
      </c>
      <c r="O89" s="10" t="s">
        <v>164</v>
      </c>
      <c r="P89" s="10">
        <v>105</v>
      </c>
      <c r="Q89" s="10">
        <v>38</v>
      </c>
      <c r="R89" s="10">
        <v>80</v>
      </c>
      <c r="S89" s="10">
        <v>8.9</v>
      </c>
      <c r="T89" s="2">
        <f t="shared" si="24"/>
        <v>231.9</v>
      </c>
      <c r="U89" s="10">
        <v>1239</v>
      </c>
      <c r="V89" s="10">
        <v>14740</v>
      </c>
      <c r="W89" s="2" t="str">
        <f t="shared" si="25"/>
        <v>5</v>
      </c>
      <c r="X89" s="2" t="str">
        <f t="shared" si="26"/>
        <v>5</v>
      </c>
      <c r="Y89" s="2" t="str">
        <f t="shared" si="27"/>
        <v>3</v>
      </c>
      <c r="Z89" s="3" t="str">
        <f t="shared" si="28"/>
        <v>1</v>
      </c>
      <c r="AA89" s="10">
        <v>0</v>
      </c>
      <c r="AB89" s="3">
        <f t="shared" si="37"/>
        <v>3.5</v>
      </c>
      <c r="AC89" s="10">
        <v>52</v>
      </c>
      <c r="AD89" s="10">
        <v>10</v>
      </c>
      <c r="AE89" s="10">
        <v>0.03</v>
      </c>
      <c r="AF89" s="10">
        <v>38.700000000000003</v>
      </c>
      <c r="AG89" s="2">
        <f t="shared" si="40"/>
        <v>1290.0000000000002</v>
      </c>
      <c r="AH89" s="2" t="str">
        <f t="shared" si="30"/>
        <v>1</v>
      </c>
      <c r="AI89" s="3" t="str">
        <f t="shared" si="31"/>
        <v>2</v>
      </c>
      <c r="AJ89" s="3">
        <f t="shared" si="32"/>
        <v>1.2000000000000002</v>
      </c>
      <c r="AK89" s="2">
        <v>87</v>
      </c>
      <c r="AL89" s="2" t="str">
        <f t="shared" si="33"/>
        <v>1</v>
      </c>
      <c r="AM89" s="10">
        <v>209.1</v>
      </c>
      <c r="AN89" s="10">
        <v>194.46299999999999</v>
      </c>
      <c r="AO89" s="10">
        <v>522.96</v>
      </c>
      <c r="AP89" s="10">
        <v>486.35280000000006</v>
      </c>
      <c r="AQ89" s="10" t="s">
        <v>61</v>
      </c>
      <c r="AR89" s="10" t="s">
        <v>61</v>
      </c>
      <c r="AS89" s="10">
        <v>98</v>
      </c>
      <c r="AT89" s="2" t="str">
        <f t="shared" si="34"/>
        <v>5</v>
      </c>
      <c r="AU89" s="10">
        <v>1</v>
      </c>
      <c r="AV89" s="10">
        <v>1</v>
      </c>
      <c r="AW89" s="10">
        <v>1</v>
      </c>
      <c r="AX89" s="10">
        <v>1</v>
      </c>
      <c r="AY89" s="2">
        <v>1</v>
      </c>
      <c r="AZ89" s="10">
        <v>1999</v>
      </c>
      <c r="BA89" s="2">
        <f t="shared" si="35"/>
        <v>26</v>
      </c>
      <c r="BB89" s="2" t="str">
        <f t="shared" si="36"/>
        <v>4</v>
      </c>
      <c r="BC89" s="3">
        <v>1</v>
      </c>
      <c r="BD89" s="7">
        <v>4</v>
      </c>
      <c r="BE89" s="10" t="s">
        <v>976</v>
      </c>
      <c r="BF89" s="62"/>
      <c r="BG89" s="8" t="s">
        <v>865</v>
      </c>
      <c r="BH89" s="2">
        <v>9942</v>
      </c>
      <c r="BI89" s="10"/>
      <c r="BJ89" s="10" t="s">
        <v>922</v>
      </c>
      <c r="BK89" s="107">
        <v>46137</v>
      </c>
      <c r="BL89" s="10" t="s">
        <v>949</v>
      </c>
      <c r="BM89" s="10"/>
      <c r="BN89" s="61" t="s">
        <v>997</v>
      </c>
    </row>
    <row r="90" spans="1:66" ht="64" x14ac:dyDescent="0.2">
      <c r="A90" s="10"/>
      <c r="B90" s="10">
        <v>1072462802</v>
      </c>
      <c r="C90" s="10">
        <v>12500</v>
      </c>
      <c r="D90" s="10" t="s">
        <v>73</v>
      </c>
      <c r="E90" s="10" t="s">
        <v>674</v>
      </c>
      <c r="F90" s="10" t="s">
        <v>678</v>
      </c>
      <c r="G90" s="10" t="s">
        <v>58</v>
      </c>
      <c r="H90" s="10" t="s">
        <v>59</v>
      </c>
      <c r="I90" s="10"/>
      <c r="J90" s="10"/>
      <c r="K90" s="10"/>
      <c r="L90" s="10"/>
      <c r="M90" s="10"/>
      <c r="N90" s="10"/>
      <c r="O90" s="10"/>
      <c r="P90" s="10">
        <v>11.4</v>
      </c>
      <c r="Q90" s="10">
        <v>4.4000000000000004</v>
      </c>
      <c r="R90" s="10">
        <v>2.4</v>
      </c>
      <c r="S90" s="10">
        <v>0.7</v>
      </c>
      <c r="T90" s="2">
        <f t="shared" si="24"/>
        <v>18.899999999999999</v>
      </c>
      <c r="U90" s="10">
        <v>683</v>
      </c>
      <c r="V90" s="10">
        <v>1054</v>
      </c>
      <c r="W90" s="2"/>
      <c r="X90" s="2"/>
      <c r="Y90" s="2"/>
      <c r="Z90" s="3"/>
      <c r="AA90" s="10">
        <v>0</v>
      </c>
      <c r="AB90" s="3">
        <f t="shared" si="37"/>
        <v>0</v>
      </c>
      <c r="AC90" s="10">
        <v>58</v>
      </c>
      <c r="AD90" s="10">
        <v>5</v>
      </c>
      <c r="AE90" s="10">
        <v>0.02</v>
      </c>
      <c r="AF90" s="10">
        <v>46.2</v>
      </c>
      <c r="AG90" s="2"/>
      <c r="AH90" s="2"/>
      <c r="AI90" s="3"/>
      <c r="AJ90" s="3"/>
      <c r="AK90" s="2">
        <v>14</v>
      </c>
      <c r="AL90" s="2" t="str">
        <f t="shared" si="33"/>
        <v>1</v>
      </c>
      <c r="AM90" s="10"/>
      <c r="AN90" s="10"/>
      <c r="AO90" s="10"/>
      <c r="AP90" s="10"/>
      <c r="AQ90" s="10"/>
      <c r="AR90" s="10"/>
      <c r="AS90" s="10"/>
      <c r="AT90" s="2" t="str">
        <f t="shared" si="34"/>
        <v>1</v>
      </c>
      <c r="AU90" s="10"/>
      <c r="AV90" s="10"/>
      <c r="AW90" s="10"/>
      <c r="AX90" s="10"/>
      <c r="AY90" s="2">
        <v>1</v>
      </c>
      <c r="AZ90" s="10">
        <v>2023</v>
      </c>
      <c r="BA90" s="2">
        <f t="shared" si="35"/>
        <v>2</v>
      </c>
      <c r="BB90" s="2" t="str">
        <f t="shared" si="36"/>
        <v>1</v>
      </c>
      <c r="BC90" s="3">
        <v>1</v>
      </c>
      <c r="BD90" s="7">
        <f>(AB90*0.2)+(AJ90*0.23)+(AL90*0.05)+(AT90*0.1)+(AY90*0.18)+(BB90*0.05)+(BC90*0.19)</f>
        <v>0.57000000000000006</v>
      </c>
      <c r="BE90" s="100" t="s">
        <v>828</v>
      </c>
      <c r="BF90" s="62"/>
      <c r="BG90" s="62"/>
      <c r="BH90" s="2">
        <v>6673</v>
      </c>
      <c r="BI90" s="10"/>
      <c r="BJ90" s="10"/>
      <c r="BK90" s="107">
        <v>46173</v>
      </c>
      <c r="BL90" s="10" t="s">
        <v>934</v>
      </c>
      <c r="BM90" s="10"/>
    </row>
    <row r="91" spans="1:66" ht="32" x14ac:dyDescent="0.2">
      <c r="A91" s="10">
        <v>20037685</v>
      </c>
      <c r="B91" s="10">
        <v>8681</v>
      </c>
      <c r="C91" s="10">
        <v>4000</v>
      </c>
      <c r="D91" s="10" t="s">
        <v>73</v>
      </c>
      <c r="E91" s="101" t="s">
        <v>364</v>
      </c>
      <c r="F91" s="10" t="s">
        <v>365</v>
      </c>
      <c r="G91" s="10" t="s">
        <v>125</v>
      </c>
      <c r="H91" s="10" t="s">
        <v>148</v>
      </c>
      <c r="I91" s="10" t="s">
        <v>65</v>
      </c>
      <c r="J91" s="10" t="s">
        <v>61</v>
      </c>
      <c r="K91" s="10" t="s">
        <v>66</v>
      </c>
      <c r="L91" s="10" t="s">
        <v>76</v>
      </c>
      <c r="M91" s="10" t="s">
        <v>60</v>
      </c>
      <c r="N91" s="10" t="s">
        <v>61</v>
      </c>
      <c r="O91" s="10" t="s">
        <v>130</v>
      </c>
      <c r="P91" s="10">
        <v>3.5</v>
      </c>
      <c r="Q91" s="10">
        <v>3.9</v>
      </c>
      <c r="R91" s="10">
        <v>15.7</v>
      </c>
      <c r="S91" s="10">
        <v>1</v>
      </c>
      <c r="T91" s="2">
        <f t="shared" si="24"/>
        <v>24.1</v>
      </c>
      <c r="U91" s="10">
        <v>192</v>
      </c>
      <c r="V91" s="10">
        <v>2949</v>
      </c>
      <c r="W91" s="2" t="str">
        <f t="shared" ref="W91:W122" si="41">IF(U91&gt;=750,"5",IF(U91&gt;=550,"4",IF(U91&gt;=300,"3",IF(U91&gt;=100,"2","1"))))</f>
        <v>2</v>
      </c>
      <c r="X91" s="2" t="str">
        <f t="shared" ref="X91:X122" si="42">IF(V91&gt;=7001,"5",IF(V91&gt;=5000,"4",IF(V91&gt;=3000,"3",IF(V91&gt;=1500,"2","1"))))</f>
        <v>2</v>
      </c>
      <c r="Y91" s="2" t="str">
        <f t="shared" ref="Y91:Y122" si="43">IF(T91&gt;=401,"5",IF(T91&gt;=301,"4",IF(T91&gt;=201,"3",IF(T91&gt;=95,"2","1"))))</f>
        <v>1</v>
      </c>
      <c r="Z91" s="3" t="str">
        <f t="shared" ref="Z91:Z122" si="44">IF(AA91&gt;=7,"5",IF(AA91&gt;=6,"4",IF(AA91&gt;=5,"3",IF(AA91&gt;=2,"2","1"))))</f>
        <v>5</v>
      </c>
      <c r="AA91" s="10">
        <v>9.6999999999999993</v>
      </c>
      <c r="AB91" s="3">
        <f t="shared" si="37"/>
        <v>2.5</v>
      </c>
      <c r="AC91" s="10">
        <v>23</v>
      </c>
      <c r="AD91" s="10">
        <v>23</v>
      </c>
      <c r="AE91" s="10">
        <v>0.02</v>
      </c>
      <c r="AF91" s="10">
        <v>34.9</v>
      </c>
      <c r="AG91" s="2">
        <f t="shared" ref="AG91:AG122" si="45">AF91/AE91</f>
        <v>1745</v>
      </c>
      <c r="AH91" s="2" t="str">
        <f t="shared" ref="AH91:AH122" si="46">IF(AC91&lt;=16,"5",IF(AC91&lt;=20,"4",IF(AC91&lt;=25,"3",IF(AC91&lt;=33,"2","1"))))</f>
        <v>3</v>
      </c>
      <c r="AI91" s="3" t="str">
        <f t="shared" ref="AI91:AI122" si="47">IF(AG91&lt;=713,"5",IF(AG91&lt;=999,"4",IF(AG91&lt;=1130,"3",IF(AG91&lt;=1499,"2","1"))))</f>
        <v>1</v>
      </c>
      <c r="AJ91" s="3">
        <f t="shared" ref="AJ91:AJ122" si="48">AH91*0.8+AI91*0.2</f>
        <v>2.6000000000000005</v>
      </c>
      <c r="AK91" s="2">
        <v>1222</v>
      </c>
      <c r="AL91" s="2">
        <v>3</v>
      </c>
      <c r="AM91" s="10">
        <v>66.930000000000007</v>
      </c>
      <c r="AN91" s="10">
        <v>47.520300000000006</v>
      </c>
      <c r="AO91" s="10">
        <v>167.34</v>
      </c>
      <c r="AP91" s="10">
        <v>118.81139999999999</v>
      </c>
      <c r="AQ91" s="10" t="s">
        <v>61</v>
      </c>
      <c r="AR91" s="10" t="s">
        <v>61</v>
      </c>
      <c r="AS91" s="10">
        <v>71</v>
      </c>
      <c r="AT91" s="2">
        <v>4</v>
      </c>
      <c r="AU91" s="10">
        <v>1</v>
      </c>
      <c r="AV91" s="10">
        <v>1</v>
      </c>
      <c r="AW91" s="10">
        <v>1</v>
      </c>
      <c r="AX91" s="10" t="s">
        <v>61</v>
      </c>
      <c r="AY91" s="2">
        <v>1</v>
      </c>
      <c r="AZ91" s="10">
        <v>1997</v>
      </c>
      <c r="BA91" s="2">
        <f t="shared" si="35"/>
        <v>28</v>
      </c>
      <c r="BB91" s="2" t="str">
        <f t="shared" si="36"/>
        <v>4</v>
      </c>
      <c r="BC91" s="3">
        <v>1</v>
      </c>
      <c r="BD91" s="7">
        <f>(AB91*0.2)+(AJ91*0.23)+(AL91*0.05)+(AT91*0.1)+(AY91*0.18)+(BB91*0.05)+(BC91*0.19)</f>
        <v>2.218</v>
      </c>
      <c r="BE91" s="10" t="s">
        <v>842</v>
      </c>
      <c r="BF91" s="62"/>
      <c r="BG91" s="8" t="s">
        <v>865</v>
      </c>
      <c r="BH91" s="2">
        <v>6853</v>
      </c>
      <c r="BI91" s="10"/>
      <c r="BJ91" s="10" t="s">
        <v>929</v>
      </c>
      <c r="BK91" s="10"/>
      <c r="BL91" s="10"/>
      <c r="BM91" s="10"/>
    </row>
    <row r="92" spans="1:66" ht="64" x14ac:dyDescent="0.2">
      <c r="A92" s="10">
        <v>20057689</v>
      </c>
      <c r="B92" s="10">
        <v>1057609400</v>
      </c>
      <c r="C92" s="10">
        <v>2500</v>
      </c>
      <c r="D92" s="10" t="s">
        <v>73</v>
      </c>
      <c r="E92" s="10" t="s">
        <v>366</v>
      </c>
      <c r="F92" s="10" t="s">
        <v>367</v>
      </c>
      <c r="G92" s="10" t="s">
        <v>125</v>
      </c>
      <c r="H92" s="10" t="s">
        <v>126</v>
      </c>
      <c r="I92" s="10" t="s">
        <v>65</v>
      </c>
      <c r="J92" s="10" t="s">
        <v>61</v>
      </c>
      <c r="K92" s="10" t="s">
        <v>66</v>
      </c>
      <c r="L92" s="10" t="s">
        <v>76</v>
      </c>
      <c r="M92" s="10" t="s">
        <v>60</v>
      </c>
      <c r="N92" s="10" t="s">
        <v>61</v>
      </c>
      <c r="O92" s="10" t="s">
        <v>77</v>
      </c>
      <c r="P92" s="10">
        <v>77</v>
      </c>
      <c r="Q92" s="10">
        <v>37</v>
      </c>
      <c r="R92" s="10">
        <v>3.6</v>
      </c>
      <c r="S92" s="10">
        <v>5.9</v>
      </c>
      <c r="T92" s="2">
        <f t="shared" si="24"/>
        <v>123.5</v>
      </c>
      <c r="U92" s="10">
        <v>801</v>
      </c>
      <c r="V92" s="10">
        <v>6912</v>
      </c>
      <c r="W92" s="2" t="str">
        <f t="shared" si="41"/>
        <v>5</v>
      </c>
      <c r="X92" s="2" t="str">
        <f t="shared" si="42"/>
        <v>4</v>
      </c>
      <c r="Y92" s="2" t="str">
        <f t="shared" si="43"/>
        <v>2</v>
      </c>
      <c r="Z92" s="3" t="str">
        <f t="shared" si="44"/>
        <v>1</v>
      </c>
      <c r="AA92" s="10">
        <v>0</v>
      </c>
      <c r="AB92" s="3">
        <f t="shared" si="37"/>
        <v>3</v>
      </c>
      <c r="AC92" s="10">
        <v>42</v>
      </c>
      <c r="AD92" s="10">
        <v>13</v>
      </c>
      <c r="AE92" s="10">
        <v>0.02</v>
      </c>
      <c r="AF92" s="10">
        <v>42.7</v>
      </c>
      <c r="AG92" s="2">
        <f t="shared" si="45"/>
        <v>2135</v>
      </c>
      <c r="AH92" s="2" t="str">
        <f t="shared" si="46"/>
        <v>1</v>
      </c>
      <c r="AI92" s="3" t="str">
        <f t="shared" si="47"/>
        <v>1</v>
      </c>
      <c r="AJ92" s="3">
        <f t="shared" si="48"/>
        <v>1</v>
      </c>
      <c r="AK92" s="2">
        <v>14</v>
      </c>
      <c r="AL92" s="2" t="str">
        <f t="shared" si="33"/>
        <v>1</v>
      </c>
      <c r="AM92" s="10">
        <v>41.84</v>
      </c>
      <c r="AN92" s="10">
        <v>17.572800000000001</v>
      </c>
      <c r="AO92" s="10">
        <v>104.58</v>
      </c>
      <c r="AP92" s="10">
        <v>43.9236</v>
      </c>
      <c r="AQ92" s="10" t="s">
        <v>61</v>
      </c>
      <c r="AR92" s="10" t="s">
        <v>61</v>
      </c>
      <c r="AS92" s="10">
        <v>43</v>
      </c>
      <c r="AT92" s="2" t="str">
        <f t="shared" si="34"/>
        <v>1</v>
      </c>
      <c r="AU92" s="10">
        <v>1</v>
      </c>
      <c r="AV92" s="10">
        <v>1</v>
      </c>
      <c r="AW92" s="10">
        <v>1</v>
      </c>
      <c r="AX92" s="10" t="s">
        <v>61</v>
      </c>
      <c r="AY92" s="2">
        <v>1</v>
      </c>
      <c r="AZ92" s="10">
        <v>2020</v>
      </c>
      <c r="BA92" s="2">
        <f t="shared" si="35"/>
        <v>5</v>
      </c>
      <c r="BB92" s="2" t="str">
        <f t="shared" si="36"/>
        <v>1</v>
      </c>
      <c r="BC92" s="3">
        <v>1</v>
      </c>
      <c r="BD92" s="7">
        <f t="shared" ref="BD92:BD99" si="49">(AB92*0.2)+(AJ92*0.23)+(AL92*0.05)+(AT92*0.1)+(AY92*0.18)+(BB92*0.05)+(BC92*0.19)</f>
        <v>1.4000000000000001</v>
      </c>
      <c r="BE92" s="100" t="s">
        <v>828</v>
      </c>
      <c r="BF92" s="62"/>
      <c r="BG92" s="62"/>
      <c r="BH92" s="2">
        <v>4607</v>
      </c>
      <c r="BI92" s="10"/>
      <c r="BJ92" s="10"/>
      <c r="BK92" s="10"/>
      <c r="BL92" s="10"/>
      <c r="BM92" s="10"/>
      <c r="BN92" s="61" t="s">
        <v>61</v>
      </c>
    </row>
    <row r="93" spans="1:66" ht="64" x14ac:dyDescent="0.2">
      <c r="A93" s="10">
        <v>20057668</v>
      </c>
      <c r="B93" s="10">
        <v>1057609396</v>
      </c>
      <c r="C93" s="10">
        <v>2500</v>
      </c>
      <c r="D93" s="10" t="s">
        <v>73</v>
      </c>
      <c r="E93" s="10" t="s">
        <v>368</v>
      </c>
      <c r="F93" s="10" t="s">
        <v>369</v>
      </c>
      <c r="G93" s="10" t="s">
        <v>125</v>
      </c>
      <c r="H93" s="10" t="s">
        <v>126</v>
      </c>
      <c r="I93" s="10" t="s">
        <v>65</v>
      </c>
      <c r="J93" s="10" t="s">
        <v>61</v>
      </c>
      <c r="K93" s="10" t="s">
        <v>66</v>
      </c>
      <c r="L93" s="10" t="s">
        <v>76</v>
      </c>
      <c r="M93" s="10" t="s">
        <v>60</v>
      </c>
      <c r="N93" s="10" t="s">
        <v>61</v>
      </c>
      <c r="O93" s="10" t="s">
        <v>77</v>
      </c>
      <c r="P93" s="10">
        <v>33</v>
      </c>
      <c r="Q93" s="10">
        <v>13.3</v>
      </c>
      <c r="R93" s="10">
        <v>4.4000000000000004</v>
      </c>
      <c r="S93" s="10">
        <v>2.2000000000000002</v>
      </c>
      <c r="T93" s="2">
        <f t="shared" si="24"/>
        <v>52.9</v>
      </c>
      <c r="U93" s="10">
        <v>920</v>
      </c>
      <c r="V93" s="10">
        <v>1856</v>
      </c>
      <c r="W93" s="2" t="str">
        <f t="shared" si="41"/>
        <v>5</v>
      </c>
      <c r="X93" s="2" t="str">
        <f t="shared" si="42"/>
        <v>2</v>
      </c>
      <c r="Y93" s="2" t="str">
        <f t="shared" si="43"/>
        <v>1</v>
      </c>
      <c r="Z93" s="3" t="str">
        <f t="shared" si="44"/>
        <v>1</v>
      </c>
      <c r="AA93" s="10">
        <v>0</v>
      </c>
      <c r="AB93" s="3">
        <f t="shared" si="37"/>
        <v>2.25</v>
      </c>
      <c r="AC93" s="10">
        <v>58</v>
      </c>
      <c r="AD93" s="10">
        <v>6</v>
      </c>
      <c r="AE93" s="10">
        <v>0.02</v>
      </c>
      <c r="AF93" s="10">
        <v>41</v>
      </c>
      <c r="AG93" s="2">
        <f t="shared" si="45"/>
        <v>2050</v>
      </c>
      <c r="AH93" s="2" t="str">
        <f t="shared" si="46"/>
        <v>1</v>
      </c>
      <c r="AI93" s="3" t="str">
        <f t="shared" si="47"/>
        <v>1</v>
      </c>
      <c r="AJ93" s="3">
        <f t="shared" si="48"/>
        <v>1</v>
      </c>
      <c r="AK93" s="2">
        <v>14</v>
      </c>
      <c r="AL93" s="2" t="str">
        <f t="shared" si="33"/>
        <v>1</v>
      </c>
      <c r="AM93" s="10">
        <v>41.84</v>
      </c>
      <c r="AN93" s="10">
        <v>17.154399999999999</v>
      </c>
      <c r="AO93" s="10">
        <v>104.58</v>
      </c>
      <c r="AP93" s="10">
        <v>42.877799999999993</v>
      </c>
      <c r="AQ93" s="10" t="s">
        <v>61</v>
      </c>
      <c r="AR93" s="10" t="s">
        <v>61</v>
      </c>
      <c r="AS93" s="10">
        <v>41</v>
      </c>
      <c r="AT93" s="2" t="str">
        <f t="shared" si="34"/>
        <v>1</v>
      </c>
      <c r="AU93" s="10">
        <v>1</v>
      </c>
      <c r="AV93" s="10">
        <v>1</v>
      </c>
      <c r="AW93" s="10">
        <v>1</v>
      </c>
      <c r="AX93" s="10" t="s">
        <v>61</v>
      </c>
      <c r="AY93" s="2">
        <v>1</v>
      </c>
      <c r="AZ93" s="10">
        <v>2020</v>
      </c>
      <c r="BA93" s="2">
        <f t="shared" si="35"/>
        <v>5</v>
      </c>
      <c r="BB93" s="2" t="str">
        <f t="shared" si="36"/>
        <v>1</v>
      </c>
      <c r="BC93" s="3">
        <v>1</v>
      </c>
      <c r="BD93" s="7">
        <f t="shared" si="49"/>
        <v>1.25</v>
      </c>
      <c r="BE93" s="100" t="s">
        <v>828</v>
      </c>
      <c r="BF93" s="62"/>
      <c r="BG93" s="62"/>
      <c r="BH93" s="2">
        <v>1400</v>
      </c>
      <c r="BI93" s="10"/>
      <c r="BJ93" s="10"/>
      <c r="BK93" s="10"/>
      <c r="BL93" s="10"/>
      <c r="BM93" s="10"/>
    </row>
    <row r="94" spans="1:66" ht="64" x14ac:dyDescent="0.2">
      <c r="A94" s="10">
        <v>20057677</v>
      </c>
      <c r="B94" s="10" t="s">
        <v>370</v>
      </c>
      <c r="C94" s="10">
        <v>1000</v>
      </c>
      <c r="D94" s="10" t="s">
        <v>73</v>
      </c>
      <c r="E94" s="10" t="s">
        <v>371</v>
      </c>
      <c r="F94" s="10" t="s">
        <v>372</v>
      </c>
      <c r="G94" s="10" t="s">
        <v>125</v>
      </c>
      <c r="H94" s="10" t="s">
        <v>126</v>
      </c>
      <c r="I94" s="10" t="s">
        <v>65</v>
      </c>
      <c r="J94" s="10" t="s">
        <v>61</v>
      </c>
      <c r="K94" s="10" t="s">
        <v>66</v>
      </c>
      <c r="L94" s="10" t="s">
        <v>76</v>
      </c>
      <c r="M94" s="10" t="s">
        <v>60</v>
      </c>
      <c r="N94" s="10" t="s">
        <v>61</v>
      </c>
      <c r="O94" s="10" t="s">
        <v>77</v>
      </c>
      <c r="P94" s="10">
        <v>1.5</v>
      </c>
      <c r="Q94" s="10">
        <v>3.2</v>
      </c>
      <c r="R94" s="10">
        <v>1.5</v>
      </c>
      <c r="S94" s="10">
        <v>0.3</v>
      </c>
      <c r="T94" s="2">
        <f t="shared" si="24"/>
        <v>6.5</v>
      </c>
      <c r="U94" s="10">
        <v>218</v>
      </c>
      <c r="V94" s="10">
        <v>1483</v>
      </c>
      <c r="W94" s="2" t="str">
        <f t="shared" si="41"/>
        <v>2</v>
      </c>
      <c r="X94" s="2" t="str">
        <f t="shared" si="42"/>
        <v>1</v>
      </c>
      <c r="Y94" s="2" t="str">
        <f t="shared" si="43"/>
        <v>1</v>
      </c>
      <c r="Z94" s="3" t="str">
        <f t="shared" si="44"/>
        <v>1</v>
      </c>
      <c r="AA94" s="10">
        <v>0</v>
      </c>
      <c r="AB94" s="3">
        <f t="shared" si="37"/>
        <v>1.25</v>
      </c>
      <c r="AC94" s="10">
        <v>56</v>
      </c>
      <c r="AD94" s="10">
        <v>5</v>
      </c>
      <c r="AE94" s="10">
        <v>0.02</v>
      </c>
      <c r="AF94" s="10">
        <v>42.1</v>
      </c>
      <c r="AG94" s="2">
        <f t="shared" si="45"/>
        <v>2105</v>
      </c>
      <c r="AH94" s="2" t="str">
        <f t="shared" si="46"/>
        <v>1</v>
      </c>
      <c r="AI94" s="3" t="str">
        <f t="shared" si="47"/>
        <v>1</v>
      </c>
      <c r="AJ94" s="3">
        <f t="shared" si="48"/>
        <v>1</v>
      </c>
      <c r="AK94" s="2">
        <v>3700</v>
      </c>
      <c r="AL94" s="2" t="str">
        <f t="shared" si="33"/>
        <v>3</v>
      </c>
      <c r="AM94" s="10">
        <v>16.73</v>
      </c>
      <c r="AN94" s="10">
        <v>7.1939000000000002</v>
      </c>
      <c r="AO94" s="10">
        <v>41.8</v>
      </c>
      <c r="AP94" s="10">
        <v>17.974</v>
      </c>
      <c r="AQ94" s="10" t="s">
        <v>61</v>
      </c>
      <c r="AR94" s="10" t="s">
        <v>61</v>
      </c>
      <c r="AS94" s="10">
        <v>43</v>
      </c>
      <c r="AT94" s="2" t="str">
        <f t="shared" si="34"/>
        <v>1</v>
      </c>
      <c r="AU94" s="10">
        <v>1</v>
      </c>
      <c r="AV94" s="10">
        <v>1</v>
      </c>
      <c r="AW94" s="10">
        <v>1</v>
      </c>
      <c r="AX94" s="10" t="s">
        <v>61</v>
      </c>
      <c r="AY94" s="2">
        <v>1</v>
      </c>
      <c r="AZ94" s="10">
        <v>2020</v>
      </c>
      <c r="BA94" s="2">
        <f t="shared" si="35"/>
        <v>5</v>
      </c>
      <c r="BB94" s="2" t="str">
        <f t="shared" si="36"/>
        <v>1</v>
      </c>
      <c r="BC94" s="3">
        <v>1</v>
      </c>
      <c r="BD94" s="7">
        <f t="shared" si="49"/>
        <v>1.1499999999999999</v>
      </c>
      <c r="BE94" s="100" t="s">
        <v>828</v>
      </c>
      <c r="BF94" s="62"/>
      <c r="BG94" s="62"/>
      <c r="BH94" s="2">
        <v>853</v>
      </c>
      <c r="BI94" s="10"/>
      <c r="BJ94" s="10"/>
      <c r="BK94" s="10"/>
      <c r="BL94" s="10"/>
      <c r="BM94" s="10"/>
    </row>
    <row r="95" spans="1:66" ht="80" x14ac:dyDescent="0.2">
      <c r="A95" s="10">
        <v>20700518</v>
      </c>
      <c r="B95" s="10">
        <v>253584</v>
      </c>
      <c r="C95" s="10">
        <v>1000</v>
      </c>
      <c r="D95" s="10" t="s">
        <v>73</v>
      </c>
      <c r="E95" s="10" t="s">
        <v>373</v>
      </c>
      <c r="F95" s="10" t="s">
        <v>374</v>
      </c>
      <c r="G95" s="10" t="s">
        <v>58</v>
      </c>
      <c r="H95" s="10" t="s">
        <v>59</v>
      </c>
      <c r="I95" s="10" t="s">
        <v>65</v>
      </c>
      <c r="J95" s="10" t="s">
        <v>61</v>
      </c>
      <c r="K95" s="10" t="s">
        <v>66</v>
      </c>
      <c r="L95" s="10" t="s">
        <v>76</v>
      </c>
      <c r="M95" s="10" t="s">
        <v>60</v>
      </c>
      <c r="N95" s="10" t="s">
        <v>61</v>
      </c>
      <c r="O95" s="10" t="s">
        <v>77</v>
      </c>
      <c r="P95" s="10">
        <v>33854</v>
      </c>
      <c r="Q95" s="10">
        <v>6676</v>
      </c>
      <c r="R95" s="10">
        <v>6.9</v>
      </c>
      <c r="S95" s="10">
        <v>1814</v>
      </c>
      <c r="T95" s="2">
        <f t="shared" si="24"/>
        <v>42350.9</v>
      </c>
      <c r="U95" s="10">
        <v>163</v>
      </c>
      <c r="V95" s="10">
        <v>1452</v>
      </c>
      <c r="W95" s="2" t="str">
        <f t="shared" si="41"/>
        <v>2</v>
      </c>
      <c r="X95" s="2" t="str">
        <f t="shared" si="42"/>
        <v>1</v>
      </c>
      <c r="Y95" s="2" t="str">
        <f t="shared" si="43"/>
        <v>5</v>
      </c>
      <c r="Z95" s="3" t="str">
        <f t="shared" si="44"/>
        <v>2</v>
      </c>
      <c r="AA95" s="10">
        <v>3</v>
      </c>
      <c r="AB95" s="3">
        <f t="shared" si="37"/>
        <v>2.5</v>
      </c>
      <c r="AC95" s="10">
        <v>44</v>
      </c>
      <c r="AD95" s="10">
        <v>13</v>
      </c>
      <c r="AE95" s="10">
        <v>0.02</v>
      </c>
      <c r="AF95" s="10">
        <v>36.700000000000003</v>
      </c>
      <c r="AG95" s="2">
        <f t="shared" si="45"/>
        <v>1835</v>
      </c>
      <c r="AH95" s="2" t="str">
        <f t="shared" si="46"/>
        <v>1</v>
      </c>
      <c r="AI95" s="3" t="str">
        <f t="shared" si="47"/>
        <v>1</v>
      </c>
      <c r="AJ95" s="3">
        <f t="shared" si="48"/>
        <v>1</v>
      </c>
      <c r="AK95" s="2">
        <v>15</v>
      </c>
      <c r="AL95" s="2" t="str">
        <f t="shared" si="33"/>
        <v>1</v>
      </c>
      <c r="AM95" s="10">
        <v>16.73</v>
      </c>
      <c r="AN95" s="10">
        <v>8.0304000000000002</v>
      </c>
      <c r="AO95" s="10">
        <v>41.99</v>
      </c>
      <c r="AP95" s="10">
        <v>20.155200000000001</v>
      </c>
      <c r="AQ95" s="10" t="s">
        <v>61</v>
      </c>
      <c r="AR95" s="10" t="s">
        <v>61</v>
      </c>
      <c r="AS95" s="10">
        <v>76</v>
      </c>
      <c r="AT95" s="2" t="str">
        <f t="shared" si="34"/>
        <v>4</v>
      </c>
      <c r="AU95" s="10">
        <v>1</v>
      </c>
      <c r="AV95" s="10">
        <v>1</v>
      </c>
      <c r="AW95" s="10">
        <v>5</v>
      </c>
      <c r="AX95" s="10" t="s">
        <v>61</v>
      </c>
      <c r="AY95" s="2">
        <v>1</v>
      </c>
      <c r="AZ95" s="10">
        <v>2005</v>
      </c>
      <c r="BA95" s="2">
        <f t="shared" si="35"/>
        <v>20</v>
      </c>
      <c r="BB95" s="2" t="str">
        <f t="shared" si="36"/>
        <v>3</v>
      </c>
      <c r="BC95" s="3">
        <v>1</v>
      </c>
      <c r="BD95" s="7">
        <f t="shared" si="49"/>
        <v>1.7000000000000002</v>
      </c>
      <c r="BE95" s="62" t="s">
        <v>827</v>
      </c>
      <c r="BF95" s="62"/>
      <c r="BG95" s="62"/>
      <c r="BH95" s="2">
        <v>509</v>
      </c>
      <c r="BI95" s="10"/>
      <c r="BJ95" s="10"/>
      <c r="BK95" s="107">
        <v>46194</v>
      </c>
      <c r="BL95" s="10" t="s">
        <v>934</v>
      </c>
      <c r="BM95" s="10"/>
    </row>
    <row r="96" spans="1:66" ht="64" x14ac:dyDescent="0.2">
      <c r="A96" s="10">
        <v>20027681</v>
      </c>
      <c r="B96" s="10">
        <v>55400119</v>
      </c>
      <c r="C96" s="10">
        <v>2300</v>
      </c>
      <c r="D96" s="10" t="s">
        <v>73</v>
      </c>
      <c r="E96" s="10" t="s">
        <v>376</v>
      </c>
      <c r="F96" s="10" t="s">
        <v>377</v>
      </c>
      <c r="G96" s="10" t="s">
        <v>58</v>
      </c>
      <c r="H96" s="10" t="s">
        <v>64</v>
      </c>
      <c r="I96" s="10" t="s">
        <v>65</v>
      </c>
      <c r="J96" s="10" t="s">
        <v>61</v>
      </c>
      <c r="K96" s="10" t="s">
        <v>66</v>
      </c>
      <c r="L96" s="10" t="s">
        <v>76</v>
      </c>
      <c r="M96" s="10" t="s">
        <v>60</v>
      </c>
      <c r="N96" s="10" t="s">
        <v>61</v>
      </c>
      <c r="O96" s="10" t="s">
        <v>77</v>
      </c>
      <c r="P96" s="10">
        <v>17.899999999999999</v>
      </c>
      <c r="Q96" s="10">
        <v>21</v>
      </c>
      <c r="R96" s="10">
        <v>4.7</v>
      </c>
      <c r="S96" s="10">
        <v>2.9</v>
      </c>
      <c r="T96" s="2">
        <f t="shared" si="24"/>
        <v>46.5</v>
      </c>
      <c r="U96" s="10">
        <v>648</v>
      </c>
      <c r="V96" s="10">
        <v>1289</v>
      </c>
      <c r="W96" s="2" t="str">
        <f t="shared" si="41"/>
        <v>4</v>
      </c>
      <c r="X96" s="2" t="str">
        <f t="shared" si="42"/>
        <v>1</v>
      </c>
      <c r="Y96" s="2" t="str">
        <f t="shared" si="43"/>
        <v>1</v>
      </c>
      <c r="Z96" s="3" t="str">
        <f t="shared" si="44"/>
        <v>1</v>
      </c>
      <c r="AA96" s="10">
        <v>0</v>
      </c>
      <c r="AB96" s="3">
        <f t="shared" si="37"/>
        <v>1.75</v>
      </c>
      <c r="AC96" s="10">
        <v>57</v>
      </c>
      <c r="AD96" s="10">
        <v>6</v>
      </c>
      <c r="AE96" s="10">
        <v>0.02</v>
      </c>
      <c r="AF96" s="10">
        <v>41.5</v>
      </c>
      <c r="AG96" s="2">
        <f t="shared" si="45"/>
        <v>2075</v>
      </c>
      <c r="AH96" s="2" t="str">
        <f t="shared" si="46"/>
        <v>1</v>
      </c>
      <c r="AI96" s="3" t="str">
        <f t="shared" si="47"/>
        <v>1</v>
      </c>
      <c r="AJ96" s="3">
        <f t="shared" si="48"/>
        <v>1</v>
      </c>
      <c r="AK96" s="2">
        <v>14</v>
      </c>
      <c r="AL96" s="2" t="str">
        <f t="shared" si="33"/>
        <v>1</v>
      </c>
      <c r="AM96" s="10">
        <v>38.49</v>
      </c>
      <c r="AN96" s="10">
        <v>12.701700000000001</v>
      </c>
      <c r="AO96" s="10">
        <v>96.22</v>
      </c>
      <c r="AP96" s="10">
        <v>31.752600000000001</v>
      </c>
      <c r="AQ96" s="10" t="s">
        <v>61</v>
      </c>
      <c r="AR96" s="10" t="s">
        <v>61</v>
      </c>
      <c r="AS96" s="10">
        <v>33</v>
      </c>
      <c r="AT96" s="2" t="str">
        <f t="shared" si="34"/>
        <v>1</v>
      </c>
      <c r="AU96" s="10">
        <v>1</v>
      </c>
      <c r="AV96" s="10">
        <v>1</v>
      </c>
      <c r="AW96" s="10">
        <v>1</v>
      </c>
      <c r="AX96" s="10" t="s">
        <v>61</v>
      </c>
      <c r="AY96" s="2">
        <v>1</v>
      </c>
      <c r="AZ96" s="10">
        <v>2019</v>
      </c>
      <c r="BA96" s="2">
        <f t="shared" si="35"/>
        <v>6</v>
      </c>
      <c r="BB96" s="2" t="str">
        <f t="shared" si="36"/>
        <v>1</v>
      </c>
      <c r="BC96" s="3">
        <v>1</v>
      </c>
      <c r="BD96" s="7">
        <f t="shared" si="49"/>
        <v>1.1500000000000001</v>
      </c>
      <c r="BE96" s="100" t="s">
        <v>828</v>
      </c>
      <c r="BF96" s="62"/>
      <c r="BG96" s="62"/>
      <c r="BH96" s="2">
        <v>1013</v>
      </c>
      <c r="BI96" s="10"/>
      <c r="BJ96" s="10"/>
      <c r="BK96" s="107">
        <v>46173</v>
      </c>
      <c r="BL96" s="10" t="s">
        <v>934</v>
      </c>
      <c r="BM96" s="10"/>
    </row>
    <row r="97" spans="1:66" ht="80" x14ac:dyDescent="0.2">
      <c r="A97" s="10">
        <v>20057679</v>
      </c>
      <c r="B97" s="10" t="s">
        <v>378</v>
      </c>
      <c r="C97" s="10">
        <v>20000</v>
      </c>
      <c r="D97" s="10" t="s">
        <v>152</v>
      </c>
      <c r="E97" s="10" t="s">
        <v>379</v>
      </c>
      <c r="F97" s="10" t="s">
        <v>380</v>
      </c>
      <c r="G97" s="10" t="s">
        <v>125</v>
      </c>
      <c r="H97" s="10" t="s">
        <v>126</v>
      </c>
      <c r="I97" s="10" t="s">
        <v>81</v>
      </c>
      <c r="J97" s="10" t="s">
        <v>82</v>
      </c>
      <c r="K97" s="10" t="s">
        <v>48</v>
      </c>
      <c r="L97" s="10" t="s">
        <v>76</v>
      </c>
      <c r="M97" s="10" t="s">
        <v>60</v>
      </c>
      <c r="N97" s="10" t="s">
        <v>61</v>
      </c>
      <c r="O97" s="10" t="s">
        <v>218</v>
      </c>
      <c r="P97" s="10">
        <v>3.6</v>
      </c>
      <c r="Q97" s="10">
        <v>3.1</v>
      </c>
      <c r="R97" s="10">
        <v>5.5</v>
      </c>
      <c r="S97" s="10">
        <v>0.5</v>
      </c>
      <c r="T97" s="2">
        <f t="shared" si="24"/>
        <v>12.7</v>
      </c>
      <c r="U97" s="10">
        <v>231</v>
      </c>
      <c r="V97" s="10">
        <v>2727</v>
      </c>
      <c r="W97" s="2" t="str">
        <f t="shared" si="41"/>
        <v>2</v>
      </c>
      <c r="X97" s="2" t="str">
        <f t="shared" si="42"/>
        <v>2</v>
      </c>
      <c r="Y97" s="2" t="str">
        <f t="shared" si="43"/>
        <v>1</v>
      </c>
      <c r="Z97" s="3" t="str">
        <f t="shared" si="44"/>
        <v>1</v>
      </c>
      <c r="AA97" s="10">
        <v>0</v>
      </c>
      <c r="AB97" s="3">
        <f t="shared" si="37"/>
        <v>1.5</v>
      </c>
      <c r="AC97" s="10">
        <v>32</v>
      </c>
      <c r="AD97" s="10">
        <v>16</v>
      </c>
      <c r="AE97" s="10">
        <v>0.02</v>
      </c>
      <c r="AF97" s="10">
        <v>40.9</v>
      </c>
      <c r="AG97" s="2">
        <f t="shared" si="45"/>
        <v>2045</v>
      </c>
      <c r="AH97" s="2" t="str">
        <f t="shared" si="46"/>
        <v>2</v>
      </c>
      <c r="AI97" s="3" t="str">
        <f t="shared" si="47"/>
        <v>1</v>
      </c>
      <c r="AJ97" s="3">
        <f t="shared" si="48"/>
        <v>1.8</v>
      </c>
      <c r="AK97" s="2">
        <v>725</v>
      </c>
      <c r="AL97" s="2" t="str">
        <f t="shared" si="33"/>
        <v>1</v>
      </c>
      <c r="AM97" s="10">
        <v>334.7</v>
      </c>
      <c r="AN97" s="10">
        <v>328.00599999999997</v>
      </c>
      <c r="AO97" s="10">
        <v>8366.7000000000007</v>
      </c>
      <c r="AP97" s="10">
        <v>8199.366</v>
      </c>
      <c r="AQ97" s="10" t="s">
        <v>61</v>
      </c>
      <c r="AR97" s="10" t="s">
        <v>61</v>
      </c>
      <c r="AS97" s="10">
        <v>44</v>
      </c>
      <c r="AT97" s="2" t="str">
        <f t="shared" si="34"/>
        <v>1</v>
      </c>
      <c r="AU97" s="10">
        <v>5</v>
      </c>
      <c r="AV97" s="10">
        <v>1</v>
      </c>
      <c r="AW97" s="10">
        <v>1</v>
      </c>
      <c r="AX97" s="10">
        <v>1</v>
      </c>
      <c r="AY97" s="2">
        <v>1</v>
      </c>
      <c r="AZ97" s="10">
        <v>1997</v>
      </c>
      <c r="BA97" s="2">
        <f t="shared" si="35"/>
        <v>28</v>
      </c>
      <c r="BB97" s="2" t="str">
        <f t="shared" si="36"/>
        <v>4</v>
      </c>
      <c r="BC97" s="3">
        <v>1</v>
      </c>
      <c r="BD97" s="7">
        <f t="shared" si="49"/>
        <v>1.4339999999999999</v>
      </c>
      <c r="BE97" s="100" t="s">
        <v>913</v>
      </c>
      <c r="BF97" s="62" t="s">
        <v>896</v>
      </c>
      <c r="BG97" s="8" t="s">
        <v>870</v>
      </c>
      <c r="BH97" s="2">
        <v>18758</v>
      </c>
      <c r="BI97" s="10" t="s">
        <v>967</v>
      </c>
      <c r="BJ97" s="10"/>
      <c r="BK97" s="107">
        <v>46093</v>
      </c>
      <c r="BL97" s="10" t="s">
        <v>934</v>
      </c>
      <c r="BM97" s="10"/>
      <c r="BN97" s="61" t="s">
        <v>997</v>
      </c>
    </row>
    <row r="98" spans="1:66" ht="96" x14ac:dyDescent="0.2">
      <c r="A98" s="10"/>
      <c r="B98" s="10" t="s">
        <v>677</v>
      </c>
      <c r="C98" s="10">
        <v>20000</v>
      </c>
      <c r="D98" s="10" t="s">
        <v>152</v>
      </c>
      <c r="E98" s="10" t="s">
        <v>379</v>
      </c>
      <c r="F98" s="10" t="s">
        <v>676</v>
      </c>
      <c r="G98" s="10" t="s">
        <v>125</v>
      </c>
      <c r="H98" s="10" t="s">
        <v>126</v>
      </c>
      <c r="I98" s="10" t="s">
        <v>81</v>
      </c>
      <c r="J98" s="10" t="s">
        <v>82</v>
      </c>
      <c r="K98" s="10" t="s">
        <v>66</v>
      </c>
      <c r="L98" s="10" t="s">
        <v>76</v>
      </c>
      <c r="M98" s="10" t="s">
        <v>60</v>
      </c>
      <c r="N98" s="10" t="s">
        <v>61</v>
      </c>
      <c r="O98" s="10" t="s">
        <v>218</v>
      </c>
      <c r="P98" s="10">
        <v>4.0999999999999996</v>
      </c>
      <c r="Q98" s="10">
        <v>2.2000000000000002</v>
      </c>
      <c r="R98" s="10">
        <v>10.5</v>
      </c>
      <c r="S98" s="10">
        <v>0.4</v>
      </c>
      <c r="T98" s="2">
        <f t="shared" si="24"/>
        <v>17.2</v>
      </c>
      <c r="U98" s="10">
        <v>169</v>
      </c>
      <c r="V98" s="10">
        <v>1157</v>
      </c>
      <c r="W98" s="2" t="str">
        <f t="shared" si="41"/>
        <v>2</v>
      </c>
      <c r="X98" s="2" t="str">
        <f t="shared" si="42"/>
        <v>1</v>
      </c>
      <c r="Y98" s="2" t="str">
        <f t="shared" si="43"/>
        <v>1</v>
      </c>
      <c r="Z98" s="3" t="str">
        <f t="shared" si="44"/>
        <v>1</v>
      </c>
      <c r="AA98" s="10">
        <v>0.8</v>
      </c>
      <c r="AB98" s="3">
        <f t="shared" si="37"/>
        <v>1.25</v>
      </c>
      <c r="AC98" s="10">
        <v>26</v>
      </c>
      <c r="AD98" s="10">
        <v>24</v>
      </c>
      <c r="AE98" s="10">
        <v>0.02</v>
      </c>
      <c r="AF98" s="10">
        <v>37.5</v>
      </c>
      <c r="AG98" s="2">
        <f t="shared" si="45"/>
        <v>1875</v>
      </c>
      <c r="AH98" s="2" t="str">
        <f t="shared" si="46"/>
        <v>2</v>
      </c>
      <c r="AI98" s="3" t="str">
        <f t="shared" si="47"/>
        <v>1</v>
      </c>
      <c r="AJ98" s="3">
        <f t="shared" si="48"/>
        <v>1.8</v>
      </c>
      <c r="AK98" s="2">
        <v>432</v>
      </c>
      <c r="AL98" s="2" t="str">
        <f t="shared" si="33"/>
        <v>1</v>
      </c>
      <c r="AM98" s="10">
        <v>349.91</v>
      </c>
      <c r="AN98" s="10">
        <v>100.4</v>
      </c>
      <c r="AO98" s="10">
        <v>836.74</v>
      </c>
      <c r="AP98" s="10">
        <v>251</v>
      </c>
      <c r="AQ98" s="10" t="s">
        <v>61</v>
      </c>
      <c r="AR98" s="10" t="s">
        <v>61</v>
      </c>
      <c r="AS98" s="59">
        <v>60</v>
      </c>
      <c r="AT98" s="2" t="str">
        <f t="shared" si="34"/>
        <v>2</v>
      </c>
      <c r="AU98" s="10">
        <v>1</v>
      </c>
      <c r="AV98" s="10">
        <v>1</v>
      </c>
      <c r="AW98" s="10">
        <v>1</v>
      </c>
      <c r="AX98" s="10">
        <v>1</v>
      </c>
      <c r="AY98" s="2">
        <v>1</v>
      </c>
      <c r="AZ98" s="10">
        <v>1979</v>
      </c>
      <c r="BA98" s="2">
        <f t="shared" si="35"/>
        <v>46</v>
      </c>
      <c r="BB98" s="2" t="str">
        <f t="shared" si="36"/>
        <v>5</v>
      </c>
      <c r="BC98" s="3">
        <v>1</v>
      </c>
      <c r="BD98" s="7">
        <f t="shared" si="49"/>
        <v>1.534</v>
      </c>
      <c r="BE98" s="8" t="s">
        <v>835</v>
      </c>
      <c r="BF98" s="62"/>
      <c r="BG98" s="62"/>
      <c r="BH98" s="2">
        <v>9710</v>
      </c>
      <c r="BI98" s="10"/>
      <c r="BJ98" s="10"/>
      <c r="BK98" s="10"/>
      <c r="BL98" s="10"/>
      <c r="BM98" s="10"/>
      <c r="BN98" s="61" t="s">
        <v>997</v>
      </c>
    </row>
    <row r="99" spans="1:66" ht="80" x14ac:dyDescent="0.2">
      <c r="A99" s="10">
        <v>20057667</v>
      </c>
      <c r="B99" s="10" t="s">
        <v>383</v>
      </c>
      <c r="C99" s="10">
        <v>2500</v>
      </c>
      <c r="D99" s="10" t="s">
        <v>73</v>
      </c>
      <c r="E99" s="10" t="s">
        <v>384</v>
      </c>
      <c r="F99" s="10" t="s">
        <v>385</v>
      </c>
      <c r="G99" s="10" t="s">
        <v>125</v>
      </c>
      <c r="H99" s="10" t="s">
        <v>126</v>
      </c>
      <c r="I99" s="10" t="s">
        <v>65</v>
      </c>
      <c r="J99" s="10" t="s">
        <v>61</v>
      </c>
      <c r="K99" s="10" t="s">
        <v>66</v>
      </c>
      <c r="L99" s="10" t="s">
        <v>76</v>
      </c>
      <c r="M99" s="10" t="s">
        <v>60</v>
      </c>
      <c r="N99" s="10" t="s">
        <v>61</v>
      </c>
      <c r="O99" s="10" t="s">
        <v>77</v>
      </c>
      <c r="P99" s="10">
        <v>129</v>
      </c>
      <c r="Q99" s="10">
        <v>29</v>
      </c>
      <c r="R99" s="10">
        <v>1.7</v>
      </c>
      <c r="S99" s="10">
        <v>3.3</v>
      </c>
      <c r="T99" s="2">
        <f t="shared" si="24"/>
        <v>163</v>
      </c>
      <c r="U99" s="10">
        <v>1141</v>
      </c>
      <c r="V99" s="10">
        <v>2636</v>
      </c>
      <c r="W99" s="2" t="str">
        <f t="shared" si="41"/>
        <v>5</v>
      </c>
      <c r="X99" s="2" t="str">
        <f t="shared" si="42"/>
        <v>2</v>
      </c>
      <c r="Y99" s="2" t="str">
        <f t="shared" si="43"/>
        <v>2</v>
      </c>
      <c r="Z99" s="3" t="str">
        <f t="shared" si="44"/>
        <v>1</v>
      </c>
      <c r="AA99" s="10">
        <v>0.1</v>
      </c>
      <c r="AB99" s="3">
        <f t="shared" si="37"/>
        <v>2.5</v>
      </c>
      <c r="AC99" s="10">
        <v>62</v>
      </c>
      <c r="AD99" s="10">
        <v>5</v>
      </c>
      <c r="AE99" s="10">
        <v>0.02</v>
      </c>
      <c r="AF99" s="10">
        <v>39.700000000000003</v>
      </c>
      <c r="AG99" s="2">
        <f t="shared" si="45"/>
        <v>1985</v>
      </c>
      <c r="AH99" s="2" t="str">
        <f t="shared" si="46"/>
        <v>1</v>
      </c>
      <c r="AI99" s="3" t="str">
        <f t="shared" si="47"/>
        <v>1</v>
      </c>
      <c r="AJ99" s="3">
        <f t="shared" si="48"/>
        <v>1</v>
      </c>
      <c r="AK99" s="2">
        <v>14</v>
      </c>
      <c r="AL99" s="2" t="str">
        <f t="shared" si="33"/>
        <v>1</v>
      </c>
      <c r="AM99" s="10">
        <v>41.84</v>
      </c>
      <c r="AN99" s="10">
        <v>29.706400000000002</v>
      </c>
      <c r="AO99" s="10">
        <v>104.6</v>
      </c>
      <c r="AP99" s="10">
        <v>74.265999999999991</v>
      </c>
      <c r="AQ99" s="10" t="s">
        <v>61</v>
      </c>
      <c r="AR99" s="10" t="s">
        <v>61</v>
      </c>
      <c r="AS99" s="10">
        <v>65</v>
      </c>
      <c r="AT99" s="2" t="str">
        <f t="shared" si="34"/>
        <v>2</v>
      </c>
      <c r="AU99" s="10">
        <v>1</v>
      </c>
      <c r="AV99" s="10">
        <v>1</v>
      </c>
      <c r="AW99" s="10">
        <v>1</v>
      </c>
      <c r="AX99" s="10" t="s">
        <v>61</v>
      </c>
      <c r="AY99" s="2">
        <v>1</v>
      </c>
      <c r="AZ99" s="10">
        <v>2022</v>
      </c>
      <c r="BA99" s="2">
        <f t="shared" si="35"/>
        <v>3</v>
      </c>
      <c r="BB99" s="2" t="str">
        <f t="shared" si="36"/>
        <v>1</v>
      </c>
      <c r="BC99" s="3">
        <v>1</v>
      </c>
      <c r="BD99" s="7">
        <f t="shared" si="49"/>
        <v>1.4</v>
      </c>
      <c r="BE99" s="62" t="s">
        <v>827</v>
      </c>
      <c r="BF99" s="62"/>
      <c r="BG99" s="62"/>
      <c r="BH99" s="2">
        <v>3729</v>
      </c>
      <c r="BI99" s="10"/>
      <c r="BJ99" s="10"/>
      <c r="BK99" s="10"/>
      <c r="BL99" s="10"/>
      <c r="BM99" s="10"/>
    </row>
    <row r="100" spans="1:66" ht="80" x14ac:dyDescent="0.2">
      <c r="A100" s="10">
        <v>20047769</v>
      </c>
      <c r="B100" s="10" t="s">
        <v>389</v>
      </c>
      <c r="C100" s="10">
        <v>33000</v>
      </c>
      <c r="D100" s="10" t="s">
        <v>152</v>
      </c>
      <c r="E100" s="10" t="s">
        <v>387</v>
      </c>
      <c r="F100" s="101" t="s">
        <v>390</v>
      </c>
      <c r="G100" s="10" t="s">
        <v>70</v>
      </c>
      <c r="H100" s="10" t="s">
        <v>70</v>
      </c>
      <c r="I100" s="10" t="s">
        <v>81</v>
      </c>
      <c r="J100" s="10" t="s">
        <v>82</v>
      </c>
      <c r="K100" s="10" t="s">
        <v>48</v>
      </c>
      <c r="L100" s="10">
        <v>110</v>
      </c>
      <c r="M100" s="10" t="s">
        <v>137</v>
      </c>
      <c r="N100" s="10" t="s">
        <v>60</v>
      </c>
      <c r="O100" s="10" t="s">
        <v>391</v>
      </c>
      <c r="P100" s="10">
        <v>8.4</v>
      </c>
      <c r="Q100" s="10">
        <v>39</v>
      </c>
      <c r="R100" s="10">
        <v>18</v>
      </c>
      <c r="S100" s="10">
        <v>8.6999999999999993</v>
      </c>
      <c r="T100" s="2">
        <f t="shared" si="24"/>
        <v>74.100000000000009</v>
      </c>
      <c r="U100" s="10">
        <v>1642</v>
      </c>
      <c r="V100" s="10">
        <v>14312</v>
      </c>
      <c r="W100" s="2" t="str">
        <f t="shared" si="41"/>
        <v>5</v>
      </c>
      <c r="X100" s="2" t="str">
        <f t="shared" si="42"/>
        <v>5</v>
      </c>
      <c r="Y100" s="2" t="str">
        <f t="shared" si="43"/>
        <v>1</v>
      </c>
      <c r="Z100" s="3" t="str">
        <f t="shared" si="44"/>
        <v>1</v>
      </c>
      <c r="AA100" s="10">
        <v>0.3</v>
      </c>
      <c r="AB100" s="3">
        <f t="shared" si="37"/>
        <v>3</v>
      </c>
      <c r="AC100" s="10">
        <v>28</v>
      </c>
      <c r="AD100" s="10">
        <v>20</v>
      </c>
      <c r="AE100" s="10">
        <v>0.02</v>
      </c>
      <c r="AF100" s="10">
        <v>42.9</v>
      </c>
      <c r="AG100" s="2">
        <f t="shared" si="45"/>
        <v>2145</v>
      </c>
      <c r="AH100" s="2" t="str">
        <f t="shared" si="46"/>
        <v>2</v>
      </c>
      <c r="AI100" s="3" t="str">
        <f t="shared" si="47"/>
        <v>1</v>
      </c>
      <c r="AJ100" s="3">
        <f t="shared" si="48"/>
        <v>1.8</v>
      </c>
      <c r="AK100" s="2">
        <v>5558</v>
      </c>
      <c r="AL100" s="2" t="str">
        <f t="shared" si="33"/>
        <v>5</v>
      </c>
      <c r="AM100" s="10">
        <v>173.21</v>
      </c>
      <c r="AN100" s="10">
        <v>60.6235</v>
      </c>
      <c r="AO100" s="10">
        <v>234.29</v>
      </c>
      <c r="AP100" s="10">
        <v>159.31720000000001</v>
      </c>
      <c r="AQ100" s="10">
        <v>1087.76</v>
      </c>
      <c r="AR100" s="10">
        <v>380.71599999999995</v>
      </c>
      <c r="AS100" s="10">
        <v>96</v>
      </c>
      <c r="AT100" s="2" t="str">
        <f t="shared" si="34"/>
        <v>5</v>
      </c>
      <c r="AU100" s="10">
        <v>1</v>
      </c>
      <c r="AV100" s="10">
        <v>1</v>
      </c>
      <c r="AW100" s="10">
        <v>5</v>
      </c>
      <c r="AX100" s="10">
        <v>1</v>
      </c>
      <c r="AY100" s="2">
        <v>5</v>
      </c>
      <c r="AZ100" s="10">
        <v>1984</v>
      </c>
      <c r="BA100" s="2">
        <f t="shared" si="35"/>
        <v>41</v>
      </c>
      <c r="BB100" s="2" t="str">
        <f t="shared" si="36"/>
        <v>5</v>
      </c>
      <c r="BC100" s="3">
        <v>1</v>
      </c>
      <c r="BD100" s="7">
        <v>5</v>
      </c>
      <c r="BE100" s="62" t="s">
        <v>992</v>
      </c>
      <c r="BF100" s="62" t="s">
        <v>900</v>
      </c>
      <c r="BG100" s="62" t="s">
        <v>993</v>
      </c>
      <c r="BH100" s="2">
        <v>14155</v>
      </c>
      <c r="BI100" s="10" t="s">
        <v>967</v>
      </c>
      <c r="BJ100" s="10" t="s">
        <v>917</v>
      </c>
      <c r="BK100" s="107">
        <v>46249</v>
      </c>
      <c r="BL100" s="10" t="s">
        <v>971</v>
      </c>
      <c r="BM100" s="10"/>
      <c r="BN100" s="61" t="s">
        <v>998</v>
      </c>
    </row>
    <row r="101" spans="1:66" ht="64" x14ac:dyDescent="0.2">
      <c r="A101" s="10">
        <v>20047769</v>
      </c>
      <c r="B101" s="10">
        <v>1076935364</v>
      </c>
      <c r="C101" s="10">
        <v>45000</v>
      </c>
      <c r="D101" s="10" t="s">
        <v>134</v>
      </c>
      <c r="E101" s="10" t="s">
        <v>387</v>
      </c>
      <c r="F101" s="10" t="s">
        <v>388</v>
      </c>
      <c r="G101" s="10" t="s">
        <v>70</v>
      </c>
      <c r="H101" s="10" t="s">
        <v>70</v>
      </c>
      <c r="I101" s="10" t="s">
        <v>81</v>
      </c>
      <c r="J101" s="10" t="s">
        <v>82</v>
      </c>
      <c r="K101" s="10" t="s">
        <v>48</v>
      </c>
      <c r="L101" s="10">
        <v>110</v>
      </c>
      <c r="M101" s="10">
        <v>34.5</v>
      </c>
      <c r="N101" s="10" t="s">
        <v>60</v>
      </c>
      <c r="O101" s="10" t="s">
        <v>311</v>
      </c>
      <c r="P101" s="10">
        <v>13.9</v>
      </c>
      <c r="Q101" s="10">
        <v>7.4</v>
      </c>
      <c r="R101" s="10">
        <v>0.6</v>
      </c>
      <c r="S101" s="10">
        <v>2.2999999999999998</v>
      </c>
      <c r="T101" s="2">
        <f t="shared" si="24"/>
        <v>24.200000000000003</v>
      </c>
      <c r="U101" s="10">
        <v>148</v>
      </c>
      <c r="V101" s="10">
        <v>543</v>
      </c>
      <c r="W101" s="2" t="str">
        <f t="shared" si="41"/>
        <v>2</v>
      </c>
      <c r="X101" s="2" t="str">
        <f t="shared" si="42"/>
        <v>1</v>
      </c>
      <c r="Y101" s="2" t="str">
        <f t="shared" si="43"/>
        <v>1</v>
      </c>
      <c r="Z101" s="3" t="str">
        <f t="shared" si="44"/>
        <v>1</v>
      </c>
      <c r="AA101" s="10">
        <v>0.1</v>
      </c>
      <c r="AB101" s="3">
        <f t="shared" si="37"/>
        <v>1.25</v>
      </c>
      <c r="AC101" s="10">
        <v>60</v>
      </c>
      <c r="AD101" s="10">
        <v>4</v>
      </c>
      <c r="AE101" s="10">
        <v>0.02</v>
      </c>
      <c r="AF101" s="10">
        <v>44</v>
      </c>
      <c r="AG101" s="2">
        <f t="shared" si="45"/>
        <v>2200</v>
      </c>
      <c r="AH101" s="2" t="str">
        <f t="shared" si="46"/>
        <v>1</v>
      </c>
      <c r="AI101" s="3" t="str">
        <f t="shared" si="47"/>
        <v>1</v>
      </c>
      <c r="AJ101" s="3">
        <f t="shared" si="48"/>
        <v>1</v>
      </c>
      <c r="AK101" s="2">
        <v>14</v>
      </c>
      <c r="AL101" s="2" t="str">
        <f t="shared" si="33"/>
        <v>1</v>
      </c>
      <c r="AM101" s="10">
        <v>243.5</v>
      </c>
      <c r="AN101" s="10">
        <v>110.21499999999999</v>
      </c>
      <c r="AO101" s="10">
        <v>318</v>
      </c>
      <c r="AP101" s="10">
        <v>0</v>
      </c>
      <c r="AQ101" s="10">
        <v>1464.3</v>
      </c>
      <c r="AR101" s="10">
        <v>292.84499999999997</v>
      </c>
      <c r="AS101" s="10">
        <v>35</v>
      </c>
      <c r="AT101" s="2" t="str">
        <f t="shared" si="34"/>
        <v>1</v>
      </c>
      <c r="AU101" s="10">
        <v>1</v>
      </c>
      <c r="AV101" s="10">
        <v>1</v>
      </c>
      <c r="AW101" s="10">
        <v>1</v>
      </c>
      <c r="AX101" s="10">
        <v>1</v>
      </c>
      <c r="AY101" s="2">
        <v>1</v>
      </c>
      <c r="AZ101" s="10">
        <v>1998</v>
      </c>
      <c r="BA101" s="2">
        <f t="shared" si="35"/>
        <v>27</v>
      </c>
      <c r="BB101" s="2" t="str">
        <f t="shared" si="36"/>
        <v>4</v>
      </c>
      <c r="BC101" s="3">
        <v>1</v>
      </c>
      <c r="BD101" s="7">
        <f>(AB101*0.2)+(AJ101*0.23)+(AL101*0.05)+(AT101*0.1)+(AY101*0.18)+(BB101*0.05)+(BC101*0.19)</f>
        <v>1.2</v>
      </c>
      <c r="BE101" s="100" t="s">
        <v>828</v>
      </c>
      <c r="BF101" s="62"/>
      <c r="BG101" s="62"/>
      <c r="BH101" s="2">
        <v>28142</v>
      </c>
      <c r="BI101" s="10"/>
      <c r="BJ101" s="10"/>
      <c r="BK101" s="10"/>
      <c r="BL101" s="10"/>
      <c r="BM101" s="10"/>
    </row>
    <row r="102" spans="1:66" ht="64" x14ac:dyDescent="0.2">
      <c r="A102" s="10">
        <v>20037768</v>
      </c>
      <c r="B102" s="10">
        <v>183828</v>
      </c>
      <c r="C102" s="10">
        <v>5000</v>
      </c>
      <c r="D102" s="10" t="s">
        <v>73</v>
      </c>
      <c r="E102" s="101" t="s">
        <v>393</v>
      </c>
      <c r="F102" s="10" t="s">
        <v>396</v>
      </c>
      <c r="G102" s="10" t="s">
        <v>125</v>
      </c>
      <c r="H102" s="10" t="s">
        <v>148</v>
      </c>
      <c r="I102" s="10" t="s">
        <v>65</v>
      </c>
      <c r="J102" s="10" t="s">
        <v>61</v>
      </c>
      <c r="K102" s="10" t="s">
        <v>66</v>
      </c>
      <c r="L102" s="10" t="s">
        <v>76</v>
      </c>
      <c r="M102" s="10" t="s">
        <v>60</v>
      </c>
      <c r="N102" s="10" t="s">
        <v>61</v>
      </c>
      <c r="O102" s="10" t="s">
        <v>130</v>
      </c>
      <c r="P102" s="11">
        <v>24</v>
      </c>
      <c r="Q102" s="10">
        <v>11.2</v>
      </c>
      <c r="R102" s="10">
        <v>49</v>
      </c>
      <c r="S102" s="10">
        <v>3.6</v>
      </c>
      <c r="T102" s="2">
        <f t="shared" si="24"/>
        <v>87.8</v>
      </c>
      <c r="U102" s="10">
        <v>1389</v>
      </c>
      <c r="V102" s="10">
        <v>6002</v>
      </c>
      <c r="W102" s="2" t="str">
        <f t="shared" si="41"/>
        <v>5</v>
      </c>
      <c r="X102" s="2" t="str">
        <f t="shared" si="42"/>
        <v>4</v>
      </c>
      <c r="Y102" s="2" t="str">
        <f t="shared" si="43"/>
        <v>1</v>
      </c>
      <c r="Z102" s="3" t="str">
        <f t="shared" si="44"/>
        <v>1</v>
      </c>
      <c r="AA102" s="10">
        <v>0</v>
      </c>
      <c r="AB102" s="3">
        <f t="shared" si="37"/>
        <v>2.75</v>
      </c>
      <c r="AC102" s="10">
        <v>30</v>
      </c>
      <c r="AD102" s="10">
        <v>27</v>
      </c>
      <c r="AE102" s="10">
        <v>0.02</v>
      </c>
      <c r="AF102" s="10">
        <v>40.700000000000003</v>
      </c>
      <c r="AG102" s="2">
        <f t="shared" si="45"/>
        <v>2035</v>
      </c>
      <c r="AH102" s="2" t="str">
        <f t="shared" si="46"/>
        <v>2</v>
      </c>
      <c r="AI102" s="3" t="str">
        <f t="shared" si="47"/>
        <v>1</v>
      </c>
      <c r="AJ102" s="3">
        <f t="shared" si="48"/>
        <v>1.8</v>
      </c>
      <c r="AK102" s="2">
        <v>4980</v>
      </c>
      <c r="AL102" s="2" t="str">
        <f t="shared" si="33"/>
        <v>4</v>
      </c>
      <c r="AM102" s="10">
        <v>83.67</v>
      </c>
      <c r="AN102" s="10">
        <v>55.222200000000001</v>
      </c>
      <c r="AO102" s="10">
        <v>209.1</v>
      </c>
      <c r="AP102" s="10">
        <v>138.006</v>
      </c>
      <c r="AQ102" s="10" t="s">
        <v>61</v>
      </c>
      <c r="AR102" s="10" t="s">
        <v>61</v>
      </c>
      <c r="AS102" s="10">
        <v>90</v>
      </c>
      <c r="AT102" s="2" t="str">
        <f t="shared" si="34"/>
        <v>4</v>
      </c>
      <c r="AU102" s="10">
        <v>1</v>
      </c>
      <c r="AV102" s="10">
        <v>1</v>
      </c>
      <c r="AW102" s="10">
        <v>1</v>
      </c>
      <c r="AX102" s="10" t="s">
        <v>61</v>
      </c>
      <c r="AY102" s="2">
        <v>1</v>
      </c>
      <c r="AZ102" s="10">
        <v>1998</v>
      </c>
      <c r="BA102" s="2">
        <f t="shared" si="35"/>
        <v>27</v>
      </c>
      <c r="BB102" s="2" t="str">
        <f t="shared" si="36"/>
        <v>4</v>
      </c>
      <c r="BC102" s="3">
        <v>1</v>
      </c>
      <c r="BD102" s="7">
        <v>5</v>
      </c>
      <c r="BE102" s="62" t="s">
        <v>991</v>
      </c>
      <c r="BF102" s="62"/>
      <c r="BG102" s="62" t="s">
        <v>993</v>
      </c>
      <c r="BH102" s="2">
        <v>5391</v>
      </c>
      <c r="BI102" s="10"/>
      <c r="BJ102" s="10" t="s">
        <v>917</v>
      </c>
      <c r="BK102" s="10"/>
      <c r="BL102" s="10"/>
      <c r="BM102" s="10"/>
      <c r="BN102" s="61" t="s">
        <v>61</v>
      </c>
    </row>
    <row r="103" spans="1:66" ht="32" x14ac:dyDescent="0.2">
      <c r="A103" s="10">
        <v>20037768</v>
      </c>
      <c r="B103" s="10">
        <v>56220119</v>
      </c>
      <c r="C103" s="10">
        <v>5000</v>
      </c>
      <c r="D103" s="10" t="s">
        <v>73</v>
      </c>
      <c r="E103" s="101" t="s">
        <v>393</v>
      </c>
      <c r="F103" s="10" t="s">
        <v>394</v>
      </c>
      <c r="G103" s="10" t="s">
        <v>125</v>
      </c>
      <c r="H103" s="10" t="s">
        <v>148</v>
      </c>
      <c r="I103" s="10" t="s">
        <v>65</v>
      </c>
      <c r="J103" s="10" t="s">
        <v>61</v>
      </c>
      <c r="K103" s="10" t="s">
        <v>66</v>
      </c>
      <c r="L103" s="10" t="s">
        <v>76</v>
      </c>
      <c r="M103" s="10" t="s">
        <v>60</v>
      </c>
      <c r="N103" s="10" t="s">
        <v>61</v>
      </c>
      <c r="O103" s="10" t="s">
        <v>130</v>
      </c>
      <c r="P103" s="11">
        <v>63</v>
      </c>
      <c r="Q103" s="10">
        <v>230</v>
      </c>
      <c r="R103" s="10">
        <v>261</v>
      </c>
      <c r="S103" s="10">
        <v>40</v>
      </c>
      <c r="T103" s="2">
        <f t="shared" si="24"/>
        <v>594</v>
      </c>
      <c r="U103" s="10">
        <v>800</v>
      </c>
      <c r="V103" s="10">
        <v>3127</v>
      </c>
      <c r="W103" s="2" t="str">
        <f t="shared" si="41"/>
        <v>5</v>
      </c>
      <c r="X103" s="2" t="str">
        <f t="shared" si="42"/>
        <v>3</v>
      </c>
      <c r="Y103" s="2" t="str">
        <f t="shared" si="43"/>
        <v>5</v>
      </c>
      <c r="Z103" s="3" t="str">
        <f t="shared" si="44"/>
        <v>5</v>
      </c>
      <c r="AA103" s="10">
        <v>35</v>
      </c>
      <c r="AB103" s="3">
        <f t="shared" si="37"/>
        <v>4.5</v>
      </c>
      <c r="AC103" s="10">
        <v>56</v>
      </c>
      <c r="AD103" s="10">
        <v>8</v>
      </c>
      <c r="AE103" s="10">
        <v>0.02</v>
      </c>
      <c r="AF103" s="10">
        <v>42.5</v>
      </c>
      <c r="AG103" s="2">
        <f t="shared" si="45"/>
        <v>2125</v>
      </c>
      <c r="AH103" s="2" t="str">
        <f t="shared" si="46"/>
        <v>1</v>
      </c>
      <c r="AI103" s="3" t="str">
        <f t="shared" si="47"/>
        <v>1</v>
      </c>
      <c r="AJ103" s="3">
        <f t="shared" si="48"/>
        <v>1</v>
      </c>
      <c r="AK103" s="2">
        <v>14</v>
      </c>
      <c r="AL103" s="2" t="str">
        <f t="shared" si="33"/>
        <v>1</v>
      </c>
      <c r="AM103" s="10">
        <v>83.67</v>
      </c>
      <c r="AN103" s="10">
        <v>55.222200000000001</v>
      </c>
      <c r="AO103" s="10">
        <v>209.18</v>
      </c>
      <c r="AP103" s="10">
        <v>138.05880000000002</v>
      </c>
      <c r="AQ103" s="10" t="s">
        <v>61</v>
      </c>
      <c r="AR103" s="10" t="s">
        <v>61</v>
      </c>
      <c r="AS103" s="10">
        <v>66</v>
      </c>
      <c r="AT103" s="2" t="str">
        <f t="shared" si="34"/>
        <v>3</v>
      </c>
      <c r="AU103" s="10">
        <v>5</v>
      </c>
      <c r="AV103" s="10">
        <v>1</v>
      </c>
      <c r="AW103" s="10">
        <v>1</v>
      </c>
      <c r="AX103" s="10" t="s">
        <v>61</v>
      </c>
      <c r="AY103" s="2">
        <v>3</v>
      </c>
      <c r="AZ103" s="10">
        <v>2019</v>
      </c>
      <c r="BA103" s="2">
        <f t="shared" si="35"/>
        <v>6</v>
      </c>
      <c r="BB103" s="2" t="str">
        <f t="shared" si="36"/>
        <v>1</v>
      </c>
      <c r="BC103" s="3">
        <v>1</v>
      </c>
      <c r="BD103" s="7">
        <f t="shared" ref="BD103:BD113" si="50">(AB103*0.2)+(AJ103*0.23)+(AL103*0.05)+(AT103*0.1)+(AY103*0.18)+(BB103*0.05)+(BC103*0.19)</f>
        <v>2.2600000000000002</v>
      </c>
      <c r="BE103" s="62" t="s">
        <v>829</v>
      </c>
      <c r="BF103" s="62"/>
      <c r="BG103" s="62" t="s">
        <v>830</v>
      </c>
      <c r="BH103" s="2">
        <v>5112</v>
      </c>
      <c r="BI103" s="10" t="s">
        <v>967</v>
      </c>
      <c r="BJ103" s="10"/>
      <c r="BK103" s="10"/>
      <c r="BL103" s="10"/>
      <c r="BM103" s="10"/>
    </row>
    <row r="104" spans="1:66" ht="48" x14ac:dyDescent="0.2">
      <c r="A104" s="10">
        <v>20017777</v>
      </c>
      <c r="B104" s="10" t="s">
        <v>397</v>
      </c>
      <c r="C104" s="10">
        <v>33000</v>
      </c>
      <c r="D104" s="10" t="s">
        <v>152</v>
      </c>
      <c r="E104" s="12" t="s">
        <v>398</v>
      </c>
      <c r="F104" s="10" t="s">
        <v>399</v>
      </c>
      <c r="G104" s="10" t="s">
        <v>70</v>
      </c>
      <c r="H104" s="10" t="s">
        <v>70</v>
      </c>
      <c r="I104" s="10" t="s">
        <v>81</v>
      </c>
      <c r="J104" s="10" t="s">
        <v>82</v>
      </c>
      <c r="K104" s="10" t="s">
        <v>48</v>
      </c>
      <c r="L104" s="10">
        <v>66</v>
      </c>
      <c r="M104" s="10" t="s">
        <v>60</v>
      </c>
      <c r="N104" s="10" t="s">
        <v>61</v>
      </c>
      <c r="O104" s="10" t="s">
        <v>155</v>
      </c>
      <c r="P104" s="11">
        <v>34</v>
      </c>
      <c r="Q104" s="10">
        <v>9.8000000000000007</v>
      </c>
      <c r="R104" s="10">
        <v>4.9000000000000004</v>
      </c>
      <c r="S104" s="10">
        <v>4.2</v>
      </c>
      <c r="T104" s="2">
        <f t="shared" si="24"/>
        <v>52.9</v>
      </c>
      <c r="U104" s="10">
        <v>918</v>
      </c>
      <c r="V104" s="10">
        <v>7492</v>
      </c>
      <c r="W104" s="2" t="str">
        <f t="shared" si="41"/>
        <v>5</v>
      </c>
      <c r="X104" s="2" t="str">
        <f t="shared" si="42"/>
        <v>5</v>
      </c>
      <c r="Y104" s="2" t="str">
        <f t="shared" si="43"/>
        <v>1</v>
      </c>
      <c r="Z104" s="3" t="str">
        <f t="shared" si="44"/>
        <v>1</v>
      </c>
      <c r="AA104" s="10">
        <v>0.2</v>
      </c>
      <c r="AB104" s="3">
        <f t="shared" si="37"/>
        <v>3</v>
      </c>
      <c r="AC104" s="10">
        <v>38</v>
      </c>
      <c r="AD104" s="10">
        <v>11</v>
      </c>
      <c r="AE104" s="10">
        <v>0.03</v>
      </c>
      <c r="AF104" s="10">
        <v>28.4</v>
      </c>
      <c r="AG104" s="2">
        <f t="shared" si="45"/>
        <v>946.66666666666663</v>
      </c>
      <c r="AH104" s="2" t="str">
        <f t="shared" si="46"/>
        <v>1</v>
      </c>
      <c r="AI104" s="3" t="str">
        <f t="shared" si="47"/>
        <v>4</v>
      </c>
      <c r="AJ104" s="3">
        <f t="shared" si="48"/>
        <v>1.6</v>
      </c>
      <c r="AK104" s="2">
        <v>3876</v>
      </c>
      <c r="AL104" s="2" t="str">
        <f t="shared" si="33"/>
        <v>3</v>
      </c>
      <c r="AM104" s="10">
        <v>289</v>
      </c>
      <c r="AN104" s="10">
        <v>161.84</v>
      </c>
      <c r="AO104" s="10">
        <v>1381</v>
      </c>
      <c r="AP104" s="10">
        <v>773.36000000000013</v>
      </c>
      <c r="AQ104" s="10" t="s">
        <v>61</v>
      </c>
      <c r="AR104" s="10" t="s">
        <v>61</v>
      </c>
      <c r="AS104" s="10">
        <v>56</v>
      </c>
      <c r="AT104" s="2" t="str">
        <f t="shared" si="34"/>
        <v>1</v>
      </c>
      <c r="AU104" s="10">
        <v>1</v>
      </c>
      <c r="AV104" s="10">
        <v>1</v>
      </c>
      <c r="AW104" s="10">
        <v>5</v>
      </c>
      <c r="AX104" s="10">
        <v>1</v>
      </c>
      <c r="AY104" s="2">
        <v>3</v>
      </c>
      <c r="AZ104" s="10">
        <v>1983</v>
      </c>
      <c r="BA104" s="2">
        <f t="shared" si="35"/>
        <v>42</v>
      </c>
      <c r="BB104" s="2" t="str">
        <f t="shared" si="36"/>
        <v>5</v>
      </c>
      <c r="BC104" s="3">
        <v>1</v>
      </c>
      <c r="BD104" s="7">
        <f t="shared" si="50"/>
        <v>2.1980000000000004</v>
      </c>
      <c r="BE104" s="62" t="s">
        <v>848</v>
      </c>
      <c r="BF104" s="62" t="s">
        <v>901</v>
      </c>
      <c r="BG104" s="62" t="s">
        <v>826</v>
      </c>
      <c r="BH104" s="2">
        <v>3804</v>
      </c>
      <c r="BI104" s="10" t="s">
        <v>910</v>
      </c>
      <c r="BJ104" s="10"/>
      <c r="BK104" s="10"/>
      <c r="BL104" s="10"/>
      <c r="BM104" s="109">
        <v>210000000</v>
      </c>
      <c r="BN104" s="61" t="s">
        <v>998</v>
      </c>
    </row>
    <row r="105" spans="1:66" ht="48" x14ac:dyDescent="0.2">
      <c r="A105" s="10">
        <v>20017777</v>
      </c>
      <c r="B105" s="10" t="s">
        <v>401</v>
      </c>
      <c r="C105" s="10">
        <v>33000</v>
      </c>
      <c r="D105" s="10" t="s">
        <v>152</v>
      </c>
      <c r="E105" s="12" t="s">
        <v>398</v>
      </c>
      <c r="F105" s="10" t="s">
        <v>402</v>
      </c>
      <c r="G105" s="10" t="s">
        <v>70</v>
      </c>
      <c r="H105" s="10" t="s">
        <v>70</v>
      </c>
      <c r="I105" s="10" t="s">
        <v>81</v>
      </c>
      <c r="J105" s="10" t="s">
        <v>82</v>
      </c>
      <c r="K105" s="10" t="s">
        <v>48</v>
      </c>
      <c r="L105" s="10">
        <v>66</v>
      </c>
      <c r="M105" s="10" t="s">
        <v>60</v>
      </c>
      <c r="N105" s="10" t="s">
        <v>61</v>
      </c>
      <c r="O105" s="10" t="s">
        <v>155</v>
      </c>
      <c r="P105" s="11">
        <v>51</v>
      </c>
      <c r="Q105" s="10">
        <v>82</v>
      </c>
      <c r="R105" s="10">
        <v>56</v>
      </c>
      <c r="S105" s="10">
        <v>10.8</v>
      </c>
      <c r="T105" s="2">
        <f t="shared" si="24"/>
        <v>199.8</v>
      </c>
      <c r="U105" s="10">
        <v>941</v>
      </c>
      <c r="V105" s="10">
        <v>4085</v>
      </c>
      <c r="W105" s="2" t="str">
        <f t="shared" si="41"/>
        <v>5</v>
      </c>
      <c r="X105" s="2" t="str">
        <f t="shared" si="42"/>
        <v>3</v>
      </c>
      <c r="Y105" s="2" t="str">
        <f t="shared" si="43"/>
        <v>2</v>
      </c>
      <c r="Z105" s="3" t="str">
        <f t="shared" si="44"/>
        <v>5</v>
      </c>
      <c r="AA105" s="10">
        <v>9.4</v>
      </c>
      <c r="AB105" s="3">
        <f t="shared" si="37"/>
        <v>3.75</v>
      </c>
      <c r="AC105" s="10">
        <v>48</v>
      </c>
      <c r="AD105" s="10">
        <v>13</v>
      </c>
      <c r="AE105" s="10">
        <v>0.03</v>
      </c>
      <c r="AF105" s="10">
        <v>33.4</v>
      </c>
      <c r="AG105" s="2">
        <f t="shared" si="45"/>
        <v>1113.3333333333333</v>
      </c>
      <c r="AH105" s="2" t="str">
        <f t="shared" si="46"/>
        <v>1</v>
      </c>
      <c r="AI105" s="3" t="str">
        <f t="shared" si="47"/>
        <v>3</v>
      </c>
      <c r="AJ105" s="3">
        <f t="shared" si="48"/>
        <v>1.4000000000000001</v>
      </c>
      <c r="AK105" s="2">
        <v>3675</v>
      </c>
      <c r="AL105" s="2" t="str">
        <f t="shared" si="33"/>
        <v>3</v>
      </c>
      <c r="AM105" s="10">
        <v>289</v>
      </c>
      <c r="AN105" s="10">
        <v>167.61999999999998</v>
      </c>
      <c r="AO105" s="10">
        <v>1381</v>
      </c>
      <c r="AP105" s="10">
        <v>800.9799999999999</v>
      </c>
      <c r="AQ105" s="10" t="s">
        <v>61</v>
      </c>
      <c r="AR105" s="10" t="s">
        <v>61</v>
      </c>
      <c r="AS105" s="10">
        <v>68</v>
      </c>
      <c r="AT105" s="2" t="str">
        <f t="shared" si="34"/>
        <v>3</v>
      </c>
      <c r="AU105" s="10">
        <v>1</v>
      </c>
      <c r="AV105" s="10">
        <v>1</v>
      </c>
      <c r="AW105" s="10">
        <v>5</v>
      </c>
      <c r="AX105" s="10">
        <v>1</v>
      </c>
      <c r="AY105" s="2">
        <v>2</v>
      </c>
      <c r="AZ105" s="10">
        <v>1983</v>
      </c>
      <c r="BA105" s="2">
        <f t="shared" si="35"/>
        <v>42</v>
      </c>
      <c r="BB105" s="2" t="str">
        <f t="shared" si="36"/>
        <v>5</v>
      </c>
      <c r="BC105" s="3">
        <v>1</v>
      </c>
      <c r="BD105" s="7">
        <f t="shared" si="50"/>
        <v>2.3220000000000001</v>
      </c>
      <c r="BE105" s="62" t="s">
        <v>848</v>
      </c>
      <c r="BF105" s="62" t="s">
        <v>902</v>
      </c>
      <c r="BG105" s="62" t="s">
        <v>831</v>
      </c>
      <c r="BH105" s="2">
        <v>4636</v>
      </c>
      <c r="BI105" s="10" t="s">
        <v>910</v>
      </c>
      <c r="BJ105" s="10"/>
      <c r="BK105" s="10"/>
      <c r="BL105" s="10"/>
      <c r="BM105" s="109">
        <v>210000000</v>
      </c>
    </row>
    <row r="106" spans="1:66" ht="80" x14ac:dyDescent="0.2">
      <c r="A106" s="10">
        <v>20700439</v>
      </c>
      <c r="B106" s="10">
        <v>70480113</v>
      </c>
      <c r="C106" s="10">
        <v>3000</v>
      </c>
      <c r="D106" s="10" t="s">
        <v>73</v>
      </c>
      <c r="E106" s="10" t="s">
        <v>405</v>
      </c>
      <c r="F106" s="10" t="s">
        <v>406</v>
      </c>
      <c r="G106" s="10" t="s">
        <v>58</v>
      </c>
      <c r="H106" s="10" t="s">
        <v>59</v>
      </c>
      <c r="I106" s="10" t="s">
        <v>65</v>
      </c>
      <c r="J106" s="10" t="s">
        <v>61</v>
      </c>
      <c r="K106" s="10" t="s">
        <v>66</v>
      </c>
      <c r="L106" s="10" t="s">
        <v>76</v>
      </c>
      <c r="M106" s="10" t="s">
        <v>60</v>
      </c>
      <c r="N106" s="10" t="s">
        <v>61</v>
      </c>
      <c r="O106" s="10" t="s">
        <v>130</v>
      </c>
      <c r="P106" s="11">
        <v>7.7</v>
      </c>
      <c r="Q106" s="10">
        <v>4</v>
      </c>
      <c r="R106" s="10">
        <v>4.8</v>
      </c>
      <c r="S106" s="10">
        <v>0.8</v>
      </c>
      <c r="T106" s="2">
        <f t="shared" si="24"/>
        <v>17.3</v>
      </c>
      <c r="U106" s="10">
        <v>446</v>
      </c>
      <c r="V106" s="10">
        <v>3677</v>
      </c>
      <c r="W106" s="2" t="str">
        <f t="shared" si="41"/>
        <v>3</v>
      </c>
      <c r="X106" s="2" t="str">
        <f t="shared" si="42"/>
        <v>3</v>
      </c>
      <c r="Y106" s="2" t="str">
        <f t="shared" si="43"/>
        <v>1</v>
      </c>
      <c r="Z106" s="3" t="str">
        <f t="shared" si="44"/>
        <v>1</v>
      </c>
      <c r="AA106" s="10">
        <v>0</v>
      </c>
      <c r="AB106" s="3">
        <f t="shared" si="37"/>
        <v>2</v>
      </c>
      <c r="AC106" s="10">
        <v>33</v>
      </c>
      <c r="AD106" s="10">
        <v>19</v>
      </c>
      <c r="AE106" s="10">
        <v>0.02</v>
      </c>
      <c r="AF106" s="10">
        <v>43.1</v>
      </c>
      <c r="AG106" s="2">
        <f t="shared" si="45"/>
        <v>2155</v>
      </c>
      <c r="AH106" s="2" t="str">
        <f t="shared" si="46"/>
        <v>2</v>
      </c>
      <c r="AI106" s="3" t="str">
        <f t="shared" si="47"/>
        <v>1</v>
      </c>
      <c r="AJ106" s="3">
        <f t="shared" si="48"/>
        <v>1.8</v>
      </c>
      <c r="AK106" s="2">
        <v>28</v>
      </c>
      <c r="AL106" s="2" t="str">
        <f t="shared" si="33"/>
        <v>1</v>
      </c>
      <c r="AM106" s="10">
        <v>50.2</v>
      </c>
      <c r="AN106" s="10">
        <v>37.148000000000003</v>
      </c>
      <c r="AO106" s="10">
        <v>125.5</v>
      </c>
      <c r="AP106" s="10">
        <v>92.87</v>
      </c>
      <c r="AQ106" s="10" t="s">
        <v>61</v>
      </c>
      <c r="AR106" s="10" t="s">
        <v>61</v>
      </c>
      <c r="AS106" s="10">
        <v>74</v>
      </c>
      <c r="AT106" s="2">
        <v>3</v>
      </c>
      <c r="AU106" s="10">
        <v>1</v>
      </c>
      <c r="AV106" s="10">
        <v>1</v>
      </c>
      <c r="AW106" s="10">
        <v>1</v>
      </c>
      <c r="AX106" s="10" t="s">
        <v>61</v>
      </c>
      <c r="AY106" s="2">
        <v>1</v>
      </c>
      <c r="AZ106" s="10">
        <v>2013</v>
      </c>
      <c r="BA106" s="2">
        <f t="shared" si="35"/>
        <v>12</v>
      </c>
      <c r="BB106" s="2" t="str">
        <f t="shared" si="36"/>
        <v>2</v>
      </c>
      <c r="BC106" s="3">
        <v>1</v>
      </c>
      <c r="BD106" s="7">
        <f t="shared" si="50"/>
        <v>1.6340000000000001</v>
      </c>
      <c r="BE106" s="62" t="s">
        <v>827</v>
      </c>
      <c r="BF106" s="62"/>
      <c r="BG106" s="62"/>
      <c r="BH106" s="2">
        <v>4365</v>
      </c>
      <c r="BI106" s="10"/>
      <c r="BJ106" s="10"/>
      <c r="BK106" s="107">
        <v>46137</v>
      </c>
      <c r="BL106" s="10" t="s">
        <v>962</v>
      </c>
      <c r="BM106" s="10"/>
    </row>
    <row r="107" spans="1:66" x14ac:dyDescent="0.2">
      <c r="A107" s="10">
        <v>20027785</v>
      </c>
      <c r="B107" s="10">
        <v>393793</v>
      </c>
      <c r="C107" s="10">
        <v>10000</v>
      </c>
      <c r="D107" s="10" t="s">
        <v>73</v>
      </c>
      <c r="E107" s="10" t="s">
        <v>407</v>
      </c>
      <c r="F107" s="10" t="s">
        <v>408</v>
      </c>
      <c r="G107" s="10" t="s">
        <v>58</v>
      </c>
      <c r="H107" s="10" t="s">
        <v>59</v>
      </c>
      <c r="I107" s="10" t="s">
        <v>81</v>
      </c>
      <c r="J107" s="10" t="s">
        <v>143</v>
      </c>
      <c r="K107" s="10" t="s">
        <v>66</v>
      </c>
      <c r="L107" s="10" t="s">
        <v>76</v>
      </c>
      <c r="M107" s="10" t="s">
        <v>60</v>
      </c>
      <c r="N107" s="10" t="s">
        <v>61</v>
      </c>
      <c r="O107" s="10" t="s">
        <v>83</v>
      </c>
      <c r="P107" s="11">
        <v>8.6999999999999993</v>
      </c>
      <c r="Q107" s="10">
        <v>3.1</v>
      </c>
      <c r="R107" s="10">
        <v>3.4</v>
      </c>
      <c r="S107" s="10">
        <v>0.3</v>
      </c>
      <c r="T107" s="2">
        <f t="shared" si="24"/>
        <v>15.5</v>
      </c>
      <c r="U107" s="10">
        <v>449</v>
      </c>
      <c r="V107" s="10">
        <v>1398</v>
      </c>
      <c r="W107" s="2" t="str">
        <f t="shared" si="41"/>
        <v>3</v>
      </c>
      <c r="X107" s="2" t="str">
        <f t="shared" si="42"/>
        <v>1</v>
      </c>
      <c r="Y107" s="2" t="str">
        <f t="shared" si="43"/>
        <v>1</v>
      </c>
      <c r="Z107" s="3" t="str">
        <f t="shared" si="44"/>
        <v>1</v>
      </c>
      <c r="AA107" s="10">
        <v>0</v>
      </c>
      <c r="AB107" s="3">
        <f t="shared" si="37"/>
        <v>1.5</v>
      </c>
      <c r="AC107" s="10">
        <v>64</v>
      </c>
      <c r="AD107" s="10">
        <v>5</v>
      </c>
      <c r="AE107" s="10">
        <v>0.02</v>
      </c>
      <c r="AF107" s="10">
        <v>42.5</v>
      </c>
      <c r="AG107" s="2">
        <f t="shared" si="45"/>
        <v>2125</v>
      </c>
      <c r="AH107" s="2" t="str">
        <f t="shared" si="46"/>
        <v>1</v>
      </c>
      <c r="AI107" s="3" t="str">
        <f t="shared" si="47"/>
        <v>1</v>
      </c>
      <c r="AJ107" s="3">
        <f t="shared" si="48"/>
        <v>1</v>
      </c>
      <c r="AK107" s="2">
        <v>14</v>
      </c>
      <c r="AL107" s="2" t="str">
        <f t="shared" si="33"/>
        <v>1</v>
      </c>
      <c r="AM107" s="10">
        <v>167.3</v>
      </c>
      <c r="AN107" s="10">
        <v>113.42940000000002</v>
      </c>
      <c r="AO107" s="10">
        <v>418.4</v>
      </c>
      <c r="AP107" s="10">
        <v>283.67520000000002</v>
      </c>
      <c r="AQ107" s="10" t="s">
        <v>61</v>
      </c>
      <c r="AR107" s="10" t="s">
        <v>61</v>
      </c>
      <c r="AS107" s="10">
        <v>67.8</v>
      </c>
      <c r="AT107" s="2" t="str">
        <f t="shared" si="34"/>
        <v>3</v>
      </c>
      <c r="AU107" s="10">
        <v>1</v>
      </c>
      <c r="AV107" s="10">
        <v>1</v>
      </c>
      <c r="AW107" s="10">
        <v>1</v>
      </c>
      <c r="AX107" s="10" t="s">
        <v>61</v>
      </c>
      <c r="AY107" s="2">
        <v>1</v>
      </c>
      <c r="AZ107" s="10">
        <v>2022</v>
      </c>
      <c r="BA107" s="2">
        <f t="shared" si="35"/>
        <v>3</v>
      </c>
      <c r="BB107" s="2" t="str">
        <f t="shared" si="36"/>
        <v>1</v>
      </c>
      <c r="BC107" s="3">
        <v>1</v>
      </c>
      <c r="BD107" s="7">
        <f t="shared" si="50"/>
        <v>1.3</v>
      </c>
      <c r="BE107" s="10" t="s">
        <v>815</v>
      </c>
      <c r="BF107" s="62"/>
      <c r="BG107" s="62"/>
      <c r="BH107" s="2">
        <v>6533</v>
      </c>
      <c r="BI107" s="10"/>
      <c r="BJ107" s="10"/>
      <c r="BK107" s="107">
        <v>46264</v>
      </c>
      <c r="BL107" s="10" t="s">
        <v>950</v>
      </c>
      <c r="BM107" s="10"/>
      <c r="BN107" s="61" t="s">
        <v>998</v>
      </c>
    </row>
    <row r="108" spans="1:66" ht="64" x14ac:dyDescent="0.2">
      <c r="A108" s="10">
        <v>20700474</v>
      </c>
      <c r="B108" s="10">
        <v>1058585391</v>
      </c>
      <c r="C108" s="10">
        <v>30000</v>
      </c>
      <c r="D108" s="10" t="s">
        <v>152</v>
      </c>
      <c r="E108" s="10" t="s">
        <v>409</v>
      </c>
      <c r="F108" s="10" t="s">
        <v>411</v>
      </c>
      <c r="G108" s="10" t="s">
        <v>70</v>
      </c>
      <c r="H108" s="10" t="s">
        <v>70</v>
      </c>
      <c r="I108" s="10" t="s">
        <v>81</v>
      </c>
      <c r="J108" s="10" t="s">
        <v>82</v>
      </c>
      <c r="K108" s="10" t="s">
        <v>48</v>
      </c>
      <c r="L108" s="10">
        <v>66</v>
      </c>
      <c r="M108" s="10" t="s">
        <v>60</v>
      </c>
      <c r="N108" s="10" t="s">
        <v>61</v>
      </c>
      <c r="O108" s="10" t="s">
        <v>172</v>
      </c>
      <c r="P108" s="11">
        <v>8.8000000000000007</v>
      </c>
      <c r="Q108" s="10">
        <v>4.9000000000000004</v>
      </c>
      <c r="R108" s="10">
        <v>0.5</v>
      </c>
      <c r="S108" s="10">
        <v>0.5</v>
      </c>
      <c r="T108" s="2">
        <f t="shared" si="24"/>
        <v>14.700000000000001</v>
      </c>
      <c r="U108" s="10">
        <v>544</v>
      </c>
      <c r="V108" s="10">
        <v>1177</v>
      </c>
      <c r="W108" s="2" t="str">
        <f t="shared" si="41"/>
        <v>3</v>
      </c>
      <c r="X108" s="2" t="str">
        <f t="shared" si="42"/>
        <v>1</v>
      </c>
      <c r="Y108" s="2" t="str">
        <f t="shared" si="43"/>
        <v>1</v>
      </c>
      <c r="Z108" s="3" t="str">
        <f t="shared" si="44"/>
        <v>1</v>
      </c>
      <c r="AA108" s="10">
        <v>0</v>
      </c>
      <c r="AB108" s="3">
        <f t="shared" si="37"/>
        <v>1.5</v>
      </c>
      <c r="AC108" s="10">
        <v>51</v>
      </c>
      <c r="AD108" s="10">
        <v>9</v>
      </c>
      <c r="AE108" s="10">
        <v>0.02</v>
      </c>
      <c r="AF108" s="10">
        <v>44.3</v>
      </c>
      <c r="AG108" s="2">
        <f t="shared" si="45"/>
        <v>2215</v>
      </c>
      <c r="AH108" s="2" t="str">
        <f t="shared" si="46"/>
        <v>1</v>
      </c>
      <c r="AI108" s="3" t="str">
        <f t="shared" si="47"/>
        <v>1</v>
      </c>
      <c r="AJ108" s="3">
        <f t="shared" si="48"/>
        <v>1</v>
      </c>
      <c r="AK108" s="2">
        <v>14</v>
      </c>
      <c r="AL108" s="2" t="str">
        <f t="shared" si="33"/>
        <v>1</v>
      </c>
      <c r="AM108" s="10">
        <v>262.39999999999998</v>
      </c>
      <c r="AN108" s="10">
        <v>65.599999999999994</v>
      </c>
      <c r="AO108" s="10">
        <v>1255</v>
      </c>
      <c r="AP108" s="10">
        <v>313.75</v>
      </c>
      <c r="AQ108" s="10" t="s">
        <v>61</v>
      </c>
      <c r="AR108" s="10" t="s">
        <v>61</v>
      </c>
      <c r="AS108" s="10">
        <v>25</v>
      </c>
      <c r="AT108" s="2" t="str">
        <f t="shared" si="34"/>
        <v>1</v>
      </c>
      <c r="AU108" s="10">
        <v>1</v>
      </c>
      <c r="AV108" s="10">
        <v>1</v>
      </c>
      <c r="AW108" s="10">
        <v>1</v>
      </c>
      <c r="AX108" s="10">
        <v>1</v>
      </c>
      <c r="AY108" s="2">
        <v>1</v>
      </c>
      <c r="AZ108" s="10">
        <v>2021</v>
      </c>
      <c r="BA108" s="2">
        <f t="shared" si="35"/>
        <v>4</v>
      </c>
      <c r="BB108" s="2" t="str">
        <f t="shared" si="36"/>
        <v>1</v>
      </c>
      <c r="BC108" s="3">
        <v>1</v>
      </c>
      <c r="BD108" s="7">
        <f t="shared" si="50"/>
        <v>1.1000000000000001</v>
      </c>
      <c r="BE108" s="100" t="s">
        <v>828</v>
      </c>
      <c r="BF108" s="62"/>
      <c r="BG108" s="62"/>
      <c r="BH108" s="2">
        <v>5743</v>
      </c>
      <c r="BI108" s="10"/>
      <c r="BJ108" s="10"/>
      <c r="BK108" s="10"/>
      <c r="BL108" s="10"/>
      <c r="BM108" s="10"/>
    </row>
    <row r="109" spans="1:66" ht="64" x14ac:dyDescent="0.2">
      <c r="A109" s="10">
        <v>20700474</v>
      </c>
      <c r="B109" s="10">
        <v>1058585425</v>
      </c>
      <c r="C109" s="10">
        <v>30000</v>
      </c>
      <c r="D109" s="10" t="s">
        <v>152</v>
      </c>
      <c r="E109" s="10" t="s">
        <v>409</v>
      </c>
      <c r="F109" s="10" t="s">
        <v>410</v>
      </c>
      <c r="G109" s="10" t="s">
        <v>70</v>
      </c>
      <c r="H109" s="10" t="s">
        <v>70</v>
      </c>
      <c r="I109" s="10" t="s">
        <v>81</v>
      </c>
      <c r="J109" s="10" t="s">
        <v>82</v>
      </c>
      <c r="K109" s="10" t="s">
        <v>48</v>
      </c>
      <c r="L109" s="10">
        <v>66</v>
      </c>
      <c r="M109" s="10" t="s">
        <v>60</v>
      </c>
      <c r="N109" s="10" t="s">
        <v>61</v>
      </c>
      <c r="O109" s="10" t="s">
        <v>172</v>
      </c>
      <c r="P109" s="11">
        <v>11.1</v>
      </c>
      <c r="Q109" s="10">
        <v>4.5999999999999996</v>
      </c>
      <c r="R109" s="10">
        <v>0.6</v>
      </c>
      <c r="S109" s="10">
        <v>0.5</v>
      </c>
      <c r="T109" s="2">
        <f t="shared" si="24"/>
        <v>16.8</v>
      </c>
      <c r="U109" s="10">
        <v>589</v>
      </c>
      <c r="V109" s="10">
        <v>1126</v>
      </c>
      <c r="W109" s="2" t="str">
        <f t="shared" si="41"/>
        <v>4</v>
      </c>
      <c r="X109" s="2" t="str">
        <f t="shared" si="42"/>
        <v>1</v>
      </c>
      <c r="Y109" s="2" t="str">
        <f t="shared" si="43"/>
        <v>1</v>
      </c>
      <c r="Z109" s="3" t="str">
        <f t="shared" si="44"/>
        <v>1</v>
      </c>
      <c r="AA109" s="10">
        <v>0</v>
      </c>
      <c r="AB109" s="3">
        <f t="shared" si="37"/>
        <v>1.75</v>
      </c>
      <c r="AC109" s="10">
        <v>52</v>
      </c>
      <c r="AD109" s="10">
        <v>9</v>
      </c>
      <c r="AE109" s="10">
        <v>0.02</v>
      </c>
      <c r="AF109" s="10">
        <v>44.3</v>
      </c>
      <c r="AG109" s="2">
        <f t="shared" si="45"/>
        <v>2215</v>
      </c>
      <c r="AH109" s="2" t="str">
        <f t="shared" si="46"/>
        <v>1</v>
      </c>
      <c r="AI109" s="3" t="str">
        <f t="shared" si="47"/>
        <v>1</v>
      </c>
      <c r="AJ109" s="3">
        <f t="shared" si="48"/>
        <v>1</v>
      </c>
      <c r="AK109" s="2">
        <v>14</v>
      </c>
      <c r="AL109" s="2" t="str">
        <f t="shared" si="33"/>
        <v>1</v>
      </c>
      <c r="AM109" s="10">
        <v>262.39999999999998</v>
      </c>
      <c r="AN109" s="10">
        <v>65.599999999999994</v>
      </c>
      <c r="AO109" s="10">
        <v>1255</v>
      </c>
      <c r="AP109" s="10">
        <v>313.75</v>
      </c>
      <c r="AQ109" s="10" t="s">
        <v>61</v>
      </c>
      <c r="AR109" s="10" t="s">
        <v>61</v>
      </c>
      <c r="AS109" s="10">
        <v>25</v>
      </c>
      <c r="AT109" s="2" t="str">
        <f t="shared" si="34"/>
        <v>1</v>
      </c>
      <c r="AU109" s="10">
        <v>1</v>
      </c>
      <c r="AV109" s="10">
        <v>1</v>
      </c>
      <c r="AW109" s="10">
        <v>1</v>
      </c>
      <c r="AX109" s="10">
        <v>1</v>
      </c>
      <c r="AY109" s="2">
        <v>1</v>
      </c>
      <c r="AZ109" s="10">
        <v>2021</v>
      </c>
      <c r="BA109" s="2">
        <f t="shared" si="35"/>
        <v>4</v>
      </c>
      <c r="BB109" s="2" t="str">
        <f t="shared" si="36"/>
        <v>1</v>
      </c>
      <c r="BC109" s="3">
        <v>1</v>
      </c>
      <c r="BD109" s="7">
        <f t="shared" si="50"/>
        <v>1.1500000000000001</v>
      </c>
      <c r="BE109" s="100" t="s">
        <v>828</v>
      </c>
      <c r="BF109" s="62"/>
      <c r="BG109" s="62"/>
      <c r="BH109" s="2">
        <v>9285</v>
      </c>
      <c r="BI109" s="10"/>
      <c r="BJ109" s="10"/>
      <c r="BK109" s="10"/>
      <c r="BL109" s="10"/>
      <c r="BM109" s="10"/>
    </row>
    <row r="110" spans="1:66" ht="64" x14ac:dyDescent="0.2">
      <c r="A110" s="10">
        <v>20057668</v>
      </c>
      <c r="B110" s="10">
        <v>153149</v>
      </c>
      <c r="C110" s="10">
        <v>2000</v>
      </c>
      <c r="D110" s="10" t="s">
        <v>73</v>
      </c>
      <c r="E110" s="10" t="s">
        <v>412</v>
      </c>
      <c r="F110" s="10" t="s">
        <v>413</v>
      </c>
      <c r="G110" s="10" t="s">
        <v>125</v>
      </c>
      <c r="H110" s="10" t="s">
        <v>126</v>
      </c>
      <c r="I110" s="10" t="s">
        <v>65</v>
      </c>
      <c r="J110" s="10" t="s">
        <v>61</v>
      </c>
      <c r="K110" s="10" t="s">
        <v>66</v>
      </c>
      <c r="L110" s="10" t="s">
        <v>76</v>
      </c>
      <c r="M110" s="10" t="s">
        <v>60</v>
      </c>
      <c r="N110" s="10" t="s">
        <v>61</v>
      </c>
      <c r="O110" s="10" t="s">
        <v>77</v>
      </c>
      <c r="P110" s="11">
        <v>2.4</v>
      </c>
      <c r="Q110" s="10">
        <v>2.6</v>
      </c>
      <c r="R110" s="10">
        <v>2</v>
      </c>
      <c r="S110" s="10">
        <v>0.9</v>
      </c>
      <c r="T110" s="2">
        <f t="shared" si="24"/>
        <v>7.9</v>
      </c>
      <c r="U110" s="10">
        <v>215</v>
      </c>
      <c r="V110" s="10">
        <v>2133</v>
      </c>
      <c r="W110" s="2" t="str">
        <f t="shared" si="41"/>
        <v>2</v>
      </c>
      <c r="X110" s="2" t="str">
        <f t="shared" si="42"/>
        <v>2</v>
      </c>
      <c r="Y110" s="2" t="str">
        <f t="shared" si="43"/>
        <v>1</v>
      </c>
      <c r="Z110" s="3" t="str">
        <f t="shared" si="44"/>
        <v>1</v>
      </c>
      <c r="AA110" s="10">
        <v>0.1</v>
      </c>
      <c r="AB110" s="3">
        <f t="shared" si="37"/>
        <v>1.5</v>
      </c>
      <c r="AC110" s="10">
        <v>47</v>
      </c>
      <c r="AD110" s="10">
        <v>9</v>
      </c>
      <c r="AE110" s="10">
        <v>0.02</v>
      </c>
      <c r="AF110" s="10">
        <v>44.3</v>
      </c>
      <c r="AG110" s="2">
        <f t="shared" si="45"/>
        <v>2215</v>
      </c>
      <c r="AH110" s="2" t="str">
        <f t="shared" si="46"/>
        <v>1</v>
      </c>
      <c r="AI110" s="3" t="str">
        <f t="shared" si="47"/>
        <v>1</v>
      </c>
      <c r="AJ110" s="3">
        <f t="shared" si="48"/>
        <v>1</v>
      </c>
      <c r="AK110" s="2">
        <v>14</v>
      </c>
      <c r="AL110" s="2" t="str">
        <f t="shared" si="33"/>
        <v>1</v>
      </c>
      <c r="AM110" s="10">
        <v>33.5</v>
      </c>
      <c r="AN110" s="10">
        <v>12.059999999999999</v>
      </c>
      <c r="AO110" s="10">
        <v>83.6</v>
      </c>
      <c r="AP110" s="10">
        <v>30.095999999999997</v>
      </c>
      <c r="AQ110" s="10" t="s">
        <v>61</v>
      </c>
      <c r="AR110" s="10" t="s">
        <v>61</v>
      </c>
      <c r="AS110" s="10">
        <v>36</v>
      </c>
      <c r="AT110" s="2" t="str">
        <f t="shared" si="34"/>
        <v>1</v>
      </c>
      <c r="AU110" s="10">
        <v>1</v>
      </c>
      <c r="AV110" s="10">
        <v>1</v>
      </c>
      <c r="AW110" s="10">
        <v>1</v>
      </c>
      <c r="AX110" s="10" t="s">
        <v>61</v>
      </c>
      <c r="AY110" s="2">
        <v>1</v>
      </c>
      <c r="AZ110" s="10">
        <v>1995</v>
      </c>
      <c r="BA110" s="2">
        <f t="shared" si="35"/>
        <v>30</v>
      </c>
      <c r="BB110" s="2" t="str">
        <f t="shared" si="36"/>
        <v>5</v>
      </c>
      <c r="BC110" s="3">
        <v>1</v>
      </c>
      <c r="BD110" s="7">
        <f t="shared" si="50"/>
        <v>1.3</v>
      </c>
      <c r="BE110" s="100" t="s">
        <v>828</v>
      </c>
      <c r="BF110" s="62"/>
      <c r="BG110" s="62"/>
      <c r="BH110" s="2">
        <v>963</v>
      </c>
      <c r="BI110" s="10"/>
      <c r="BJ110" s="10"/>
      <c r="BK110" s="107">
        <v>46170</v>
      </c>
      <c r="BL110" s="10" t="s">
        <v>937</v>
      </c>
      <c r="BM110" s="10"/>
    </row>
    <row r="111" spans="1:66" ht="32" x14ac:dyDescent="0.2">
      <c r="A111" s="10">
        <v>20017774</v>
      </c>
      <c r="B111" s="10">
        <v>288054</v>
      </c>
      <c r="C111" s="10">
        <v>6500</v>
      </c>
      <c r="D111" s="10" t="s">
        <v>73</v>
      </c>
      <c r="E111" s="12" t="s">
        <v>414</v>
      </c>
      <c r="F111" s="10" t="s">
        <v>416</v>
      </c>
      <c r="G111" s="10" t="s">
        <v>70</v>
      </c>
      <c r="H111" s="10" t="s">
        <v>70</v>
      </c>
      <c r="I111" s="10" t="s">
        <v>81</v>
      </c>
      <c r="J111" s="10" t="s">
        <v>143</v>
      </c>
      <c r="K111" s="10" t="s">
        <v>66</v>
      </c>
      <c r="L111" s="10" t="s">
        <v>76</v>
      </c>
      <c r="M111" s="10" t="s">
        <v>60</v>
      </c>
      <c r="N111" s="10" t="s">
        <v>61</v>
      </c>
      <c r="O111" s="10" t="s">
        <v>83</v>
      </c>
      <c r="P111" s="11">
        <v>160</v>
      </c>
      <c r="Q111" s="10">
        <v>35</v>
      </c>
      <c r="R111" s="10">
        <v>38</v>
      </c>
      <c r="S111" s="10">
        <v>21</v>
      </c>
      <c r="T111" s="2">
        <f t="shared" si="24"/>
        <v>254</v>
      </c>
      <c r="U111" s="10">
        <v>234</v>
      </c>
      <c r="V111" s="10">
        <v>1988</v>
      </c>
      <c r="W111" s="2" t="str">
        <f t="shared" si="41"/>
        <v>2</v>
      </c>
      <c r="X111" s="2" t="str">
        <f t="shared" si="42"/>
        <v>2</v>
      </c>
      <c r="Y111" s="2" t="str">
        <f t="shared" si="43"/>
        <v>3</v>
      </c>
      <c r="Z111" s="3" t="str">
        <f t="shared" si="44"/>
        <v>1</v>
      </c>
      <c r="AA111" s="10">
        <v>0.1</v>
      </c>
      <c r="AB111" s="3">
        <f t="shared" si="37"/>
        <v>2</v>
      </c>
      <c r="AC111" s="10">
        <v>40</v>
      </c>
      <c r="AD111" s="10">
        <v>15</v>
      </c>
      <c r="AE111" s="10">
        <v>0.05</v>
      </c>
      <c r="AF111" s="10">
        <v>31.3</v>
      </c>
      <c r="AG111" s="2">
        <f t="shared" si="45"/>
        <v>626</v>
      </c>
      <c r="AH111" s="2" t="str">
        <f t="shared" si="46"/>
        <v>1</v>
      </c>
      <c r="AI111" s="3" t="str">
        <f t="shared" si="47"/>
        <v>5</v>
      </c>
      <c r="AJ111" s="3">
        <f t="shared" si="48"/>
        <v>1.8</v>
      </c>
      <c r="AK111" s="2">
        <v>407</v>
      </c>
      <c r="AL111" s="2" t="str">
        <f t="shared" si="33"/>
        <v>1</v>
      </c>
      <c r="AM111" s="10">
        <v>108.8</v>
      </c>
      <c r="AN111" s="10">
        <v>78.335999999999999</v>
      </c>
      <c r="AO111" s="10">
        <v>271.89999999999998</v>
      </c>
      <c r="AP111" s="10">
        <v>195.76799999999997</v>
      </c>
      <c r="AQ111" s="10" t="s">
        <v>61</v>
      </c>
      <c r="AR111" s="10" t="s">
        <v>61</v>
      </c>
      <c r="AS111" s="10">
        <v>72</v>
      </c>
      <c r="AT111" s="2" t="str">
        <f t="shared" si="34"/>
        <v>3</v>
      </c>
      <c r="AU111" s="10">
        <v>1</v>
      </c>
      <c r="AV111" s="10">
        <v>1</v>
      </c>
      <c r="AW111" s="10">
        <v>1</v>
      </c>
      <c r="AX111" s="10" t="s">
        <v>61</v>
      </c>
      <c r="AY111" s="2">
        <v>1</v>
      </c>
      <c r="AZ111" s="10">
        <v>2007</v>
      </c>
      <c r="BA111" s="2">
        <f t="shared" si="35"/>
        <v>18</v>
      </c>
      <c r="BB111" s="2" t="str">
        <f t="shared" si="36"/>
        <v>2</v>
      </c>
      <c r="BC111" s="3">
        <v>1</v>
      </c>
      <c r="BD111" s="7">
        <f t="shared" si="50"/>
        <v>1.6340000000000001</v>
      </c>
      <c r="BE111" s="62" t="s">
        <v>825</v>
      </c>
      <c r="BF111" s="62"/>
      <c r="BG111" s="62" t="s">
        <v>871</v>
      </c>
      <c r="BH111" s="2">
        <v>6439</v>
      </c>
      <c r="BI111" s="10" t="s">
        <v>911</v>
      </c>
      <c r="BJ111" s="10"/>
      <c r="BK111" s="10"/>
      <c r="BL111" s="10"/>
      <c r="BM111" s="109">
        <v>82000000</v>
      </c>
      <c r="BN111" s="61" t="s">
        <v>998</v>
      </c>
    </row>
    <row r="112" spans="1:66" ht="16" x14ac:dyDescent="0.2">
      <c r="A112" s="10">
        <v>20017774</v>
      </c>
      <c r="B112" s="10">
        <v>56210119</v>
      </c>
      <c r="C112" s="10">
        <v>6500</v>
      </c>
      <c r="D112" s="10" t="s">
        <v>73</v>
      </c>
      <c r="E112" s="10" t="s">
        <v>414</v>
      </c>
      <c r="F112" s="10" t="s">
        <v>415</v>
      </c>
      <c r="G112" s="10" t="s">
        <v>70</v>
      </c>
      <c r="H112" s="10" t="s">
        <v>70</v>
      </c>
      <c r="I112" s="10" t="s">
        <v>81</v>
      </c>
      <c r="J112" s="10" t="s">
        <v>82</v>
      </c>
      <c r="K112" s="10" t="s">
        <v>66</v>
      </c>
      <c r="L112" s="10" t="s">
        <v>76</v>
      </c>
      <c r="M112" s="10" t="s">
        <v>60</v>
      </c>
      <c r="N112" s="10" t="s">
        <v>61</v>
      </c>
      <c r="O112" s="10" t="s">
        <v>83</v>
      </c>
      <c r="P112" s="11">
        <v>3.1</v>
      </c>
      <c r="Q112" s="10">
        <v>47</v>
      </c>
      <c r="R112" s="10">
        <v>3.5</v>
      </c>
      <c r="S112" s="10">
        <v>9.1999999999999993</v>
      </c>
      <c r="T112" s="2">
        <f t="shared" si="24"/>
        <v>62.8</v>
      </c>
      <c r="U112" s="10">
        <v>882</v>
      </c>
      <c r="V112" s="10">
        <v>3963</v>
      </c>
      <c r="W112" s="2" t="str">
        <f t="shared" si="41"/>
        <v>5</v>
      </c>
      <c r="X112" s="2" t="str">
        <f t="shared" si="42"/>
        <v>3</v>
      </c>
      <c r="Y112" s="2" t="str">
        <f t="shared" si="43"/>
        <v>1</v>
      </c>
      <c r="Z112" s="3" t="str">
        <f t="shared" si="44"/>
        <v>1</v>
      </c>
      <c r="AA112" s="10">
        <v>0</v>
      </c>
      <c r="AB112" s="3">
        <f t="shared" si="37"/>
        <v>2.5</v>
      </c>
      <c r="AC112" s="10">
        <v>57</v>
      </c>
      <c r="AD112" s="10">
        <v>8</v>
      </c>
      <c r="AE112" s="10">
        <v>0.02</v>
      </c>
      <c r="AF112" s="10">
        <v>41.9</v>
      </c>
      <c r="AG112" s="2">
        <f t="shared" si="45"/>
        <v>2095</v>
      </c>
      <c r="AH112" s="2" t="str">
        <f t="shared" si="46"/>
        <v>1</v>
      </c>
      <c r="AI112" s="3" t="str">
        <f t="shared" si="47"/>
        <v>1</v>
      </c>
      <c r="AJ112" s="3">
        <f t="shared" si="48"/>
        <v>1</v>
      </c>
      <c r="AK112" s="2">
        <v>14</v>
      </c>
      <c r="AL112" s="2" t="str">
        <f t="shared" si="33"/>
        <v>1</v>
      </c>
      <c r="AM112" s="10">
        <v>108.78</v>
      </c>
      <c r="AN112" s="10">
        <v>78.321600000000004</v>
      </c>
      <c r="AO112" s="10">
        <v>271.94</v>
      </c>
      <c r="AP112" s="10">
        <v>195.79679999999999</v>
      </c>
      <c r="AQ112" s="10" t="s">
        <v>61</v>
      </c>
      <c r="AR112" s="10" t="s">
        <v>61</v>
      </c>
      <c r="AS112" s="10">
        <v>72</v>
      </c>
      <c r="AT112" s="2" t="str">
        <f t="shared" si="34"/>
        <v>3</v>
      </c>
      <c r="AU112" s="10">
        <v>5</v>
      </c>
      <c r="AV112" s="10">
        <v>5</v>
      </c>
      <c r="AW112" s="10">
        <v>5</v>
      </c>
      <c r="AX112" s="10" t="s">
        <v>61</v>
      </c>
      <c r="AY112" s="2">
        <v>5</v>
      </c>
      <c r="AZ112" s="10">
        <v>2019</v>
      </c>
      <c r="BA112" s="2">
        <f t="shared" si="35"/>
        <v>6</v>
      </c>
      <c r="BB112" s="2" t="str">
        <f t="shared" si="36"/>
        <v>1</v>
      </c>
      <c r="BC112" s="3">
        <v>1</v>
      </c>
      <c r="BD112" s="7">
        <f t="shared" si="50"/>
        <v>2.2199999999999998</v>
      </c>
      <c r="BE112" s="10" t="s">
        <v>822</v>
      </c>
      <c r="BF112" s="62" t="s">
        <v>903</v>
      </c>
      <c r="BG112" s="62" t="s">
        <v>830</v>
      </c>
      <c r="BH112" s="2">
        <v>6914</v>
      </c>
      <c r="BI112" s="10" t="s">
        <v>967</v>
      </c>
      <c r="BJ112" s="10"/>
      <c r="BK112" s="10"/>
      <c r="BL112" s="10"/>
      <c r="BM112" s="10"/>
    </row>
    <row r="113" spans="1:66" ht="80" x14ac:dyDescent="0.2">
      <c r="A113" s="10">
        <v>20027765</v>
      </c>
      <c r="B113" s="10">
        <v>1057609398</v>
      </c>
      <c r="C113" s="10">
        <v>2500</v>
      </c>
      <c r="D113" s="10" t="s">
        <v>73</v>
      </c>
      <c r="E113" s="10" t="s">
        <v>418</v>
      </c>
      <c r="F113" s="10" t="s">
        <v>419</v>
      </c>
      <c r="G113" s="10" t="s">
        <v>58</v>
      </c>
      <c r="H113" s="10" t="s">
        <v>59</v>
      </c>
      <c r="I113" s="10" t="s">
        <v>65</v>
      </c>
      <c r="J113" s="10" t="s">
        <v>61</v>
      </c>
      <c r="K113" s="10" t="s">
        <v>66</v>
      </c>
      <c r="L113" s="10" t="s">
        <v>76</v>
      </c>
      <c r="M113" s="10" t="s">
        <v>60</v>
      </c>
      <c r="N113" s="10" t="s">
        <v>61</v>
      </c>
      <c r="O113" s="10" t="s">
        <v>77</v>
      </c>
      <c r="P113" s="11">
        <v>68</v>
      </c>
      <c r="Q113" s="10">
        <v>25</v>
      </c>
      <c r="R113" s="10">
        <v>3.7</v>
      </c>
      <c r="S113" s="10">
        <v>6.9</v>
      </c>
      <c r="T113" s="2">
        <f t="shared" si="24"/>
        <v>103.60000000000001</v>
      </c>
      <c r="U113" s="10">
        <v>961</v>
      </c>
      <c r="V113" s="10">
        <v>4509</v>
      </c>
      <c r="W113" s="2" t="str">
        <f t="shared" si="41"/>
        <v>5</v>
      </c>
      <c r="X113" s="2" t="str">
        <f t="shared" si="42"/>
        <v>3</v>
      </c>
      <c r="Y113" s="2" t="str">
        <f t="shared" si="43"/>
        <v>2</v>
      </c>
      <c r="Z113" s="3" t="str">
        <f t="shared" si="44"/>
        <v>1</v>
      </c>
      <c r="AA113" s="10">
        <v>0</v>
      </c>
      <c r="AB113" s="3">
        <f t="shared" si="37"/>
        <v>2.75</v>
      </c>
      <c r="AC113" s="10">
        <v>29</v>
      </c>
      <c r="AD113" s="10">
        <v>26</v>
      </c>
      <c r="AE113" s="10">
        <v>0.02</v>
      </c>
      <c r="AF113" s="10">
        <v>43.2</v>
      </c>
      <c r="AG113" s="2">
        <f t="shared" si="45"/>
        <v>2160</v>
      </c>
      <c r="AH113" s="2" t="str">
        <f t="shared" si="46"/>
        <v>2</v>
      </c>
      <c r="AI113" s="3" t="str">
        <f t="shared" si="47"/>
        <v>1</v>
      </c>
      <c r="AJ113" s="3">
        <f t="shared" si="48"/>
        <v>1.8</v>
      </c>
      <c r="AK113" s="2">
        <v>14</v>
      </c>
      <c r="AL113" s="2" t="str">
        <f t="shared" si="33"/>
        <v>1</v>
      </c>
      <c r="AM113" s="10">
        <v>33.47</v>
      </c>
      <c r="AN113" s="10">
        <v>8.7021999999999995</v>
      </c>
      <c r="AO113" s="10">
        <v>83.67</v>
      </c>
      <c r="AP113" s="10">
        <v>21.754200000000001</v>
      </c>
      <c r="AQ113" s="10" t="s">
        <v>61</v>
      </c>
      <c r="AR113" s="10" t="s">
        <v>61</v>
      </c>
      <c r="AS113" s="10">
        <v>26</v>
      </c>
      <c r="AT113" s="2" t="str">
        <f t="shared" si="34"/>
        <v>1</v>
      </c>
      <c r="AU113" s="10">
        <v>1</v>
      </c>
      <c r="AV113" s="10">
        <v>1</v>
      </c>
      <c r="AW113" s="10">
        <v>1</v>
      </c>
      <c r="AX113" s="10" t="s">
        <v>61</v>
      </c>
      <c r="AY113" s="2">
        <v>1</v>
      </c>
      <c r="AZ113" s="10">
        <v>1998</v>
      </c>
      <c r="BA113" s="2">
        <f t="shared" si="35"/>
        <v>27</v>
      </c>
      <c r="BB113" s="2" t="str">
        <f t="shared" si="36"/>
        <v>4</v>
      </c>
      <c r="BC113" s="3">
        <v>1</v>
      </c>
      <c r="BD113" s="7">
        <f t="shared" si="50"/>
        <v>1.6839999999999999</v>
      </c>
      <c r="BE113" s="62" t="s">
        <v>827</v>
      </c>
      <c r="BF113" s="62"/>
      <c r="BG113" s="62"/>
      <c r="BH113" s="2">
        <v>2745</v>
      </c>
      <c r="BI113" s="10"/>
      <c r="BJ113" s="10"/>
      <c r="BK113" s="107">
        <v>46096</v>
      </c>
      <c r="BL113" s="10" t="s">
        <v>933</v>
      </c>
      <c r="BM113" s="10"/>
    </row>
    <row r="114" spans="1:66" ht="32" x14ac:dyDescent="0.2">
      <c r="A114" s="10">
        <v>20027775</v>
      </c>
      <c r="B114" s="10">
        <v>148223</v>
      </c>
      <c r="C114" s="10">
        <v>500</v>
      </c>
      <c r="D114" s="10" t="s">
        <v>73</v>
      </c>
      <c r="E114" s="10" t="s">
        <v>420</v>
      </c>
      <c r="F114" s="101" t="s">
        <v>421</v>
      </c>
      <c r="G114" s="10" t="s">
        <v>58</v>
      </c>
      <c r="H114" s="10" t="s">
        <v>59</v>
      </c>
      <c r="I114" s="10" t="s">
        <v>65</v>
      </c>
      <c r="J114" s="10" t="s">
        <v>61</v>
      </c>
      <c r="K114" s="10" t="s">
        <v>66</v>
      </c>
      <c r="L114" s="10" t="s">
        <v>76</v>
      </c>
      <c r="M114" s="10" t="s">
        <v>60</v>
      </c>
      <c r="N114" s="10" t="s">
        <v>61</v>
      </c>
      <c r="O114" s="10" t="s">
        <v>77</v>
      </c>
      <c r="P114" s="11">
        <v>4568</v>
      </c>
      <c r="Q114" s="10">
        <v>526</v>
      </c>
      <c r="R114" s="10">
        <v>0.4</v>
      </c>
      <c r="S114" s="10">
        <v>48</v>
      </c>
      <c r="T114" s="2">
        <f t="shared" si="24"/>
        <v>5142.3999999999996</v>
      </c>
      <c r="U114" s="10">
        <v>586</v>
      </c>
      <c r="V114" s="10">
        <v>8444</v>
      </c>
      <c r="W114" s="2" t="str">
        <f t="shared" si="41"/>
        <v>4</v>
      </c>
      <c r="X114" s="2" t="str">
        <f t="shared" si="42"/>
        <v>5</v>
      </c>
      <c r="Y114" s="2" t="str">
        <f t="shared" si="43"/>
        <v>5</v>
      </c>
      <c r="Z114" s="3" t="str">
        <f t="shared" si="44"/>
        <v>1</v>
      </c>
      <c r="AA114" s="10">
        <v>0.6</v>
      </c>
      <c r="AB114" s="3">
        <f t="shared" si="37"/>
        <v>3.75</v>
      </c>
      <c r="AC114" s="10">
        <v>33</v>
      </c>
      <c r="AD114" s="10">
        <v>16</v>
      </c>
      <c r="AE114" s="10">
        <v>0.02</v>
      </c>
      <c r="AF114" s="10">
        <v>33.9</v>
      </c>
      <c r="AG114" s="2">
        <f t="shared" si="45"/>
        <v>1695</v>
      </c>
      <c r="AH114" s="2" t="str">
        <f t="shared" si="46"/>
        <v>2</v>
      </c>
      <c r="AI114" s="3" t="str">
        <f t="shared" si="47"/>
        <v>1</v>
      </c>
      <c r="AJ114" s="3">
        <f t="shared" si="48"/>
        <v>1.8</v>
      </c>
      <c r="AK114" s="2">
        <v>3765</v>
      </c>
      <c r="AL114" s="2" t="str">
        <f t="shared" si="33"/>
        <v>3</v>
      </c>
      <c r="AM114" s="10">
        <v>14.49</v>
      </c>
      <c r="AN114" s="10">
        <v>3.7674000000000003</v>
      </c>
      <c r="AO114" s="10">
        <v>62.76</v>
      </c>
      <c r="AP114" s="10">
        <v>16.317599999999999</v>
      </c>
      <c r="AQ114" s="10" t="s">
        <v>61</v>
      </c>
      <c r="AR114" s="10" t="s">
        <v>61</v>
      </c>
      <c r="AS114" s="10">
        <v>62</v>
      </c>
      <c r="AT114" s="2" t="str">
        <f t="shared" si="34"/>
        <v>2</v>
      </c>
      <c r="AU114" s="10">
        <v>5</v>
      </c>
      <c r="AV114" s="10">
        <v>1</v>
      </c>
      <c r="AW114" s="10">
        <v>5</v>
      </c>
      <c r="AX114" s="10" t="s">
        <v>61</v>
      </c>
      <c r="AY114" s="2">
        <v>1</v>
      </c>
      <c r="AZ114" s="10">
        <v>1987</v>
      </c>
      <c r="BA114" s="2">
        <f t="shared" si="35"/>
        <v>38</v>
      </c>
      <c r="BB114" s="2" t="str">
        <f t="shared" si="36"/>
        <v>5</v>
      </c>
      <c r="BC114" s="3">
        <v>1</v>
      </c>
      <c r="BD114" s="7">
        <v>4</v>
      </c>
      <c r="BE114" s="117" t="s">
        <v>976</v>
      </c>
      <c r="BF114" s="62"/>
      <c r="BG114" s="62" t="s">
        <v>819</v>
      </c>
      <c r="BH114" s="2">
        <v>36</v>
      </c>
      <c r="BI114" s="10"/>
      <c r="BJ114" s="10" t="s">
        <v>921</v>
      </c>
      <c r="BK114" s="10"/>
      <c r="BL114" s="10"/>
      <c r="BM114" s="10"/>
      <c r="BN114" s="61" t="s">
        <v>61</v>
      </c>
    </row>
    <row r="115" spans="1:66" ht="32" x14ac:dyDescent="0.2">
      <c r="A115" s="10">
        <v>20027775</v>
      </c>
      <c r="B115" s="10">
        <v>148222</v>
      </c>
      <c r="C115" s="10">
        <v>500</v>
      </c>
      <c r="D115" s="10" t="s">
        <v>73</v>
      </c>
      <c r="E115" s="10" t="s">
        <v>420</v>
      </c>
      <c r="F115" s="10" t="s">
        <v>424</v>
      </c>
      <c r="G115" s="10" t="s">
        <v>58</v>
      </c>
      <c r="H115" s="10" t="s">
        <v>59</v>
      </c>
      <c r="I115" s="10" t="s">
        <v>65</v>
      </c>
      <c r="J115" s="10" t="s">
        <v>61</v>
      </c>
      <c r="K115" s="10" t="s">
        <v>66</v>
      </c>
      <c r="L115" s="10" t="s">
        <v>76</v>
      </c>
      <c r="M115" s="10" t="s">
        <v>60</v>
      </c>
      <c r="N115" s="10" t="s">
        <v>61</v>
      </c>
      <c r="O115" s="10" t="s">
        <v>77</v>
      </c>
      <c r="P115" s="11">
        <v>3216</v>
      </c>
      <c r="Q115" s="10">
        <v>3485</v>
      </c>
      <c r="R115" s="10">
        <v>28</v>
      </c>
      <c r="S115" s="10">
        <v>1653</v>
      </c>
      <c r="T115" s="2">
        <f t="shared" si="24"/>
        <v>8382</v>
      </c>
      <c r="U115" s="10">
        <v>188</v>
      </c>
      <c r="V115" s="10">
        <v>2724</v>
      </c>
      <c r="W115" s="2" t="str">
        <f t="shared" si="41"/>
        <v>2</v>
      </c>
      <c r="X115" s="2" t="str">
        <f t="shared" si="42"/>
        <v>2</v>
      </c>
      <c r="Y115" s="2" t="str">
        <f t="shared" si="43"/>
        <v>5</v>
      </c>
      <c r="Z115" s="3" t="str">
        <f t="shared" si="44"/>
        <v>4</v>
      </c>
      <c r="AA115" s="10">
        <v>6.9</v>
      </c>
      <c r="AB115" s="3">
        <f t="shared" si="37"/>
        <v>3.25</v>
      </c>
      <c r="AC115" s="10">
        <v>30</v>
      </c>
      <c r="AD115" s="10">
        <v>21</v>
      </c>
      <c r="AE115" s="10">
        <v>0.02</v>
      </c>
      <c r="AF115" s="10">
        <v>30.9</v>
      </c>
      <c r="AG115" s="2">
        <f t="shared" si="45"/>
        <v>1545</v>
      </c>
      <c r="AH115" s="2" t="str">
        <f t="shared" si="46"/>
        <v>2</v>
      </c>
      <c r="AI115" s="3" t="str">
        <f t="shared" si="47"/>
        <v>1</v>
      </c>
      <c r="AJ115" s="3">
        <f t="shared" si="48"/>
        <v>1.8</v>
      </c>
      <c r="AK115" s="2">
        <v>3800</v>
      </c>
      <c r="AL115" s="2" t="str">
        <f t="shared" si="33"/>
        <v>3</v>
      </c>
      <c r="AM115" s="10">
        <v>14.49</v>
      </c>
      <c r="AN115" s="10">
        <v>3.7674000000000003</v>
      </c>
      <c r="AO115" s="10">
        <v>62.76</v>
      </c>
      <c r="AP115" s="10">
        <v>16.317599999999999</v>
      </c>
      <c r="AQ115" s="10" t="s">
        <v>61</v>
      </c>
      <c r="AR115" s="10" t="s">
        <v>61</v>
      </c>
      <c r="AS115" s="10">
        <v>62</v>
      </c>
      <c r="AT115" s="2" t="str">
        <f t="shared" si="34"/>
        <v>2</v>
      </c>
      <c r="AU115" s="10">
        <v>5</v>
      </c>
      <c r="AV115" s="10">
        <v>1</v>
      </c>
      <c r="AW115" s="10">
        <v>5</v>
      </c>
      <c r="AX115" s="10" t="s">
        <v>61</v>
      </c>
      <c r="AY115" s="2">
        <v>1</v>
      </c>
      <c r="AZ115" s="10">
        <v>2000</v>
      </c>
      <c r="BA115" s="2">
        <f t="shared" si="35"/>
        <v>25</v>
      </c>
      <c r="BB115" s="2" t="str">
        <f t="shared" si="36"/>
        <v>3</v>
      </c>
      <c r="BC115" s="3">
        <v>1</v>
      </c>
      <c r="BD115" s="7">
        <v>4</v>
      </c>
      <c r="BE115" s="117" t="s">
        <v>976</v>
      </c>
      <c r="BF115" s="62"/>
      <c r="BG115" s="62" t="s">
        <v>819</v>
      </c>
      <c r="BH115" s="2">
        <v>36</v>
      </c>
      <c r="BI115" s="10"/>
      <c r="BJ115" s="10" t="s">
        <v>921</v>
      </c>
      <c r="BK115" s="10"/>
      <c r="BL115" s="10"/>
      <c r="BM115" s="10"/>
    </row>
    <row r="116" spans="1:66" ht="64" x14ac:dyDescent="0.2">
      <c r="A116" s="10">
        <v>20700356</v>
      </c>
      <c r="B116" s="10">
        <v>6817</v>
      </c>
      <c r="C116" s="10">
        <v>35000</v>
      </c>
      <c r="D116" s="10" t="s">
        <v>152</v>
      </c>
      <c r="E116" s="10" t="s">
        <v>425</v>
      </c>
      <c r="F116" s="10" t="s">
        <v>426</v>
      </c>
      <c r="G116" s="10" t="s">
        <v>70</v>
      </c>
      <c r="H116" s="10" t="s">
        <v>70</v>
      </c>
      <c r="I116" s="10" t="s">
        <v>81</v>
      </c>
      <c r="J116" s="10" t="s">
        <v>82</v>
      </c>
      <c r="K116" s="10" t="s">
        <v>48</v>
      </c>
      <c r="L116" s="10">
        <v>66</v>
      </c>
      <c r="M116" s="10" t="s">
        <v>60</v>
      </c>
      <c r="N116" s="10" t="s">
        <v>61</v>
      </c>
      <c r="O116" s="10" t="s">
        <v>155</v>
      </c>
      <c r="P116" s="59">
        <v>0.6</v>
      </c>
      <c r="Q116" s="10">
        <v>0.2</v>
      </c>
      <c r="R116" s="10">
        <v>0.1</v>
      </c>
      <c r="S116" s="10">
        <v>0</v>
      </c>
      <c r="T116" s="2">
        <f t="shared" si="24"/>
        <v>0.9</v>
      </c>
      <c r="U116" s="2">
        <v>3</v>
      </c>
      <c r="V116" s="2">
        <v>70</v>
      </c>
      <c r="W116" s="2" t="str">
        <f t="shared" si="41"/>
        <v>1</v>
      </c>
      <c r="X116" s="2" t="str">
        <f t="shared" si="42"/>
        <v>1</v>
      </c>
      <c r="Y116" s="2" t="str">
        <f t="shared" si="43"/>
        <v>1</v>
      </c>
      <c r="Z116" s="3" t="str">
        <f t="shared" si="44"/>
        <v>1</v>
      </c>
      <c r="AA116" s="10">
        <v>0</v>
      </c>
      <c r="AB116" s="3">
        <f t="shared" si="37"/>
        <v>1</v>
      </c>
      <c r="AC116" s="10">
        <v>30</v>
      </c>
      <c r="AD116" s="10">
        <v>22</v>
      </c>
      <c r="AE116" s="10">
        <v>0.02</v>
      </c>
      <c r="AF116" s="10">
        <v>47</v>
      </c>
      <c r="AG116" s="2">
        <f t="shared" si="45"/>
        <v>2350</v>
      </c>
      <c r="AH116" s="2" t="str">
        <f t="shared" si="46"/>
        <v>2</v>
      </c>
      <c r="AI116" s="3" t="str">
        <f t="shared" si="47"/>
        <v>1</v>
      </c>
      <c r="AJ116" s="3">
        <f t="shared" si="48"/>
        <v>1.8</v>
      </c>
      <c r="AK116" s="2">
        <v>5828</v>
      </c>
      <c r="AL116" s="2" t="str">
        <f t="shared" si="33"/>
        <v>5</v>
      </c>
      <c r="AM116" s="68">
        <v>306</v>
      </c>
      <c r="AN116" s="68">
        <v>116.28</v>
      </c>
      <c r="AO116" s="68">
        <v>1465</v>
      </c>
      <c r="AP116" s="68">
        <v>556.70000000000005</v>
      </c>
      <c r="AQ116" s="68" t="s">
        <v>61</v>
      </c>
      <c r="AR116" s="68" t="s">
        <v>61</v>
      </c>
      <c r="AS116" s="68">
        <v>96</v>
      </c>
      <c r="AT116" s="2" t="str">
        <f t="shared" si="34"/>
        <v>5</v>
      </c>
      <c r="AU116" s="68">
        <v>5</v>
      </c>
      <c r="AV116" s="68">
        <v>5</v>
      </c>
      <c r="AW116" s="68">
        <v>5</v>
      </c>
      <c r="AX116" s="68">
        <v>1</v>
      </c>
      <c r="AY116" s="2">
        <v>1</v>
      </c>
      <c r="AZ116" s="68">
        <v>1971</v>
      </c>
      <c r="BA116" s="67">
        <f t="shared" si="35"/>
        <v>54</v>
      </c>
      <c r="BB116" s="2" t="str">
        <f t="shared" si="36"/>
        <v>5</v>
      </c>
      <c r="BC116" s="37">
        <v>1</v>
      </c>
      <c r="BD116" s="7">
        <v>5</v>
      </c>
      <c r="BE116" s="62" t="s">
        <v>991</v>
      </c>
      <c r="BF116" s="62"/>
      <c r="BG116" s="62" t="s">
        <v>993</v>
      </c>
      <c r="BH116" s="2">
        <v>2071</v>
      </c>
      <c r="BI116" s="10"/>
      <c r="BJ116" s="10" t="s">
        <v>917</v>
      </c>
      <c r="BK116" s="112">
        <v>46264</v>
      </c>
      <c r="BL116" s="113" t="s">
        <v>949</v>
      </c>
      <c r="BM116" s="10"/>
    </row>
    <row r="117" spans="1:66" ht="32" x14ac:dyDescent="0.2">
      <c r="A117" s="10">
        <v>20700356</v>
      </c>
      <c r="B117" s="10" t="s">
        <v>427</v>
      </c>
      <c r="C117" s="10">
        <v>33000</v>
      </c>
      <c r="D117" s="10" t="s">
        <v>152</v>
      </c>
      <c r="E117" s="10" t="s">
        <v>425</v>
      </c>
      <c r="F117" s="10" t="s">
        <v>428</v>
      </c>
      <c r="G117" s="10" t="s">
        <v>70</v>
      </c>
      <c r="H117" s="10" t="s">
        <v>70</v>
      </c>
      <c r="I117" s="10" t="s">
        <v>81</v>
      </c>
      <c r="J117" s="10" t="s">
        <v>82</v>
      </c>
      <c r="K117" s="10" t="s">
        <v>48</v>
      </c>
      <c r="L117" s="10">
        <v>66</v>
      </c>
      <c r="M117" s="10" t="s">
        <v>60</v>
      </c>
      <c r="N117" s="10" t="s">
        <v>61</v>
      </c>
      <c r="O117" s="10" t="s">
        <v>155</v>
      </c>
      <c r="P117" s="11">
        <v>7.2</v>
      </c>
      <c r="Q117" s="10">
        <v>18</v>
      </c>
      <c r="R117" s="10">
        <v>8.1</v>
      </c>
      <c r="S117" s="10">
        <v>2.8</v>
      </c>
      <c r="T117" s="2">
        <f t="shared" si="24"/>
        <v>36.099999999999994</v>
      </c>
      <c r="U117" s="2">
        <v>1573</v>
      </c>
      <c r="V117" s="2">
        <v>3288</v>
      </c>
      <c r="W117" s="2" t="str">
        <f t="shared" si="41"/>
        <v>5</v>
      </c>
      <c r="X117" s="2" t="str">
        <f t="shared" si="42"/>
        <v>3</v>
      </c>
      <c r="Y117" s="2" t="str">
        <f t="shared" si="43"/>
        <v>1</v>
      </c>
      <c r="Z117" s="3" t="str">
        <f t="shared" si="44"/>
        <v>1</v>
      </c>
      <c r="AA117" s="10">
        <v>0.1</v>
      </c>
      <c r="AB117" s="3">
        <f t="shared" si="37"/>
        <v>2.5</v>
      </c>
      <c r="AC117" s="10">
        <v>63</v>
      </c>
      <c r="AD117" s="10">
        <v>6</v>
      </c>
      <c r="AE117" s="10">
        <v>0.02</v>
      </c>
      <c r="AF117" s="10">
        <v>43.7</v>
      </c>
      <c r="AG117" s="2">
        <f t="shared" si="45"/>
        <v>2185</v>
      </c>
      <c r="AH117" s="2" t="str">
        <f t="shared" si="46"/>
        <v>1</v>
      </c>
      <c r="AI117" s="3" t="str">
        <f t="shared" si="47"/>
        <v>1</v>
      </c>
      <c r="AJ117" s="3">
        <f t="shared" si="48"/>
        <v>1</v>
      </c>
      <c r="AK117" s="2">
        <v>3456</v>
      </c>
      <c r="AL117" s="2" t="str">
        <f t="shared" si="33"/>
        <v>2</v>
      </c>
      <c r="AM117" s="10">
        <v>288.7</v>
      </c>
      <c r="AN117" s="10">
        <v>118.36699999999999</v>
      </c>
      <c r="AO117" s="10">
        <v>1380</v>
      </c>
      <c r="AP117" s="10">
        <v>565.79999999999995</v>
      </c>
      <c r="AQ117" s="10" t="s">
        <v>61</v>
      </c>
      <c r="AR117" s="10" t="s">
        <v>61</v>
      </c>
      <c r="AS117" s="10">
        <v>62</v>
      </c>
      <c r="AT117" s="2" t="str">
        <f t="shared" si="34"/>
        <v>2</v>
      </c>
      <c r="AU117" s="10">
        <v>1</v>
      </c>
      <c r="AV117" s="10">
        <v>1</v>
      </c>
      <c r="AW117" s="10">
        <v>1</v>
      </c>
      <c r="AX117" s="10">
        <v>1</v>
      </c>
      <c r="AY117" s="2">
        <v>1</v>
      </c>
      <c r="AZ117" s="10">
        <v>1998</v>
      </c>
      <c r="BA117" s="2">
        <f t="shared" si="35"/>
        <v>27</v>
      </c>
      <c r="BB117" s="2" t="str">
        <f t="shared" si="36"/>
        <v>4</v>
      </c>
      <c r="BC117" s="3">
        <v>1</v>
      </c>
      <c r="BD117" s="7">
        <f>(AB117*0.2)+(AJ117*0.23)+(AL117*0.05)+(AT117*0.1)+(AY117*0.18)+(BB117*0.05)+(BC117*0.19)</f>
        <v>1.5999999999999999</v>
      </c>
      <c r="BE117" s="62" t="s">
        <v>832</v>
      </c>
      <c r="BG117" s="62"/>
      <c r="BH117" s="2">
        <v>119</v>
      </c>
      <c r="BI117" s="10"/>
      <c r="BJ117" s="10"/>
      <c r="BK117" s="10"/>
      <c r="BL117" s="10"/>
      <c r="BM117" s="10"/>
    </row>
    <row r="118" spans="1:66" ht="64" x14ac:dyDescent="0.2">
      <c r="A118" s="10">
        <v>20700452</v>
      </c>
      <c r="B118" s="10">
        <v>224024</v>
      </c>
      <c r="C118" s="10">
        <v>6250</v>
      </c>
      <c r="D118" s="10" t="s">
        <v>73</v>
      </c>
      <c r="E118" s="10" t="s">
        <v>430</v>
      </c>
      <c r="F118" s="10" t="s">
        <v>431</v>
      </c>
      <c r="G118" s="10" t="s">
        <v>125</v>
      </c>
      <c r="H118" s="10" t="s">
        <v>126</v>
      </c>
      <c r="I118" s="10" t="s">
        <v>81</v>
      </c>
      <c r="J118" s="10" t="s">
        <v>143</v>
      </c>
      <c r="K118" s="10" t="s">
        <v>66</v>
      </c>
      <c r="L118" s="10" t="s">
        <v>76</v>
      </c>
      <c r="M118" s="10" t="s">
        <v>60</v>
      </c>
      <c r="N118" s="10" t="s">
        <v>61</v>
      </c>
      <c r="O118" s="10" t="s">
        <v>83</v>
      </c>
      <c r="P118" s="11">
        <v>5.3</v>
      </c>
      <c r="Q118" s="10">
        <v>4.0999999999999996</v>
      </c>
      <c r="R118" s="10">
        <v>1.7</v>
      </c>
      <c r="S118" s="10">
        <v>0.4</v>
      </c>
      <c r="T118" s="2">
        <f t="shared" si="24"/>
        <v>11.499999999999998</v>
      </c>
      <c r="U118" s="2">
        <v>505</v>
      </c>
      <c r="V118" s="2">
        <v>2352</v>
      </c>
      <c r="W118" s="2" t="str">
        <f t="shared" si="41"/>
        <v>3</v>
      </c>
      <c r="X118" s="2" t="str">
        <f t="shared" si="42"/>
        <v>2</v>
      </c>
      <c r="Y118" s="2" t="str">
        <f t="shared" si="43"/>
        <v>1</v>
      </c>
      <c r="Z118" s="3" t="str">
        <f t="shared" si="44"/>
        <v>1</v>
      </c>
      <c r="AA118" s="10">
        <v>0</v>
      </c>
      <c r="AB118" s="3">
        <f t="shared" si="37"/>
        <v>1.75</v>
      </c>
      <c r="AC118" s="10">
        <v>54</v>
      </c>
      <c r="AD118" s="10">
        <v>8</v>
      </c>
      <c r="AE118" s="10">
        <v>0.02</v>
      </c>
      <c r="AF118" s="10">
        <v>40.1</v>
      </c>
      <c r="AG118" s="2">
        <f t="shared" si="45"/>
        <v>2005</v>
      </c>
      <c r="AH118" s="2" t="str">
        <f t="shared" si="46"/>
        <v>1</v>
      </c>
      <c r="AI118" s="3" t="str">
        <f t="shared" si="47"/>
        <v>1</v>
      </c>
      <c r="AJ118" s="3">
        <f t="shared" si="48"/>
        <v>1</v>
      </c>
      <c r="AK118" s="2">
        <v>14</v>
      </c>
      <c r="AL118" s="2" t="str">
        <f t="shared" si="33"/>
        <v>1</v>
      </c>
      <c r="AM118" s="10">
        <v>83.67</v>
      </c>
      <c r="AN118" s="10">
        <v>51.875399999999999</v>
      </c>
      <c r="AO118" s="10">
        <v>209.19</v>
      </c>
      <c r="AP118" s="10">
        <v>129.6978</v>
      </c>
      <c r="AQ118" s="10" t="s">
        <v>61</v>
      </c>
      <c r="AR118" s="10" t="s">
        <v>61</v>
      </c>
      <c r="AS118" s="10">
        <v>62</v>
      </c>
      <c r="AT118" s="2" t="str">
        <f t="shared" si="34"/>
        <v>2</v>
      </c>
      <c r="AU118" s="10">
        <v>1</v>
      </c>
      <c r="AV118" s="10">
        <v>1</v>
      </c>
      <c r="AW118" s="10">
        <v>1</v>
      </c>
      <c r="AX118" s="10" t="s">
        <v>61</v>
      </c>
      <c r="AY118" s="2">
        <v>1</v>
      </c>
      <c r="AZ118" s="10">
        <v>2001</v>
      </c>
      <c r="BA118" s="2">
        <f t="shared" si="35"/>
        <v>24</v>
      </c>
      <c r="BB118" s="2" t="str">
        <f t="shared" si="36"/>
        <v>3</v>
      </c>
      <c r="BC118" s="3">
        <v>1</v>
      </c>
      <c r="BD118" s="7">
        <f>(AB118*0.2)+(AJ118*0.23)+(AL118*0.05)+(AT118*0.1)+(AY118*0.18)+(BB118*0.05)+(BC118*0.19)</f>
        <v>1.35</v>
      </c>
      <c r="BE118" s="62" t="s">
        <v>828</v>
      </c>
      <c r="BF118" s="62"/>
      <c r="BG118" s="62"/>
      <c r="BH118" s="2">
        <v>6439</v>
      </c>
      <c r="BI118" s="10"/>
      <c r="BJ118" s="10"/>
      <c r="BK118" s="10" t="s">
        <v>952</v>
      </c>
      <c r="BL118" s="10" t="s">
        <v>949</v>
      </c>
      <c r="BM118" s="10"/>
      <c r="BN118" s="61" t="s">
        <v>997</v>
      </c>
    </row>
    <row r="119" spans="1:66" ht="80" x14ac:dyDescent="0.2">
      <c r="A119" s="10">
        <v>20047780</v>
      </c>
      <c r="B119" s="10">
        <v>201266</v>
      </c>
      <c r="C119" s="10">
        <v>45000</v>
      </c>
      <c r="D119" s="10" t="s">
        <v>134</v>
      </c>
      <c r="E119" s="10" t="s">
        <v>432</v>
      </c>
      <c r="F119" s="10" t="s">
        <v>433</v>
      </c>
      <c r="G119" s="10" t="s">
        <v>70</v>
      </c>
      <c r="H119" s="10" t="s">
        <v>70</v>
      </c>
      <c r="I119" s="10" t="s">
        <v>81</v>
      </c>
      <c r="J119" s="10" t="s">
        <v>82</v>
      </c>
      <c r="K119" s="10" t="s">
        <v>48</v>
      </c>
      <c r="L119" s="10">
        <v>110</v>
      </c>
      <c r="M119" s="10" t="s">
        <v>137</v>
      </c>
      <c r="N119" s="10" t="s">
        <v>60</v>
      </c>
      <c r="O119" s="10" t="s">
        <v>311</v>
      </c>
      <c r="P119" s="11">
        <v>2.7</v>
      </c>
      <c r="Q119" s="10">
        <v>28</v>
      </c>
      <c r="R119" s="10">
        <v>4</v>
      </c>
      <c r="S119" s="10">
        <v>4.2</v>
      </c>
      <c r="T119" s="2">
        <f t="shared" si="24"/>
        <v>38.900000000000006</v>
      </c>
      <c r="U119" s="10">
        <v>1333</v>
      </c>
      <c r="V119" s="10">
        <v>4523</v>
      </c>
      <c r="W119" s="2" t="str">
        <f t="shared" si="41"/>
        <v>5</v>
      </c>
      <c r="X119" s="2" t="str">
        <f t="shared" si="42"/>
        <v>3</v>
      </c>
      <c r="Y119" s="2" t="str">
        <f t="shared" si="43"/>
        <v>1</v>
      </c>
      <c r="Z119" s="3" t="str">
        <f t="shared" si="44"/>
        <v>1</v>
      </c>
      <c r="AA119" s="10">
        <v>0</v>
      </c>
      <c r="AB119" s="3">
        <f t="shared" si="37"/>
        <v>2.5</v>
      </c>
      <c r="AC119" s="10">
        <v>46</v>
      </c>
      <c r="AD119" s="10">
        <v>9</v>
      </c>
      <c r="AE119" s="10">
        <v>0.02</v>
      </c>
      <c r="AF119" s="10">
        <v>40.1</v>
      </c>
      <c r="AG119" s="2">
        <f t="shared" si="45"/>
        <v>2005</v>
      </c>
      <c r="AH119" s="2" t="str">
        <f t="shared" si="46"/>
        <v>1</v>
      </c>
      <c r="AI119" s="3" t="str">
        <f t="shared" si="47"/>
        <v>1</v>
      </c>
      <c r="AJ119" s="3">
        <f t="shared" si="48"/>
        <v>1</v>
      </c>
      <c r="AK119" s="2">
        <v>16</v>
      </c>
      <c r="AL119" s="2" t="str">
        <f t="shared" si="33"/>
        <v>1</v>
      </c>
      <c r="AM119" s="10">
        <v>236.2</v>
      </c>
      <c r="AN119" s="10">
        <v>139.35799999999998</v>
      </c>
      <c r="AO119" s="10">
        <v>502</v>
      </c>
      <c r="AP119" s="10">
        <v>381.52</v>
      </c>
      <c r="AQ119" s="10">
        <v>1045.9000000000001</v>
      </c>
      <c r="AR119" s="10">
        <v>282.39300000000003</v>
      </c>
      <c r="AS119" s="10">
        <v>76</v>
      </c>
      <c r="AT119" s="2" t="str">
        <f t="shared" si="34"/>
        <v>4</v>
      </c>
      <c r="AU119" s="10">
        <v>1</v>
      </c>
      <c r="AV119" s="10">
        <v>1</v>
      </c>
      <c r="AW119" s="10">
        <v>1</v>
      </c>
      <c r="AX119" s="10">
        <v>1</v>
      </c>
      <c r="AY119" s="2">
        <v>1</v>
      </c>
      <c r="AZ119" s="10">
        <v>2014</v>
      </c>
      <c r="BA119" s="2">
        <f t="shared" si="35"/>
        <v>11</v>
      </c>
      <c r="BB119" s="2" t="str">
        <f t="shared" si="36"/>
        <v>2</v>
      </c>
      <c r="BC119" s="3">
        <v>1</v>
      </c>
      <c r="BD119" s="7">
        <f>(AB119*0.2)+(AJ119*0.23)+(AL119*0.05)+(AT119*0.1)+(AY119*0.18)+(BB119*0.05)+(BC119*0.19)</f>
        <v>1.6500000000000001</v>
      </c>
      <c r="BE119" s="62" t="s">
        <v>827</v>
      </c>
      <c r="BF119" s="62"/>
      <c r="BG119" s="8" t="s">
        <v>872</v>
      </c>
      <c r="BH119" s="2">
        <v>27943</v>
      </c>
      <c r="BI119" s="10"/>
      <c r="BJ119" s="10"/>
      <c r="BK119" s="10"/>
      <c r="BL119" s="10"/>
      <c r="BM119" s="10"/>
    </row>
    <row r="120" spans="1:66" ht="80" x14ac:dyDescent="0.2">
      <c r="A120" s="10">
        <v>20057776</v>
      </c>
      <c r="B120" s="10">
        <v>1079537170</v>
      </c>
      <c r="C120" s="10">
        <v>15000</v>
      </c>
      <c r="D120" s="10" t="s">
        <v>73</v>
      </c>
      <c r="E120" s="10" t="s">
        <v>434</v>
      </c>
      <c r="F120" s="10" t="s">
        <v>436</v>
      </c>
      <c r="G120" s="10" t="s">
        <v>125</v>
      </c>
      <c r="H120" s="10" t="s">
        <v>126</v>
      </c>
      <c r="I120" s="10" t="s">
        <v>81</v>
      </c>
      <c r="J120" s="10" t="s">
        <v>82</v>
      </c>
      <c r="K120" s="10" t="s">
        <v>48</v>
      </c>
      <c r="L120" s="10" t="s">
        <v>76</v>
      </c>
      <c r="M120" s="10" t="s">
        <v>60</v>
      </c>
      <c r="N120" s="10" t="s">
        <v>61</v>
      </c>
      <c r="O120" s="10" t="s">
        <v>164</v>
      </c>
      <c r="P120" s="11">
        <v>12.3</v>
      </c>
      <c r="Q120" s="10">
        <v>15.6</v>
      </c>
      <c r="R120" s="10">
        <v>3.5</v>
      </c>
      <c r="S120" s="10">
        <v>4.2</v>
      </c>
      <c r="T120" s="2">
        <f t="shared" si="24"/>
        <v>35.6</v>
      </c>
      <c r="U120" s="2">
        <v>1253</v>
      </c>
      <c r="V120" s="2">
        <v>2493</v>
      </c>
      <c r="W120" s="2" t="str">
        <f t="shared" si="41"/>
        <v>5</v>
      </c>
      <c r="X120" s="2" t="str">
        <f t="shared" si="42"/>
        <v>2</v>
      </c>
      <c r="Y120" s="2" t="str">
        <f t="shared" si="43"/>
        <v>1</v>
      </c>
      <c r="Z120" s="3" t="str">
        <f t="shared" si="44"/>
        <v>1</v>
      </c>
      <c r="AA120" s="10">
        <v>0</v>
      </c>
      <c r="AB120" s="3">
        <f t="shared" si="37"/>
        <v>2.25</v>
      </c>
      <c r="AC120" s="10">
        <v>60</v>
      </c>
      <c r="AD120" s="10">
        <v>5</v>
      </c>
      <c r="AE120" s="10">
        <v>0.02</v>
      </c>
      <c r="AF120" s="10">
        <v>46.6</v>
      </c>
      <c r="AG120" s="2">
        <f t="shared" si="45"/>
        <v>2330</v>
      </c>
      <c r="AH120" s="2" t="str">
        <f t="shared" si="46"/>
        <v>1</v>
      </c>
      <c r="AI120" s="3" t="str">
        <f t="shared" si="47"/>
        <v>1</v>
      </c>
      <c r="AJ120" s="3">
        <f t="shared" si="48"/>
        <v>1</v>
      </c>
      <c r="AK120" s="2">
        <v>14</v>
      </c>
      <c r="AL120" s="2" t="str">
        <f t="shared" si="33"/>
        <v>1</v>
      </c>
      <c r="AM120" s="10">
        <v>251</v>
      </c>
      <c r="AN120" s="10">
        <v>223.39000000000001</v>
      </c>
      <c r="AO120" s="10">
        <v>627.6</v>
      </c>
      <c r="AP120" s="10">
        <v>558.56400000000008</v>
      </c>
      <c r="AQ120" s="10" t="s">
        <v>61</v>
      </c>
      <c r="AR120" s="10" t="s">
        <v>61</v>
      </c>
      <c r="AS120" s="10">
        <v>85</v>
      </c>
      <c r="AT120" s="2" t="str">
        <f t="shared" si="34"/>
        <v>4</v>
      </c>
      <c r="AU120" s="10">
        <v>1</v>
      </c>
      <c r="AV120" s="10">
        <v>1</v>
      </c>
      <c r="AW120" s="10">
        <v>1</v>
      </c>
      <c r="AX120" s="10">
        <v>1</v>
      </c>
      <c r="AY120" s="2">
        <v>1</v>
      </c>
      <c r="AZ120" s="10">
        <v>2023</v>
      </c>
      <c r="BA120" s="2">
        <f t="shared" si="35"/>
        <v>2</v>
      </c>
      <c r="BB120" s="2" t="str">
        <f t="shared" si="36"/>
        <v>1</v>
      </c>
      <c r="BC120" s="3">
        <v>1</v>
      </c>
      <c r="BD120" s="7">
        <f>(AB120*0.2)+(AJ120*0.23)+(AL120*0.05)+(AT120*0.1)+(AY120*0.18)+(BB120*0.05)+(BC120*0.19)</f>
        <v>1.55</v>
      </c>
      <c r="BE120" s="62" t="s">
        <v>827</v>
      </c>
      <c r="BF120" s="62"/>
      <c r="BG120" s="62"/>
      <c r="BH120" s="2">
        <v>18912</v>
      </c>
      <c r="BI120" s="10"/>
      <c r="BJ120" s="10"/>
      <c r="BK120" s="10"/>
      <c r="BL120" s="10"/>
      <c r="BM120" s="10"/>
    </row>
    <row r="121" spans="1:66" ht="32" x14ac:dyDescent="0.2">
      <c r="A121" s="10">
        <v>20057776</v>
      </c>
      <c r="B121" s="10">
        <v>176976</v>
      </c>
      <c r="C121" s="10">
        <v>4000</v>
      </c>
      <c r="D121" s="10" t="s">
        <v>73</v>
      </c>
      <c r="E121" s="101" t="s">
        <v>434</v>
      </c>
      <c r="F121" s="10" t="s">
        <v>435</v>
      </c>
      <c r="G121" s="10" t="s">
        <v>125</v>
      </c>
      <c r="H121" s="10" t="s">
        <v>126</v>
      </c>
      <c r="I121" s="10" t="s">
        <v>65</v>
      </c>
      <c r="J121" s="10" t="s">
        <v>61</v>
      </c>
      <c r="K121" s="10" t="s">
        <v>66</v>
      </c>
      <c r="L121" s="10" t="s">
        <v>76</v>
      </c>
      <c r="M121" s="10" t="s">
        <v>60</v>
      </c>
      <c r="N121" s="10" t="s">
        <v>61</v>
      </c>
      <c r="O121" s="10" t="s">
        <v>130</v>
      </c>
      <c r="P121" s="11">
        <v>12</v>
      </c>
      <c r="Q121" s="10">
        <v>11.7</v>
      </c>
      <c r="R121" s="10">
        <v>35</v>
      </c>
      <c r="S121" s="10">
        <v>3.3</v>
      </c>
      <c r="T121" s="2">
        <f t="shared" si="24"/>
        <v>62</v>
      </c>
      <c r="U121" s="2">
        <v>423</v>
      </c>
      <c r="V121" s="2">
        <v>2516</v>
      </c>
      <c r="W121" s="2" t="str">
        <f t="shared" si="41"/>
        <v>3</v>
      </c>
      <c r="X121" s="2" t="str">
        <f t="shared" si="42"/>
        <v>2</v>
      </c>
      <c r="Y121" s="2" t="str">
        <f t="shared" si="43"/>
        <v>1</v>
      </c>
      <c r="Z121" s="3" t="str">
        <f t="shared" si="44"/>
        <v>5</v>
      </c>
      <c r="AA121" s="10">
        <v>35</v>
      </c>
      <c r="AB121" s="3">
        <f t="shared" si="37"/>
        <v>2.75</v>
      </c>
      <c r="AC121" s="10">
        <v>47</v>
      </c>
      <c r="AD121" s="10">
        <v>13</v>
      </c>
      <c r="AE121" s="10">
        <v>0.02</v>
      </c>
      <c r="AF121" s="10">
        <v>43.3</v>
      </c>
      <c r="AG121" s="2">
        <f t="shared" si="45"/>
        <v>2165</v>
      </c>
      <c r="AH121" s="2" t="str">
        <f t="shared" si="46"/>
        <v>1</v>
      </c>
      <c r="AI121" s="3" t="str">
        <f t="shared" si="47"/>
        <v>1</v>
      </c>
      <c r="AJ121" s="3">
        <f t="shared" si="48"/>
        <v>1</v>
      </c>
      <c r="AK121" s="2">
        <v>111</v>
      </c>
      <c r="AL121" s="2" t="str">
        <f t="shared" si="33"/>
        <v>1</v>
      </c>
      <c r="AM121" s="10">
        <v>66.930000000000007</v>
      </c>
      <c r="AN121" s="10">
        <v>48.189600000000006</v>
      </c>
      <c r="AO121" s="10">
        <v>167.34</v>
      </c>
      <c r="AP121" s="10">
        <v>120.48479999999999</v>
      </c>
      <c r="AQ121" s="10" t="s">
        <v>61</v>
      </c>
      <c r="AR121" s="10" t="s">
        <v>61</v>
      </c>
      <c r="AS121" s="10">
        <v>72</v>
      </c>
      <c r="AT121" s="2" t="str">
        <f t="shared" si="34"/>
        <v>3</v>
      </c>
      <c r="AU121" s="10">
        <v>1</v>
      </c>
      <c r="AV121" s="10">
        <v>1</v>
      </c>
      <c r="AW121" s="10">
        <v>1</v>
      </c>
      <c r="AX121" s="10" t="s">
        <v>61</v>
      </c>
      <c r="AY121" s="2">
        <v>3</v>
      </c>
      <c r="AZ121" s="10">
        <v>1998</v>
      </c>
      <c r="BA121" s="2">
        <f t="shared" si="35"/>
        <v>27</v>
      </c>
      <c r="BB121" s="2" t="str">
        <f t="shared" si="36"/>
        <v>4</v>
      </c>
      <c r="BC121" s="3">
        <v>1</v>
      </c>
      <c r="BD121" s="7">
        <f t="shared" ref="BD121:BD135" si="51">(AB121*0.2)+(AJ121*0.23)+(AL121*0.05)+(AT121*0.1)+(AY121*0.18)+(BB121*0.05)+(BC121*0.19)</f>
        <v>2.06</v>
      </c>
      <c r="BE121" s="62" t="s">
        <v>849</v>
      </c>
      <c r="BF121" s="62" t="s">
        <v>812</v>
      </c>
      <c r="BG121" s="8" t="s">
        <v>873</v>
      </c>
      <c r="BH121" s="2">
        <v>5226</v>
      </c>
      <c r="BI121" s="10" t="s">
        <v>967</v>
      </c>
      <c r="BJ121" s="10"/>
      <c r="BK121" s="10"/>
      <c r="BL121" s="10"/>
      <c r="BM121" s="10"/>
    </row>
    <row r="122" spans="1:66" ht="80" x14ac:dyDescent="0.2">
      <c r="A122" s="10">
        <v>20057784</v>
      </c>
      <c r="B122" s="10" t="s">
        <v>437</v>
      </c>
      <c r="C122" s="10">
        <v>40000</v>
      </c>
      <c r="D122" s="10" t="s">
        <v>134</v>
      </c>
      <c r="E122" s="12" t="s">
        <v>438</v>
      </c>
      <c r="F122" s="10" t="s">
        <v>439</v>
      </c>
      <c r="G122" s="10" t="s">
        <v>125</v>
      </c>
      <c r="H122" s="10" t="s">
        <v>126</v>
      </c>
      <c r="I122" s="10" t="s">
        <v>81</v>
      </c>
      <c r="J122" s="10" t="s">
        <v>143</v>
      </c>
      <c r="K122" s="10" t="s">
        <v>48</v>
      </c>
      <c r="L122" s="10">
        <v>110</v>
      </c>
      <c r="M122" s="10" t="s">
        <v>137</v>
      </c>
      <c r="N122" s="10" t="s">
        <v>60</v>
      </c>
      <c r="O122" s="10" t="s">
        <v>391</v>
      </c>
      <c r="P122" s="11">
        <v>3.6</v>
      </c>
      <c r="Q122" s="10">
        <v>90</v>
      </c>
      <c r="R122" s="10">
        <v>61</v>
      </c>
      <c r="S122" s="10">
        <v>49</v>
      </c>
      <c r="T122" s="2">
        <f t="shared" si="24"/>
        <v>203.6</v>
      </c>
      <c r="U122" s="2">
        <v>320</v>
      </c>
      <c r="V122" s="2">
        <v>6708</v>
      </c>
      <c r="W122" s="2" t="str">
        <f t="shared" si="41"/>
        <v>3</v>
      </c>
      <c r="X122" s="2" t="str">
        <f t="shared" si="42"/>
        <v>4</v>
      </c>
      <c r="Y122" s="2" t="str">
        <f t="shared" si="43"/>
        <v>3</v>
      </c>
      <c r="Z122" s="3" t="str">
        <f t="shared" si="44"/>
        <v>1</v>
      </c>
      <c r="AA122" s="10">
        <v>0</v>
      </c>
      <c r="AB122" s="3">
        <f t="shared" si="37"/>
        <v>2.75</v>
      </c>
      <c r="AC122" s="10">
        <v>18</v>
      </c>
      <c r="AD122" s="10">
        <v>31</v>
      </c>
      <c r="AE122" s="10">
        <v>0.02</v>
      </c>
      <c r="AF122" s="10">
        <v>30</v>
      </c>
      <c r="AG122" s="2">
        <f t="shared" si="45"/>
        <v>1500</v>
      </c>
      <c r="AH122" s="2" t="str">
        <f t="shared" si="46"/>
        <v>4</v>
      </c>
      <c r="AI122" s="3" t="str">
        <f t="shared" si="47"/>
        <v>1</v>
      </c>
      <c r="AJ122" s="3">
        <f t="shared" si="48"/>
        <v>3.4000000000000004</v>
      </c>
      <c r="AK122" s="2">
        <v>4256</v>
      </c>
      <c r="AL122" s="2" t="str">
        <f t="shared" si="33"/>
        <v>3</v>
      </c>
      <c r="AM122" s="10">
        <v>210</v>
      </c>
      <c r="AN122" s="10">
        <v>163.80000000000001</v>
      </c>
      <c r="AO122" s="10">
        <v>251</v>
      </c>
      <c r="AP122" s="10">
        <v>178.20999999999998</v>
      </c>
      <c r="AQ122" s="10">
        <v>1464</v>
      </c>
      <c r="AR122" s="10">
        <v>585.6</v>
      </c>
      <c r="AS122" s="10">
        <v>78</v>
      </c>
      <c r="AT122" s="2" t="str">
        <f t="shared" si="34"/>
        <v>4</v>
      </c>
      <c r="AU122" s="10">
        <v>1</v>
      </c>
      <c r="AV122" s="10">
        <v>1</v>
      </c>
      <c r="AW122" s="10">
        <v>1</v>
      </c>
      <c r="AX122" s="10">
        <v>1</v>
      </c>
      <c r="AY122" s="2">
        <v>1</v>
      </c>
      <c r="AZ122" s="10">
        <v>1986</v>
      </c>
      <c r="BA122" s="2">
        <f t="shared" si="35"/>
        <v>39</v>
      </c>
      <c r="BB122" s="2" t="str">
        <f t="shared" si="36"/>
        <v>5</v>
      </c>
      <c r="BC122" s="3">
        <v>1</v>
      </c>
      <c r="BD122" s="7">
        <f t="shared" si="51"/>
        <v>2.5020000000000002</v>
      </c>
      <c r="BE122" s="62" t="s">
        <v>930</v>
      </c>
      <c r="BF122" s="62"/>
      <c r="BG122" s="62" t="s">
        <v>874</v>
      </c>
      <c r="BH122" s="2">
        <v>10083</v>
      </c>
      <c r="BI122" s="10" t="s">
        <v>910</v>
      </c>
      <c r="BJ122" s="10" t="s">
        <v>925</v>
      </c>
      <c r="BK122" s="107">
        <v>46208</v>
      </c>
      <c r="BL122" s="10" t="s">
        <v>950</v>
      </c>
      <c r="BM122" s="109">
        <v>250000000</v>
      </c>
      <c r="BN122" s="61" t="s">
        <v>998</v>
      </c>
    </row>
    <row r="123" spans="1:66" ht="64" x14ac:dyDescent="0.2">
      <c r="A123" s="10">
        <v>20057784</v>
      </c>
      <c r="B123" s="10" t="s">
        <v>442</v>
      </c>
      <c r="C123" s="10">
        <v>40000</v>
      </c>
      <c r="D123" s="10" t="s">
        <v>134</v>
      </c>
      <c r="E123" s="10" t="s">
        <v>438</v>
      </c>
      <c r="F123" s="101" t="s">
        <v>443</v>
      </c>
      <c r="G123" s="10" t="s">
        <v>125</v>
      </c>
      <c r="H123" s="10" t="s">
        <v>126</v>
      </c>
      <c r="I123" s="10" t="s">
        <v>81</v>
      </c>
      <c r="J123" s="10" t="s">
        <v>82</v>
      </c>
      <c r="K123" s="10" t="s">
        <v>48</v>
      </c>
      <c r="L123" s="10">
        <v>110</v>
      </c>
      <c r="M123" s="10" t="s">
        <v>137</v>
      </c>
      <c r="N123" s="10" t="s">
        <v>60</v>
      </c>
      <c r="O123" s="10" t="s">
        <v>391</v>
      </c>
      <c r="P123" s="11">
        <v>21</v>
      </c>
      <c r="Q123" s="10">
        <v>123</v>
      </c>
      <c r="R123" s="10">
        <v>339</v>
      </c>
      <c r="S123" s="10">
        <v>69</v>
      </c>
      <c r="T123" s="2">
        <f t="shared" si="24"/>
        <v>552</v>
      </c>
      <c r="U123" s="2">
        <v>562</v>
      </c>
      <c r="V123" s="2">
        <v>9634</v>
      </c>
      <c r="W123" s="2" t="str">
        <f t="shared" ref="W123:W154" si="52">IF(U123&gt;=750,"5",IF(U123&gt;=550,"4",IF(U123&gt;=300,"3",IF(U123&gt;=100,"2","1"))))</f>
        <v>4</v>
      </c>
      <c r="X123" s="2" t="str">
        <f t="shared" ref="X123:X154" si="53">IF(V123&gt;=7001,"5",IF(V123&gt;=5000,"4",IF(V123&gt;=3000,"3",IF(V123&gt;=1500,"2","1"))))</f>
        <v>5</v>
      </c>
      <c r="Y123" s="2" t="str">
        <f t="shared" ref="Y123:Y154" si="54">IF(T123&gt;=401,"5",IF(T123&gt;=301,"4",IF(T123&gt;=201,"3",IF(T123&gt;=95,"2","1"))))</f>
        <v>5</v>
      </c>
      <c r="Z123" s="3" t="str">
        <f t="shared" ref="Z123:Z154" si="55">IF(AA123&gt;=7,"5",IF(AA123&gt;=6,"4",IF(AA123&gt;=5,"3",IF(AA123&gt;=2,"2","1"))))</f>
        <v>1</v>
      </c>
      <c r="AA123" s="10">
        <v>0</v>
      </c>
      <c r="AB123" s="3">
        <f t="shared" si="37"/>
        <v>3.75</v>
      </c>
      <c r="AC123" s="10">
        <v>52</v>
      </c>
      <c r="AD123" s="10">
        <v>6</v>
      </c>
      <c r="AE123" s="10">
        <v>0.02</v>
      </c>
      <c r="AF123" s="10">
        <v>42.7</v>
      </c>
      <c r="AG123" s="2">
        <f t="shared" ref="AG123:AG154" si="56">AF123/AE123</f>
        <v>2135</v>
      </c>
      <c r="AH123" s="2" t="str">
        <f t="shared" ref="AH123:AH154" si="57">IF(AC123&lt;=16,"5",IF(AC123&lt;=20,"4",IF(AC123&lt;=25,"3",IF(AC123&lt;=33,"2","1"))))</f>
        <v>1</v>
      </c>
      <c r="AI123" s="3" t="str">
        <f t="shared" ref="AI123:AI154" si="58">IF(AG123&lt;=713,"5",IF(AG123&lt;=999,"4",IF(AG123&lt;=1130,"3",IF(AG123&lt;=1499,"2","1"))))</f>
        <v>1</v>
      </c>
      <c r="AJ123" s="3">
        <f t="shared" ref="AJ123:AJ154" si="59">AH123*0.8+AI123*0.2</f>
        <v>1</v>
      </c>
      <c r="AK123" s="2">
        <v>4256</v>
      </c>
      <c r="AL123" s="2" t="str">
        <f t="shared" si="33"/>
        <v>3</v>
      </c>
      <c r="AM123" s="10">
        <v>210</v>
      </c>
      <c r="AN123" s="10">
        <v>163.80000000000001</v>
      </c>
      <c r="AO123" s="10">
        <v>251</v>
      </c>
      <c r="AP123" s="10">
        <v>180.72</v>
      </c>
      <c r="AQ123" s="10">
        <v>1464</v>
      </c>
      <c r="AR123" s="10">
        <v>600.24</v>
      </c>
      <c r="AS123" s="10">
        <v>78</v>
      </c>
      <c r="AT123" s="2" t="str">
        <f t="shared" si="34"/>
        <v>4</v>
      </c>
      <c r="AU123" s="10">
        <v>1</v>
      </c>
      <c r="AV123" s="10">
        <v>1</v>
      </c>
      <c r="AW123" s="10">
        <v>1</v>
      </c>
      <c r="AX123" s="10">
        <v>1</v>
      </c>
      <c r="AY123" s="2">
        <v>1</v>
      </c>
      <c r="AZ123" s="10">
        <v>1986</v>
      </c>
      <c r="BA123" s="2">
        <f t="shared" si="35"/>
        <v>39</v>
      </c>
      <c r="BB123" s="2" t="str">
        <f t="shared" si="36"/>
        <v>5</v>
      </c>
      <c r="BC123" s="3">
        <v>1</v>
      </c>
      <c r="BD123" s="7">
        <f t="shared" si="51"/>
        <v>2.15</v>
      </c>
      <c r="BE123" s="62" t="s">
        <v>824</v>
      </c>
      <c r="BF123" s="62"/>
      <c r="BG123" s="62" t="s">
        <v>875</v>
      </c>
      <c r="BH123" s="2">
        <v>28008</v>
      </c>
      <c r="BI123" s="10"/>
      <c r="BJ123" s="10"/>
      <c r="BK123" s="107">
        <v>46208</v>
      </c>
      <c r="BL123" s="10" t="s">
        <v>950</v>
      </c>
      <c r="BM123" s="10"/>
      <c r="BN123" s="61" t="s">
        <v>998</v>
      </c>
    </row>
    <row r="124" spans="1:66" ht="64" x14ac:dyDescent="0.2">
      <c r="A124" s="10">
        <v>20700102</v>
      </c>
      <c r="B124" s="10" t="s">
        <v>994</v>
      </c>
      <c r="C124" s="10">
        <v>2000</v>
      </c>
      <c r="D124" s="10" t="s">
        <v>73</v>
      </c>
      <c r="E124" s="10" t="s">
        <v>446</v>
      </c>
      <c r="F124" s="10" t="s">
        <v>447</v>
      </c>
      <c r="G124" s="10" t="s">
        <v>70</v>
      </c>
      <c r="H124" s="10" t="s">
        <v>70</v>
      </c>
      <c r="I124" s="10" t="s">
        <v>65</v>
      </c>
      <c r="J124" s="10" t="s">
        <v>61</v>
      </c>
      <c r="K124" s="10" t="s">
        <v>66</v>
      </c>
      <c r="L124" s="10" t="s">
        <v>76</v>
      </c>
      <c r="M124" s="10" t="s">
        <v>60</v>
      </c>
      <c r="N124" s="10" t="s">
        <v>61</v>
      </c>
      <c r="O124" s="10" t="s">
        <v>77</v>
      </c>
      <c r="P124" s="10">
        <v>4.5</v>
      </c>
      <c r="Q124" s="10">
        <v>2.9</v>
      </c>
      <c r="R124" s="10">
        <v>26</v>
      </c>
      <c r="S124" s="10">
        <v>0.5</v>
      </c>
      <c r="T124" s="10">
        <f t="shared" si="24"/>
        <v>33.9</v>
      </c>
      <c r="U124" s="10">
        <v>388</v>
      </c>
      <c r="V124" s="10">
        <v>2243</v>
      </c>
      <c r="W124" s="10" t="str">
        <f t="shared" si="52"/>
        <v>3</v>
      </c>
      <c r="X124" s="10" t="str">
        <f t="shared" si="53"/>
        <v>2</v>
      </c>
      <c r="Y124" s="10" t="str">
        <f t="shared" si="54"/>
        <v>1</v>
      </c>
      <c r="Z124" s="10" t="str">
        <f t="shared" si="55"/>
        <v>1</v>
      </c>
      <c r="AA124" s="10">
        <v>0</v>
      </c>
      <c r="AB124" s="10">
        <f t="shared" si="37"/>
        <v>1.75</v>
      </c>
      <c r="AC124" s="10">
        <v>50</v>
      </c>
      <c r="AD124" s="10">
        <v>12</v>
      </c>
      <c r="AE124" s="10">
        <v>0.02</v>
      </c>
      <c r="AF124" s="10">
        <v>43</v>
      </c>
      <c r="AG124" s="10">
        <f t="shared" si="56"/>
        <v>2150</v>
      </c>
      <c r="AH124" s="10" t="str">
        <f t="shared" si="57"/>
        <v>1</v>
      </c>
      <c r="AI124" s="10" t="str">
        <f t="shared" si="58"/>
        <v>1</v>
      </c>
      <c r="AJ124" s="10">
        <f t="shared" si="59"/>
        <v>1</v>
      </c>
      <c r="AK124" s="10">
        <v>14</v>
      </c>
      <c r="AL124" s="10" t="str">
        <f t="shared" si="33"/>
        <v>1</v>
      </c>
      <c r="AM124" s="10">
        <v>33.5</v>
      </c>
      <c r="AN124" s="10">
        <v>12.059999999999999</v>
      </c>
      <c r="AO124" s="10">
        <v>83.7</v>
      </c>
      <c r="AP124" s="10">
        <v>30.132000000000001</v>
      </c>
      <c r="AQ124" s="10" t="s">
        <v>61</v>
      </c>
      <c r="AR124" s="10" t="s">
        <v>61</v>
      </c>
      <c r="AS124" s="10">
        <v>36</v>
      </c>
      <c r="AT124" s="10" t="str">
        <f t="shared" si="34"/>
        <v>1</v>
      </c>
      <c r="AU124" s="10">
        <v>1</v>
      </c>
      <c r="AV124" s="10">
        <v>1</v>
      </c>
      <c r="AW124" s="10">
        <v>1</v>
      </c>
      <c r="AX124" s="10" t="s">
        <v>61</v>
      </c>
      <c r="AY124" s="10">
        <v>1</v>
      </c>
      <c r="AZ124" s="10">
        <v>1998</v>
      </c>
      <c r="BA124" s="10">
        <f t="shared" si="35"/>
        <v>27</v>
      </c>
      <c r="BB124" s="10" t="str">
        <f t="shared" si="36"/>
        <v>4</v>
      </c>
      <c r="BC124" s="10">
        <v>1</v>
      </c>
      <c r="BD124" s="7">
        <f t="shared" si="51"/>
        <v>1.3</v>
      </c>
      <c r="BE124" s="100" t="s">
        <v>828</v>
      </c>
      <c r="BF124" s="106"/>
      <c r="BG124" s="8" t="s">
        <v>868</v>
      </c>
      <c r="BH124" s="2">
        <v>530</v>
      </c>
      <c r="BI124" s="10"/>
      <c r="BJ124" s="10"/>
      <c r="BK124" s="107">
        <v>46150</v>
      </c>
      <c r="BL124" s="10" t="s">
        <v>949</v>
      </c>
      <c r="BM124" s="10"/>
    </row>
    <row r="125" spans="1:66" ht="64" x14ac:dyDescent="0.2">
      <c r="A125" s="10">
        <v>20700447</v>
      </c>
      <c r="B125" s="10">
        <v>1079537162</v>
      </c>
      <c r="C125" s="10">
        <v>6500</v>
      </c>
      <c r="D125" s="10" t="s">
        <v>73</v>
      </c>
      <c r="E125" s="10" t="s">
        <v>448</v>
      </c>
      <c r="F125" s="10" t="s">
        <v>449</v>
      </c>
      <c r="G125" s="10" t="s">
        <v>125</v>
      </c>
      <c r="H125" s="10" t="s">
        <v>126</v>
      </c>
      <c r="I125" s="10" t="s">
        <v>81</v>
      </c>
      <c r="J125" s="10" t="s">
        <v>82</v>
      </c>
      <c r="K125" s="10" t="s">
        <v>66</v>
      </c>
      <c r="L125" s="10" t="s">
        <v>76</v>
      </c>
      <c r="M125" s="10" t="s">
        <v>60</v>
      </c>
      <c r="N125" s="10" t="s">
        <v>61</v>
      </c>
      <c r="O125" s="10" t="s">
        <v>83</v>
      </c>
      <c r="P125" s="11">
        <v>8.5</v>
      </c>
      <c r="Q125" s="10">
        <v>24</v>
      </c>
      <c r="R125" s="10">
        <v>1.8</v>
      </c>
      <c r="S125" s="10">
        <v>4.2</v>
      </c>
      <c r="T125" s="2">
        <f t="shared" si="24"/>
        <v>38.5</v>
      </c>
      <c r="U125" s="2">
        <v>470</v>
      </c>
      <c r="V125" s="2">
        <v>1736</v>
      </c>
      <c r="W125" s="2" t="str">
        <f t="shared" si="52"/>
        <v>3</v>
      </c>
      <c r="X125" s="2" t="str">
        <f t="shared" si="53"/>
        <v>2</v>
      </c>
      <c r="Y125" s="2" t="str">
        <f t="shared" si="54"/>
        <v>1</v>
      </c>
      <c r="Z125" s="3" t="str">
        <f t="shared" si="55"/>
        <v>1</v>
      </c>
      <c r="AA125" s="10">
        <v>0</v>
      </c>
      <c r="AB125" s="3">
        <f t="shared" si="37"/>
        <v>1.75</v>
      </c>
      <c r="AC125" s="10">
        <v>57</v>
      </c>
      <c r="AD125" s="10">
        <v>7</v>
      </c>
      <c r="AE125" s="10">
        <v>0.02</v>
      </c>
      <c r="AF125" s="10">
        <v>44.7</v>
      </c>
      <c r="AG125" s="2">
        <f t="shared" si="56"/>
        <v>2235</v>
      </c>
      <c r="AH125" s="2" t="str">
        <f t="shared" si="57"/>
        <v>1</v>
      </c>
      <c r="AI125" s="3" t="str">
        <f t="shared" si="58"/>
        <v>1</v>
      </c>
      <c r="AJ125" s="3">
        <f t="shared" si="59"/>
        <v>1</v>
      </c>
      <c r="AK125" s="2">
        <v>14</v>
      </c>
      <c r="AL125" s="2" t="str">
        <f t="shared" si="33"/>
        <v>1</v>
      </c>
      <c r="AM125" s="10">
        <v>108.72</v>
      </c>
      <c r="AN125" s="10">
        <v>93.499200000000002</v>
      </c>
      <c r="AO125" s="10">
        <v>271.94</v>
      </c>
      <c r="AP125" s="10">
        <v>233.86840000000001</v>
      </c>
      <c r="AQ125" s="10" t="s">
        <v>61</v>
      </c>
      <c r="AR125" s="10" t="s">
        <v>61</v>
      </c>
      <c r="AS125" s="10">
        <v>86</v>
      </c>
      <c r="AT125" s="2" t="str">
        <f t="shared" si="34"/>
        <v>4</v>
      </c>
      <c r="AU125" s="10">
        <v>1</v>
      </c>
      <c r="AV125" s="10">
        <v>1</v>
      </c>
      <c r="AW125" s="10">
        <v>1</v>
      </c>
      <c r="AX125" s="10" t="s">
        <v>61</v>
      </c>
      <c r="AY125" s="2">
        <v>1</v>
      </c>
      <c r="AZ125" s="10">
        <v>2023</v>
      </c>
      <c r="BA125" s="2">
        <f t="shared" si="35"/>
        <v>2</v>
      </c>
      <c r="BB125" s="2" t="str">
        <f t="shared" si="36"/>
        <v>1</v>
      </c>
      <c r="BC125" s="3">
        <v>1</v>
      </c>
      <c r="BD125" s="7">
        <f t="shared" si="51"/>
        <v>1.4500000000000002</v>
      </c>
      <c r="BE125" s="100" t="s">
        <v>828</v>
      </c>
      <c r="BF125" s="62"/>
      <c r="BG125" s="62"/>
      <c r="BH125" s="2">
        <v>7001</v>
      </c>
      <c r="BI125" s="10"/>
      <c r="BJ125" s="10"/>
      <c r="BK125" s="10"/>
      <c r="BL125" s="10"/>
      <c r="BM125" s="10"/>
    </row>
    <row r="126" spans="1:66" ht="64" x14ac:dyDescent="0.2">
      <c r="A126" s="10">
        <v>20700025</v>
      </c>
      <c r="B126" s="10" t="s">
        <v>450</v>
      </c>
      <c r="C126" s="10">
        <v>50000</v>
      </c>
      <c r="D126" s="10" t="s">
        <v>134</v>
      </c>
      <c r="E126" s="10" t="s">
        <v>451</v>
      </c>
      <c r="F126" s="10" t="s">
        <v>452</v>
      </c>
      <c r="G126" s="10" t="s">
        <v>70</v>
      </c>
      <c r="H126" s="10" t="s">
        <v>70</v>
      </c>
      <c r="I126" s="10" t="s">
        <v>81</v>
      </c>
      <c r="J126" s="10" t="s">
        <v>82</v>
      </c>
      <c r="K126" s="10" t="s">
        <v>48</v>
      </c>
      <c r="L126" s="10">
        <v>66</v>
      </c>
      <c r="M126" s="10" t="s">
        <v>60</v>
      </c>
      <c r="N126" s="10" t="s">
        <v>61</v>
      </c>
      <c r="O126" s="10" t="s">
        <v>219</v>
      </c>
      <c r="P126" s="11">
        <v>37</v>
      </c>
      <c r="Q126" s="10">
        <v>78</v>
      </c>
      <c r="R126" s="10">
        <v>4</v>
      </c>
      <c r="S126" s="10">
        <v>115</v>
      </c>
      <c r="T126" s="2">
        <f t="shared" si="24"/>
        <v>234</v>
      </c>
      <c r="U126" s="10">
        <v>249</v>
      </c>
      <c r="V126" s="10">
        <v>1665</v>
      </c>
      <c r="W126" s="2" t="str">
        <f t="shared" si="52"/>
        <v>2</v>
      </c>
      <c r="X126" s="2" t="str">
        <f t="shared" si="53"/>
        <v>2</v>
      </c>
      <c r="Y126" s="2" t="str">
        <f t="shared" si="54"/>
        <v>3</v>
      </c>
      <c r="Z126" s="3" t="str">
        <f t="shared" si="55"/>
        <v>1</v>
      </c>
      <c r="AA126" s="10">
        <v>0.1</v>
      </c>
      <c r="AB126" s="3">
        <f t="shared" si="37"/>
        <v>2</v>
      </c>
      <c r="AC126" s="10">
        <v>55</v>
      </c>
      <c r="AD126" s="10">
        <v>8</v>
      </c>
      <c r="AE126" s="10">
        <v>0.02</v>
      </c>
      <c r="AF126" s="10">
        <v>37.9</v>
      </c>
      <c r="AG126" s="2">
        <f t="shared" si="56"/>
        <v>1895</v>
      </c>
      <c r="AH126" s="2" t="str">
        <f t="shared" si="57"/>
        <v>1</v>
      </c>
      <c r="AI126" s="3" t="str">
        <f t="shared" si="58"/>
        <v>1</v>
      </c>
      <c r="AJ126" s="3">
        <f t="shared" si="59"/>
        <v>1</v>
      </c>
      <c r="AK126" s="2">
        <v>14</v>
      </c>
      <c r="AL126" s="2" t="str">
        <f t="shared" si="33"/>
        <v>1</v>
      </c>
      <c r="AM126" s="10">
        <v>262.39999999999998</v>
      </c>
      <c r="AN126" s="10">
        <v>55.103999999999992</v>
      </c>
      <c r="AO126" s="10">
        <v>2091.8000000000002</v>
      </c>
      <c r="AP126" s="10">
        <v>439.27800000000002</v>
      </c>
      <c r="AQ126" s="10" t="s">
        <v>61</v>
      </c>
      <c r="AR126" s="10" t="s">
        <v>61</v>
      </c>
      <c r="AS126" s="10">
        <v>21</v>
      </c>
      <c r="AT126" s="2" t="str">
        <f t="shared" si="34"/>
        <v>1</v>
      </c>
      <c r="AU126" s="10">
        <v>1</v>
      </c>
      <c r="AV126" s="10">
        <v>1</v>
      </c>
      <c r="AW126" s="10">
        <v>1</v>
      </c>
      <c r="AX126" s="10">
        <v>1</v>
      </c>
      <c r="AY126" s="2">
        <v>1</v>
      </c>
      <c r="AZ126" s="10">
        <v>2001</v>
      </c>
      <c r="BA126" s="2">
        <f t="shared" si="35"/>
        <v>24</v>
      </c>
      <c r="BB126" s="2" t="str">
        <f t="shared" si="36"/>
        <v>3</v>
      </c>
      <c r="BC126" s="3">
        <v>1</v>
      </c>
      <c r="BD126" s="7">
        <f t="shared" si="51"/>
        <v>1.2999999999999998</v>
      </c>
      <c r="BE126" s="100" t="s">
        <v>828</v>
      </c>
      <c r="BF126" s="62"/>
      <c r="BG126" s="8" t="s">
        <v>876</v>
      </c>
      <c r="BH126" s="2">
        <v>2</v>
      </c>
      <c r="BI126" s="10"/>
      <c r="BJ126" s="10"/>
      <c r="BK126" s="107"/>
      <c r="BL126" s="10"/>
      <c r="BM126" s="10"/>
    </row>
    <row r="127" spans="1:66" ht="80" x14ac:dyDescent="0.2">
      <c r="A127" s="10">
        <v>20700025</v>
      </c>
      <c r="B127" s="10" t="s">
        <v>453</v>
      </c>
      <c r="C127" s="10">
        <v>50000</v>
      </c>
      <c r="D127" s="10" t="s">
        <v>134</v>
      </c>
      <c r="E127" s="10" t="s">
        <v>451</v>
      </c>
      <c r="F127" s="10" t="s">
        <v>454</v>
      </c>
      <c r="G127" s="10" t="s">
        <v>70</v>
      </c>
      <c r="H127" s="10" t="s">
        <v>70</v>
      </c>
      <c r="I127" s="10" t="s">
        <v>81</v>
      </c>
      <c r="J127" s="10" t="s">
        <v>82</v>
      </c>
      <c r="K127" s="10" t="s">
        <v>48</v>
      </c>
      <c r="L127" s="10">
        <v>66</v>
      </c>
      <c r="M127" s="10" t="s">
        <v>60</v>
      </c>
      <c r="N127" s="10" t="s">
        <v>61</v>
      </c>
      <c r="O127" s="10" t="s">
        <v>219</v>
      </c>
      <c r="P127" s="11">
        <v>21</v>
      </c>
      <c r="Q127" s="10">
        <v>187</v>
      </c>
      <c r="R127" s="10">
        <v>4.5999999999999996</v>
      </c>
      <c r="S127" s="10">
        <v>317</v>
      </c>
      <c r="T127" s="2">
        <f t="shared" si="24"/>
        <v>529.6</v>
      </c>
      <c r="U127" s="10">
        <v>391</v>
      </c>
      <c r="V127" s="10">
        <v>2404</v>
      </c>
      <c r="W127" s="2" t="str">
        <f t="shared" si="52"/>
        <v>3</v>
      </c>
      <c r="X127" s="2" t="str">
        <f t="shared" si="53"/>
        <v>2</v>
      </c>
      <c r="Y127" s="2" t="str">
        <f t="shared" si="54"/>
        <v>5</v>
      </c>
      <c r="Z127" s="3" t="str">
        <f t="shared" si="55"/>
        <v>1</v>
      </c>
      <c r="AA127" s="10">
        <v>0.1</v>
      </c>
      <c r="AB127" s="3">
        <f t="shared" si="37"/>
        <v>2.75</v>
      </c>
      <c r="AC127" s="10">
        <v>63</v>
      </c>
      <c r="AD127" s="10">
        <v>6</v>
      </c>
      <c r="AE127" s="10">
        <v>0.02</v>
      </c>
      <c r="AF127" s="10">
        <v>38.9</v>
      </c>
      <c r="AG127" s="2">
        <f t="shared" si="56"/>
        <v>1945</v>
      </c>
      <c r="AH127" s="2" t="str">
        <f t="shared" si="57"/>
        <v>1</v>
      </c>
      <c r="AI127" s="3" t="str">
        <f t="shared" si="58"/>
        <v>1</v>
      </c>
      <c r="AJ127" s="3">
        <f t="shared" si="59"/>
        <v>1</v>
      </c>
      <c r="AK127" s="2">
        <v>14</v>
      </c>
      <c r="AL127" s="2" t="str">
        <f t="shared" si="33"/>
        <v>1</v>
      </c>
      <c r="AM127" s="10">
        <v>262.39999999999998</v>
      </c>
      <c r="AN127" s="10">
        <v>178.43199999999999</v>
      </c>
      <c r="AO127" s="10">
        <v>2091.8000000000002</v>
      </c>
      <c r="AP127" s="10">
        <v>1422.4240000000002</v>
      </c>
      <c r="AQ127" s="10" t="s">
        <v>61</v>
      </c>
      <c r="AR127" s="10" t="s">
        <v>61</v>
      </c>
      <c r="AS127" s="10">
        <v>68</v>
      </c>
      <c r="AT127" s="2" t="str">
        <f t="shared" si="34"/>
        <v>3</v>
      </c>
      <c r="AU127" s="10">
        <v>1</v>
      </c>
      <c r="AV127" s="10">
        <v>1</v>
      </c>
      <c r="AW127" s="10">
        <v>1</v>
      </c>
      <c r="AX127" s="10">
        <v>1</v>
      </c>
      <c r="AY127" s="2">
        <v>1</v>
      </c>
      <c r="AZ127" s="10">
        <v>2001</v>
      </c>
      <c r="BA127" s="2">
        <f t="shared" si="35"/>
        <v>24</v>
      </c>
      <c r="BB127" s="2" t="str">
        <f t="shared" si="36"/>
        <v>3</v>
      </c>
      <c r="BC127" s="3">
        <v>1</v>
      </c>
      <c r="BD127" s="7">
        <f t="shared" si="51"/>
        <v>1.65</v>
      </c>
      <c r="BE127" s="62" t="s">
        <v>827</v>
      </c>
      <c r="BF127" s="62"/>
      <c r="BG127" s="8" t="s">
        <v>876</v>
      </c>
      <c r="BH127" s="2">
        <v>3</v>
      </c>
      <c r="BI127" s="10"/>
      <c r="BJ127" s="10"/>
      <c r="BK127" s="10"/>
      <c r="BL127" s="10"/>
      <c r="BM127" s="10"/>
    </row>
    <row r="128" spans="1:66" ht="80" x14ac:dyDescent="0.2">
      <c r="A128" s="10">
        <v>20700025</v>
      </c>
      <c r="B128" s="10">
        <v>251127</v>
      </c>
      <c r="C128" s="10">
        <v>20000</v>
      </c>
      <c r="D128" s="10" t="s">
        <v>152</v>
      </c>
      <c r="E128" s="10" t="s">
        <v>451</v>
      </c>
      <c r="F128" s="10" t="s">
        <v>455</v>
      </c>
      <c r="G128" s="10" t="s">
        <v>70</v>
      </c>
      <c r="H128" s="10" t="s">
        <v>70</v>
      </c>
      <c r="I128" s="10" t="s">
        <v>81</v>
      </c>
      <c r="J128" s="10" t="s">
        <v>82</v>
      </c>
      <c r="K128" s="10" t="s">
        <v>48</v>
      </c>
      <c r="L128" s="10">
        <v>66</v>
      </c>
      <c r="M128" s="10" t="s">
        <v>60</v>
      </c>
      <c r="N128" s="10" t="s">
        <v>61</v>
      </c>
      <c r="O128" s="10" t="s">
        <v>177</v>
      </c>
      <c r="P128" s="11">
        <v>3.1</v>
      </c>
      <c r="Q128" s="10">
        <v>20</v>
      </c>
      <c r="R128" s="10">
        <v>13.5</v>
      </c>
      <c r="S128" s="10">
        <v>3.3</v>
      </c>
      <c r="T128" s="2">
        <f t="shared" si="24"/>
        <v>39.9</v>
      </c>
      <c r="U128" s="10">
        <v>1614</v>
      </c>
      <c r="V128" s="10">
        <v>3935</v>
      </c>
      <c r="W128" s="2" t="str">
        <f t="shared" si="52"/>
        <v>5</v>
      </c>
      <c r="X128" s="2" t="str">
        <f t="shared" si="53"/>
        <v>3</v>
      </c>
      <c r="Y128" s="2" t="str">
        <f t="shared" si="54"/>
        <v>1</v>
      </c>
      <c r="Z128" s="3" t="str">
        <f t="shared" si="55"/>
        <v>1</v>
      </c>
      <c r="AA128" s="10">
        <v>0</v>
      </c>
      <c r="AB128" s="3">
        <f t="shared" si="37"/>
        <v>2.5</v>
      </c>
      <c r="AC128" s="10">
        <v>52</v>
      </c>
      <c r="AD128" s="10">
        <v>7</v>
      </c>
      <c r="AE128" s="10">
        <v>0.02</v>
      </c>
      <c r="AF128" s="10">
        <v>38.5</v>
      </c>
      <c r="AG128" s="2">
        <f t="shared" si="56"/>
        <v>1925</v>
      </c>
      <c r="AH128" s="2" t="str">
        <f t="shared" si="57"/>
        <v>1</v>
      </c>
      <c r="AI128" s="3" t="str">
        <f t="shared" si="58"/>
        <v>1</v>
      </c>
      <c r="AJ128" s="3">
        <f t="shared" si="59"/>
        <v>1</v>
      </c>
      <c r="AK128" s="2">
        <v>16</v>
      </c>
      <c r="AL128" s="2" t="str">
        <f t="shared" si="33"/>
        <v>1</v>
      </c>
      <c r="AM128" s="10">
        <v>105</v>
      </c>
      <c r="AN128" s="10">
        <v>54.6</v>
      </c>
      <c r="AO128" s="10">
        <v>836.7</v>
      </c>
      <c r="AP128" s="10">
        <v>435.08400000000006</v>
      </c>
      <c r="AQ128" s="10" t="s">
        <v>61</v>
      </c>
      <c r="AR128" s="10" t="s">
        <v>61</v>
      </c>
      <c r="AS128" s="10">
        <v>52</v>
      </c>
      <c r="AT128" s="2" t="str">
        <f t="shared" si="34"/>
        <v>1</v>
      </c>
      <c r="AU128" s="10">
        <v>1</v>
      </c>
      <c r="AV128" s="10">
        <v>1</v>
      </c>
      <c r="AW128" s="10">
        <v>1</v>
      </c>
      <c r="AX128" s="10">
        <v>1</v>
      </c>
      <c r="AY128" s="2">
        <v>4</v>
      </c>
      <c r="AZ128" s="10">
        <v>2006</v>
      </c>
      <c r="BA128" s="2">
        <f t="shared" si="35"/>
        <v>19</v>
      </c>
      <c r="BB128" s="2" t="str">
        <f t="shared" si="36"/>
        <v>3</v>
      </c>
      <c r="BC128" s="3">
        <v>1</v>
      </c>
      <c r="BD128" s="7">
        <f t="shared" si="51"/>
        <v>1.94</v>
      </c>
      <c r="BE128" s="100" t="s">
        <v>904</v>
      </c>
      <c r="BF128" s="62" t="s">
        <v>807</v>
      </c>
      <c r="BG128" s="8" t="s">
        <v>878</v>
      </c>
      <c r="BH128" s="2">
        <v>1</v>
      </c>
      <c r="BI128" s="10" t="s">
        <v>967</v>
      </c>
      <c r="BJ128" s="10"/>
      <c r="BK128" s="107">
        <v>46090</v>
      </c>
      <c r="BL128" s="10" t="s">
        <v>949</v>
      </c>
      <c r="BM128" s="10"/>
    </row>
    <row r="129" spans="1:66" ht="96" x14ac:dyDescent="0.2">
      <c r="A129" s="10">
        <v>20700025</v>
      </c>
      <c r="B129" s="10">
        <v>201104</v>
      </c>
      <c r="C129" s="10">
        <v>30000</v>
      </c>
      <c r="D129" s="10" t="s">
        <v>152</v>
      </c>
      <c r="E129" s="10" t="s">
        <v>451</v>
      </c>
      <c r="F129" s="10" t="s">
        <v>456</v>
      </c>
      <c r="G129" s="10" t="s">
        <v>70</v>
      </c>
      <c r="H129" s="10" t="s">
        <v>70</v>
      </c>
      <c r="I129" s="10" t="s">
        <v>81</v>
      </c>
      <c r="J129" s="10" t="s">
        <v>82</v>
      </c>
      <c r="K129" s="10" t="s">
        <v>48</v>
      </c>
      <c r="L129" s="10">
        <v>66</v>
      </c>
      <c r="M129" s="10" t="s">
        <v>60</v>
      </c>
      <c r="N129" s="10" t="s">
        <v>61</v>
      </c>
      <c r="O129" s="10" t="s">
        <v>172</v>
      </c>
      <c r="P129" s="11">
        <v>2.2999999999999998</v>
      </c>
      <c r="Q129" s="10">
        <v>22</v>
      </c>
      <c r="R129" s="10">
        <v>8.1</v>
      </c>
      <c r="S129" s="10">
        <v>3.4</v>
      </c>
      <c r="T129" s="2">
        <f t="shared" si="24"/>
        <v>35.799999999999997</v>
      </c>
      <c r="U129" s="10">
        <v>1257</v>
      </c>
      <c r="V129" s="10">
        <v>5314</v>
      </c>
      <c r="W129" s="2" t="str">
        <f t="shared" si="52"/>
        <v>5</v>
      </c>
      <c r="X129" s="2" t="str">
        <f t="shared" si="53"/>
        <v>4</v>
      </c>
      <c r="Y129" s="2" t="str">
        <f t="shared" si="54"/>
        <v>1</v>
      </c>
      <c r="Z129" s="3" t="str">
        <f t="shared" si="55"/>
        <v>1</v>
      </c>
      <c r="AA129" s="10">
        <v>0</v>
      </c>
      <c r="AB129" s="3">
        <f t="shared" si="37"/>
        <v>2.75</v>
      </c>
      <c r="AC129" s="10">
        <v>50</v>
      </c>
      <c r="AD129" s="10">
        <v>7</v>
      </c>
      <c r="AE129" s="10">
        <v>0.02</v>
      </c>
      <c r="AF129" s="10">
        <v>39.299999999999997</v>
      </c>
      <c r="AG129" s="2">
        <f t="shared" si="56"/>
        <v>1964.9999999999998</v>
      </c>
      <c r="AH129" s="2" t="str">
        <f t="shared" si="57"/>
        <v>1</v>
      </c>
      <c r="AI129" s="3" t="str">
        <f t="shared" si="58"/>
        <v>1</v>
      </c>
      <c r="AJ129" s="3">
        <f t="shared" si="59"/>
        <v>1</v>
      </c>
      <c r="AK129" s="2">
        <v>15</v>
      </c>
      <c r="AL129" s="2" t="str">
        <f t="shared" si="33"/>
        <v>1</v>
      </c>
      <c r="AM129" s="10">
        <v>157.5</v>
      </c>
      <c r="AN129" s="10">
        <v>146.47499999999999</v>
      </c>
      <c r="AO129" s="10">
        <v>1255.0999999999999</v>
      </c>
      <c r="AP129" s="10">
        <v>1167.2429999999999</v>
      </c>
      <c r="AQ129" s="10" t="s">
        <v>61</v>
      </c>
      <c r="AR129" s="10" t="s">
        <v>61</v>
      </c>
      <c r="AS129" s="10">
        <v>93</v>
      </c>
      <c r="AT129" s="2">
        <v>1</v>
      </c>
      <c r="AU129" s="10">
        <v>1</v>
      </c>
      <c r="AV129" s="10">
        <v>1</v>
      </c>
      <c r="AW129" s="10">
        <v>1</v>
      </c>
      <c r="AX129" s="10">
        <v>1</v>
      </c>
      <c r="AY129" s="2">
        <v>1</v>
      </c>
      <c r="AZ129" s="10">
        <v>2012</v>
      </c>
      <c r="BA129" s="2">
        <f t="shared" si="35"/>
        <v>13</v>
      </c>
      <c r="BB129" s="2" t="str">
        <f t="shared" si="36"/>
        <v>2</v>
      </c>
      <c r="BC129" s="3">
        <v>1</v>
      </c>
      <c r="BD129" s="7">
        <f t="shared" si="51"/>
        <v>1.4000000000000001</v>
      </c>
      <c r="BE129" s="8" t="s">
        <v>835</v>
      </c>
      <c r="BF129" s="62"/>
      <c r="BG129" s="8" t="s">
        <v>877</v>
      </c>
      <c r="BH129" s="2">
        <v>3424</v>
      </c>
      <c r="BI129" s="10"/>
      <c r="BJ129" s="10"/>
      <c r="BK129" s="10"/>
      <c r="BL129" s="10"/>
      <c r="BM129" s="10"/>
      <c r="BN129" s="61" t="s">
        <v>61</v>
      </c>
    </row>
    <row r="130" spans="1:66" ht="64" x14ac:dyDescent="0.2">
      <c r="A130" s="10">
        <v>20700392</v>
      </c>
      <c r="B130" s="10">
        <v>1057609443</v>
      </c>
      <c r="C130" s="10">
        <v>6500</v>
      </c>
      <c r="D130" s="10" t="s">
        <v>73</v>
      </c>
      <c r="E130" s="10" t="s">
        <v>458</v>
      </c>
      <c r="F130" s="10" t="s">
        <v>459</v>
      </c>
      <c r="G130" s="10" t="s">
        <v>58</v>
      </c>
      <c r="H130" s="10" t="s">
        <v>64</v>
      </c>
      <c r="I130" s="10" t="s">
        <v>81</v>
      </c>
      <c r="J130" s="10" t="s">
        <v>82</v>
      </c>
      <c r="K130" s="10" t="s">
        <v>66</v>
      </c>
      <c r="L130" s="10" t="s">
        <v>76</v>
      </c>
      <c r="M130" s="10" t="s">
        <v>60</v>
      </c>
      <c r="N130" s="10" t="s">
        <v>61</v>
      </c>
      <c r="O130" s="10" t="s">
        <v>83</v>
      </c>
      <c r="P130" s="11">
        <v>3</v>
      </c>
      <c r="Q130" s="10">
        <v>43</v>
      </c>
      <c r="R130" s="10">
        <v>3</v>
      </c>
      <c r="S130" s="10">
        <v>9.6</v>
      </c>
      <c r="T130" s="2">
        <f t="shared" ref="T130:T192" si="60">SUM(P130:S130)</f>
        <v>58.6</v>
      </c>
      <c r="U130" s="10">
        <v>815</v>
      </c>
      <c r="V130" s="10">
        <v>3602</v>
      </c>
      <c r="W130" s="2" t="str">
        <f t="shared" si="52"/>
        <v>5</v>
      </c>
      <c r="X130" s="2" t="str">
        <f t="shared" si="53"/>
        <v>3</v>
      </c>
      <c r="Y130" s="2" t="str">
        <f t="shared" si="54"/>
        <v>1</v>
      </c>
      <c r="Z130" s="3" t="str">
        <f t="shared" si="55"/>
        <v>1</v>
      </c>
      <c r="AA130" s="10">
        <v>0</v>
      </c>
      <c r="AB130" s="3">
        <f t="shared" si="37"/>
        <v>2.5</v>
      </c>
      <c r="AC130" s="10">
        <v>43</v>
      </c>
      <c r="AD130" s="10">
        <v>10</v>
      </c>
      <c r="AE130" s="10">
        <v>0.02</v>
      </c>
      <c r="AF130" s="10">
        <v>41.4</v>
      </c>
      <c r="AG130" s="2">
        <f t="shared" si="56"/>
        <v>2070</v>
      </c>
      <c r="AH130" s="2" t="str">
        <f t="shared" si="57"/>
        <v>1</v>
      </c>
      <c r="AI130" s="3" t="str">
        <f t="shared" si="58"/>
        <v>1</v>
      </c>
      <c r="AJ130" s="3">
        <f t="shared" si="59"/>
        <v>1</v>
      </c>
      <c r="AK130" s="2">
        <v>1</v>
      </c>
      <c r="AL130" s="2" t="str">
        <f t="shared" ref="AL130:AL192" si="61">IF(AK130&gt;=5500,"5",IF(AK130&gt;=4800,"4",IF(AK130&gt;=3600,"3",IF(AK130&gt;=2400,"2","1"))))</f>
        <v>1</v>
      </c>
      <c r="AM130" s="10">
        <v>125.9</v>
      </c>
      <c r="AN130" s="10">
        <v>70.126300000000015</v>
      </c>
      <c r="AO130" s="10">
        <v>271.94</v>
      </c>
      <c r="AP130" s="10">
        <v>155.00579999999999</v>
      </c>
      <c r="AQ130" s="10" t="s">
        <v>61</v>
      </c>
      <c r="AR130" s="10" t="s">
        <v>61</v>
      </c>
      <c r="AS130" s="10">
        <v>57</v>
      </c>
      <c r="AT130" s="2" t="str">
        <f t="shared" ref="AT130:AT192" si="62">IF(AS130&lt;60,"1",IF(AS130&lt;=65,"2",IF(AS130&lt;=75,"3",IF(AS130&lt;=95,"4","5"))))</f>
        <v>1</v>
      </c>
      <c r="AU130" s="10">
        <v>1</v>
      </c>
      <c r="AV130" s="10">
        <v>1</v>
      </c>
      <c r="AW130" s="10">
        <v>1</v>
      </c>
      <c r="AX130" s="10" t="s">
        <v>61</v>
      </c>
      <c r="AY130" s="2">
        <v>1</v>
      </c>
      <c r="AZ130" s="10">
        <v>2021</v>
      </c>
      <c r="BA130" s="2">
        <f t="shared" ref="BA130:BA192" si="63">2025-AZ130</f>
        <v>4</v>
      </c>
      <c r="BB130" s="2" t="str">
        <f t="shared" ref="BB130:BB192" si="64">IF(BA130&gt;=30,"5",IF(BA130&gt;=26,"4",IF(BA130&gt;=19,"3",IF(BA130&gt;=7,"2","1"))))</f>
        <v>1</v>
      </c>
      <c r="BC130" s="3">
        <v>1</v>
      </c>
      <c r="BD130" s="7">
        <f t="shared" si="51"/>
        <v>1.3</v>
      </c>
      <c r="BE130" s="100" t="s">
        <v>828</v>
      </c>
      <c r="BF130" s="62"/>
      <c r="BG130" s="8" t="s">
        <v>879</v>
      </c>
      <c r="BH130" s="2">
        <v>5576</v>
      </c>
      <c r="BI130" s="10"/>
      <c r="BJ130" s="10"/>
      <c r="BK130" s="10" t="s">
        <v>966</v>
      </c>
      <c r="BL130" s="10" t="s">
        <v>949</v>
      </c>
      <c r="BM130" s="10"/>
    </row>
    <row r="131" spans="1:66" ht="80" x14ac:dyDescent="0.2">
      <c r="A131" s="101">
        <v>20700484</v>
      </c>
      <c r="B131" s="101">
        <v>1056436050</v>
      </c>
      <c r="C131" s="101">
        <v>50000</v>
      </c>
      <c r="D131" s="101" t="s">
        <v>134</v>
      </c>
      <c r="E131" s="101" t="s">
        <v>460</v>
      </c>
      <c r="F131" s="101" t="s">
        <v>461</v>
      </c>
      <c r="G131" s="101" t="s">
        <v>58</v>
      </c>
      <c r="H131" s="101" t="s">
        <v>59</v>
      </c>
      <c r="I131" s="101" t="s">
        <v>81</v>
      </c>
      <c r="J131" s="101" t="s">
        <v>82</v>
      </c>
      <c r="K131" s="101" t="s">
        <v>48</v>
      </c>
      <c r="L131" s="101">
        <v>110</v>
      </c>
      <c r="M131" s="101" t="s">
        <v>137</v>
      </c>
      <c r="N131" s="101" t="s">
        <v>60</v>
      </c>
      <c r="O131" s="101" t="s">
        <v>311</v>
      </c>
      <c r="P131" s="104">
        <v>6</v>
      </c>
      <c r="Q131" s="101">
        <v>16.3</v>
      </c>
      <c r="R131" s="101">
        <v>0.8</v>
      </c>
      <c r="S131" s="101">
        <v>2.1</v>
      </c>
      <c r="T131" s="9">
        <f t="shared" si="60"/>
        <v>25.200000000000003</v>
      </c>
      <c r="U131" s="101">
        <v>1209</v>
      </c>
      <c r="V131" s="101">
        <v>3987</v>
      </c>
      <c r="W131" s="9" t="str">
        <f t="shared" si="52"/>
        <v>5</v>
      </c>
      <c r="X131" s="9" t="str">
        <f t="shared" si="53"/>
        <v>3</v>
      </c>
      <c r="Y131" s="9" t="str">
        <f t="shared" si="54"/>
        <v>1</v>
      </c>
      <c r="Z131" s="37" t="str">
        <f t="shared" si="55"/>
        <v>1</v>
      </c>
      <c r="AA131" s="101">
        <v>0</v>
      </c>
      <c r="AB131" s="37">
        <f t="shared" ref="AB131:AB193" si="65">(W131+X131+Y131+Z131)/4</f>
        <v>2.5</v>
      </c>
      <c r="AC131" s="101">
        <v>76.099999999999994</v>
      </c>
      <c r="AD131" s="101">
        <v>6</v>
      </c>
      <c r="AE131" s="101">
        <v>0.02</v>
      </c>
      <c r="AF131" s="101">
        <v>44.4</v>
      </c>
      <c r="AG131" s="9">
        <f t="shared" si="56"/>
        <v>2220</v>
      </c>
      <c r="AH131" s="9" t="str">
        <f t="shared" si="57"/>
        <v>1</v>
      </c>
      <c r="AI131" s="37" t="str">
        <f t="shared" si="58"/>
        <v>1</v>
      </c>
      <c r="AJ131" s="37">
        <f t="shared" si="59"/>
        <v>1</v>
      </c>
      <c r="AK131" s="9">
        <v>14</v>
      </c>
      <c r="AL131" s="9" t="str">
        <f t="shared" si="61"/>
        <v>1</v>
      </c>
      <c r="AM131" s="101">
        <v>262.43</v>
      </c>
      <c r="AN131" s="101">
        <v>215.1926</v>
      </c>
      <c r="AO131" s="101">
        <v>502</v>
      </c>
      <c r="AP131" s="101">
        <v>411.64</v>
      </c>
      <c r="AQ131" s="101">
        <v>836.74</v>
      </c>
      <c r="AR131" s="101">
        <v>686.1268</v>
      </c>
      <c r="AS131" s="101">
        <v>65</v>
      </c>
      <c r="AT131" s="9" t="str">
        <f t="shared" si="62"/>
        <v>2</v>
      </c>
      <c r="AU131" s="101">
        <v>1</v>
      </c>
      <c r="AV131" s="101">
        <v>1</v>
      </c>
      <c r="AW131" s="101">
        <v>1</v>
      </c>
      <c r="AX131" s="101">
        <v>1</v>
      </c>
      <c r="AY131" s="9">
        <v>1</v>
      </c>
      <c r="AZ131" s="101">
        <v>2021</v>
      </c>
      <c r="BA131" s="9">
        <f t="shared" si="63"/>
        <v>4</v>
      </c>
      <c r="BB131" s="9" t="str">
        <f t="shared" si="64"/>
        <v>1</v>
      </c>
      <c r="BC131" s="37">
        <v>1</v>
      </c>
      <c r="BD131" s="7">
        <f t="shared" si="51"/>
        <v>1.4</v>
      </c>
      <c r="BE131" s="62" t="s">
        <v>827</v>
      </c>
      <c r="BF131" s="106"/>
      <c r="BG131" s="62"/>
      <c r="BH131" s="2">
        <v>7919</v>
      </c>
      <c r="BI131" s="10"/>
      <c r="BJ131" s="10"/>
      <c r="BK131" s="107">
        <v>46138</v>
      </c>
      <c r="BL131" s="10" t="s">
        <v>945</v>
      </c>
      <c r="BM131" s="10"/>
    </row>
    <row r="132" spans="1:66" ht="64" x14ac:dyDescent="0.2">
      <c r="A132" s="10">
        <v>20700465</v>
      </c>
      <c r="B132" s="10">
        <v>201789</v>
      </c>
      <c r="C132" s="10">
        <v>50000</v>
      </c>
      <c r="D132" s="10" t="s">
        <v>134</v>
      </c>
      <c r="E132" s="10" t="s">
        <v>462</v>
      </c>
      <c r="F132" s="10" t="s">
        <v>1005</v>
      </c>
      <c r="G132" s="10" t="s">
        <v>125</v>
      </c>
      <c r="H132" s="10" t="s">
        <v>126</v>
      </c>
      <c r="I132" s="10" t="s">
        <v>81</v>
      </c>
      <c r="J132" s="10" t="s">
        <v>82</v>
      </c>
      <c r="K132" s="10" t="s">
        <v>48</v>
      </c>
      <c r="L132" s="10">
        <v>110</v>
      </c>
      <c r="M132" s="10" t="s">
        <v>137</v>
      </c>
      <c r="N132" s="10" t="s">
        <v>60</v>
      </c>
      <c r="O132" s="10" t="s">
        <v>311</v>
      </c>
      <c r="P132" s="11">
        <v>12.8</v>
      </c>
      <c r="Q132" s="10">
        <v>12</v>
      </c>
      <c r="R132" s="10">
        <v>1.2</v>
      </c>
      <c r="S132" s="10">
        <v>1.5</v>
      </c>
      <c r="T132" s="2">
        <f t="shared" si="60"/>
        <v>27.5</v>
      </c>
      <c r="U132" s="10">
        <v>1070</v>
      </c>
      <c r="V132" s="10">
        <v>2040</v>
      </c>
      <c r="W132" s="2" t="str">
        <f t="shared" si="52"/>
        <v>5</v>
      </c>
      <c r="X132" s="2" t="str">
        <f t="shared" si="53"/>
        <v>2</v>
      </c>
      <c r="Y132" s="2" t="str">
        <f t="shared" si="54"/>
        <v>1</v>
      </c>
      <c r="Z132" s="3" t="str">
        <f t="shared" si="55"/>
        <v>1</v>
      </c>
      <c r="AA132" s="10">
        <v>0</v>
      </c>
      <c r="AB132" s="3">
        <f t="shared" si="65"/>
        <v>2.25</v>
      </c>
      <c r="AC132" s="10">
        <v>58</v>
      </c>
      <c r="AD132" s="10">
        <v>5</v>
      </c>
      <c r="AE132" s="10">
        <v>0.02</v>
      </c>
      <c r="AF132" s="10">
        <v>42.7</v>
      </c>
      <c r="AG132" s="2">
        <f t="shared" si="56"/>
        <v>2135</v>
      </c>
      <c r="AH132" s="2" t="str">
        <f t="shared" si="57"/>
        <v>1</v>
      </c>
      <c r="AI132" s="3" t="str">
        <f t="shared" si="58"/>
        <v>1</v>
      </c>
      <c r="AJ132" s="3">
        <f t="shared" si="59"/>
        <v>1</v>
      </c>
      <c r="AK132" s="2">
        <v>14</v>
      </c>
      <c r="AL132" s="2" t="str">
        <f t="shared" si="61"/>
        <v>1</v>
      </c>
      <c r="AM132" s="10">
        <v>262</v>
      </c>
      <c r="AN132" s="10">
        <v>188.64</v>
      </c>
      <c r="AO132" s="10">
        <v>251</v>
      </c>
      <c r="AP132" s="10">
        <v>180.72</v>
      </c>
      <c r="AQ132" s="10">
        <v>1464</v>
      </c>
      <c r="AR132" s="10">
        <v>1054.08</v>
      </c>
      <c r="AS132" s="10">
        <v>72</v>
      </c>
      <c r="AT132" s="2" t="str">
        <f t="shared" si="62"/>
        <v>3</v>
      </c>
      <c r="AU132" s="10">
        <v>1</v>
      </c>
      <c r="AV132" s="10">
        <v>1</v>
      </c>
      <c r="AW132" s="10">
        <v>1</v>
      </c>
      <c r="AX132" s="10">
        <v>1</v>
      </c>
      <c r="AY132" s="2">
        <v>1</v>
      </c>
      <c r="AZ132" s="10">
        <v>2020</v>
      </c>
      <c r="BA132" s="2">
        <f t="shared" si="63"/>
        <v>5</v>
      </c>
      <c r="BB132" s="2" t="str">
        <f t="shared" si="64"/>
        <v>1</v>
      </c>
      <c r="BC132" s="3">
        <v>1</v>
      </c>
      <c r="BD132" s="7">
        <f t="shared" si="51"/>
        <v>1.4500000000000002</v>
      </c>
      <c r="BE132" s="100" t="s">
        <v>828</v>
      </c>
      <c r="BF132" s="62"/>
      <c r="BG132" s="62"/>
      <c r="BH132" s="2">
        <v>25321</v>
      </c>
      <c r="BI132" s="10"/>
      <c r="BJ132" s="10"/>
      <c r="BK132" s="10" t="s">
        <v>959</v>
      </c>
      <c r="BL132" s="10" t="s">
        <v>960</v>
      </c>
      <c r="BM132" s="10"/>
    </row>
    <row r="133" spans="1:66" ht="80" x14ac:dyDescent="0.2">
      <c r="A133" s="10">
        <v>20037986</v>
      </c>
      <c r="B133" s="10" t="s">
        <v>468</v>
      </c>
      <c r="C133" s="10">
        <v>5000</v>
      </c>
      <c r="D133" s="10" t="s">
        <v>73</v>
      </c>
      <c r="E133" s="10" t="s">
        <v>464</v>
      </c>
      <c r="F133" s="10" t="s">
        <v>469</v>
      </c>
      <c r="G133" s="10" t="s">
        <v>125</v>
      </c>
      <c r="H133" s="10" t="s">
        <v>148</v>
      </c>
      <c r="I133" s="10" t="s">
        <v>65</v>
      </c>
      <c r="J133" s="10" t="s">
        <v>61</v>
      </c>
      <c r="K133" s="10" t="s">
        <v>66</v>
      </c>
      <c r="L133" s="10" t="s">
        <v>76</v>
      </c>
      <c r="M133" s="10" t="s">
        <v>60</v>
      </c>
      <c r="N133" s="10" t="s">
        <v>61</v>
      </c>
      <c r="O133" s="10" t="s">
        <v>130</v>
      </c>
      <c r="P133" s="11">
        <v>4.2</v>
      </c>
      <c r="Q133" s="10">
        <v>2.1</v>
      </c>
      <c r="R133" s="10">
        <v>1.9</v>
      </c>
      <c r="S133" s="10">
        <v>0.3</v>
      </c>
      <c r="T133" s="2">
        <f t="shared" si="60"/>
        <v>8.5000000000000018</v>
      </c>
      <c r="U133" s="2">
        <v>321</v>
      </c>
      <c r="V133" s="2">
        <v>1011</v>
      </c>
      <c r="W133" s="2" t="str">
        <f t="shared" si="52"/>
        <v>3</v>
      </c>
      <c r="X133" s="2" t="str">
        <f t="shared" si="53"/>
        <v>1</v>
      </c>
      <c r="Y133" s="2" t="str">
        <f t="shared" si="54"/>
        <v>1</v>
      </c>
      <c r="Z133" s="3" t="str">
        <f t="shared" si="55"/>
        <v>1</v>
      </c>
      <c r="AA133" s="10">
        <v>0</v>
      </c>
      <c r="AB133" s="3">
        <f t="shared" si="65"/>
        <v>1.5</v>
      </c>
      <c r="AC133" s="10">
        <v>46</v>
      </c>
      <c r="AD133" s="10">
        <v>15</v>
      </c>
      <c r="AE133" s="10">
        <v>0.02</v>
      </c>
      <c r="AF133" s="10">
        <v>45.7</v>
      </c>
      <c r="AG133" s="2">
        <f t="shared" si="56"/>
        <v>2285</v>
      </c>
      <c r="AH133" s="2" t="str">
        <f t="shared" si="57"/>
        <v>1</v>
      </c>
      <c r="AI133" s="3" t="str">
        <f t="shared" si="58"/>
        <v>1</v>
      </c>
      <c r="AJ133" s="3">
        <f t="shared" si="59"/>
        <v>1</v>
      </c>
      <c r="AK133" s="2">
        <v>3876</v>
      </c>
      <c r="AL133" s="2" t="str">
        <f t="shared" si="61"/>
        <v>3</v>
      </c>
      <c r="AM133" s="10">
        <v>83.67</v>
      </c>
      <c r="AN133" s="10">
        <v>52.7121</v>
      </c>
      <c r="AO133" s="10">
        <v>209.18</v>
      </c>
      <c r="AP133" s="10">
        <v>131.7834</v>
      </c>
      <c r="AQ133" s="10" t="s">
        <v>61</v>
      </c>
      <c r="AR133" s="10" t="s">
        <v>61</v>
      </c>
      <c r="AS133" s="10">
        <v>73</v>
      </c>
      <c r="AT133" s="2" t="str">
        <f t="shared" si="62"/>
        <v>3</v>
      </c>
      <c r="AU133" s="10">
        <v>1</v>
      </c>
      <c r="AV133" s="10">
        <v>1</v>
      </c>
      <c r="AW133" s="10">
        <v>1</v>
      </c>
      <c r="AX133" s="10">
        <v>1</v>
      </c>
      <c r="AY133" s="2">
        <v>1</v>
      </c>
      <c r="AZ133" s="10">
        <v>1997</v>
      </c>
      <c r="BA133" s="2">
        <f t="shared" si="63"/>
        <v>28</v>
      </c>
      <c r="BB133" s="2" t="str">
        <f t="shared" si="64"/>
        <v>4</v>
      </c>
      <c r="BC133" s="3">
        <v>1</v>
      </c>
      <c r="BD133" s="7">
        <f t="shared" si="51"/>
        <v>1.55</v>
      </c>
      <c r="BE133" s="62" t="s">
        <v>827</v>
      </c>
      <c r="BF133" s="62"/>
      <c r="BG133" s="62"/>
      <c r="BH133" s="2">
        <v>4570</v>
      </c>
      <c r="BI133" s="10"/>
      <c r="BJ133" s="10"/>
      <c r="BK133" s="10" t="s">
        <v>954</v>
      </c>
      <c r="BL133" s="10" t="s">
        <v>937</v>
      </c>
      <c r="BM133" s="10"/>
    </row>
    <row r="134" spans="1:66" ht="80" x14ac:dyDescent="0.2">
      <c r="A134" s="10">
        <v>20037986</v>
      </c>
      <c r="B134" s="10">
        <v>55390119</v>
      </c>
      <c r="C134" s="10">
        <v>2300</v>
      </c>
      <c r="D134" s="10" t="s">
        <v>73</v>
      </c>
      <c r="E134" s="10" t="s">
        <v>464</v>
      </c>
      <c r="F134" s="10" t="s">
        <v>465</v>
      </c>
      <c r="G134" s="10" t="s">
        <v>125</v>
      </c>
      <c r="H134" s="10" t="s">
        <v>148</v>
      </c>
      <c r="I134" s="10" t="s">
        <v>65</v>
      </c>
      <c r="J134" s="10" t="s">
        <v>61</v>
      </c>
      <c r="K134" s="10" t="s">
        <v>66</v>
      </c>
      <c r="L134" s="10" t="s">
        <v>76</v>
      </c>
      <c r="M134" s="10" t="s">
        <v>60</v>
      </c>
      <c r="N134" s="10" t="s">
        <v>61</v>
      </c>
      <c r="O134" s="10" t="s">
        <v>77</v>
      </c>
      <c r="P134" s="11">
        <v>422</v>
      </c>
      <c r="Q134" s="10">
        <v>29</v>
      </c>
      <c r="R134" s="10">
        <v>5.0999999999999996</v>
      </c>
      <c r="S134" s="10">
        <v>5.7</v>
      </c>
      <c r="T134" s="2">
        <f t="shared" si="60"/>
        <v>461.8</v>
      </c>
      <c r="U134" s="2">
        <v>610</v>
      </c>
      <c r="V134" s="2">
        <v>4086</v>
      </c>
      <c r="W134" s="2" t="str">
        <f t="shared" si="52"/>
        <v>4</v>
      </c>
      <c r="X134" s="2" t="str">
        <f t="shared" si="53"/>
        <v>3</v>
      </c>
      <c r="Y134" s="2" t="str">
        <f t="shared" si="54"/>
        <v>5</v>
      </c>
      <c r="Z134" s="3" t="str">
        <f t="shared" si="55"/>
        <v>1</v>
      </c>
      <c r="AA134" s="10">
        <v>0</v>
      </c>
      <c r="AB134" s="3">
        <f t="shared" si="65"/>
        <v>3.25</v>
      </c>
      <c r="AC134" s="10">
        <v>59</v>
      </c>
      <c r="AD134" s="10">
        <v>7</v>
      </c>
      <c r="AE134" s="10">
        <v>0.02</v>
      </c>
      <c r="AF134" s="10">
        <v>40</v>
      </c>
      <c r="AG134" s="2">
        <f t="shared" si="56"/>
        <v>2000</v>
      </c>
      <c r="AH134" s="2" t="str">
        <f t="shared" si="57"/>
        <v>1</v>
      </c>
      <c r="AI134" s="3" t="str">
        <f t="shared" si="58"/>
        <v>1</v>
      </c>
      <c r="AJ134" s="3">
        <f t="shared" si="59"/>
        <v>1</v>
      </c>
      <c r="AK134" s="2">
        <v>100</v>
      </c>
      <c r="AL134" s="2" t="str">
        <f t="shared" si="61"/>
        <v>1</v>
      </c>
      <c r="AM134" s="10">
        <v>38.49</v>
      </c>
      <c r="AN134" s="10">
        <v>18.860099999999999</v>
      </c>
      <c r="AO134" s="10">
        <v>96.22</v>
      </c>
      <c r="AP134" s="10">
        <v>47.147799999999997</v>
      </c>
      <c r="AQ134" s="10" t="s">
        <v>61</v>
      </c>
      <c r="AR134" s="10" t="s">
        <v>61</v>
      </c>
      <c r="AS134" s="10">
        <v>59</v>
      </c>
      <c r="AT134" s="2" t="str">
        <f t="shared" si="62"/>
        <v>1</v>
      </c>
      <c r="AU134" s="10">
        <v>5</v>
      </c>
      <c r="AV134" s="10">
        <v>1</v>
      </c>
      <c r="AW134" s="10">
        <v>1</v>
      </c>
      <c r="AX134" s="10" t="s">
        <v>61</v>
      </c>
      <c r="AY134" s="2">
        <v>1</v>
      </c>
      <c r="AZ134" s="10">
        <v>2019</v>
      </c>
      <c r="BA134" s="2">
        <f t="shared" si="63"/>
        <v>6</v>
      </c>
      <c r="BB134" s="2" t="str">
        <f t="shared" si="64"/>
        <v>1</v>
      </c>
      <c r="BC134" s="3">
        <v>1</v>
      </c>
      <c r="BD134" s="7">
        <f t="shared" si="51"/>
        <v>1.45</v>
      </c>
      <c r="BE134" s="62" t="s">
        <v>834</v>
      </c>
      <c r="BF134" s="62"/>
      <c r="BG134" s="62"/>
      <c r="BH134" s="2">
        <v>3946</v>
      </c>
      <c r="BI134" s="10"/>
      <c r="BJ134" s="10"/>
      <c r="BK134" s="10"/>
      <c r="BL134" s="10"/>
      <c r="BM134" s="10"/>
    </row>
    <row r="135" spans="1:66" ht="64" x14ac:dyDescent="0.2">
      <c r="A135" s="10">
        <v>20028073</v>
      </c>
      <c r="B135" s="10">
        <v>1079537166</v>
      </c>
      <c r="C135" s="10">
        <v>6500</v>
      </c>
      <c r="D135" s="10" t="s">
        <v>73</v>
      </c>
      <c r="E135" s="10" t="s">
        <v>471</v>
      </c>
      <c r="F135" s="10" t="s">
        <v>472</v>
      </c>
      <c r="G135" s="10" t="s">
        <v>58</v>
      </c>
      <c r="H135" s="10" t="s">
        <v>59</v>
      </c>
      <c r="I135" s="10" t="s">
        <v>81</v>
      </c>
      <c r="J135" s="10" t="s">
        <v>82</v>
      </c>
      <c r="K135" s="10" t="s">
        <v>66</v>
      </c>
      <c r="L135" s="10" t="s">
        <v>76</v>
      </c>
      <c r="M135" s="10" t="s">
        <v>60</v>
      </c>
      <c r="N135" s="10" t="s">
        <v>61</v>
      </c>
      <c r="O135" s="10" t="s">
        <v>83</v>
      </c>
      <c r="P135" s="11">
        <v>18.7</v>
      </c>
      <c r="Q135" s="10">
        <v>14.4</v>
      </c>
      <c r="R135" s="10">
        <v>1.8</v>
      </c>
      <c r="S135" s="10">
        <v>4.2</v>
      </c>
      <c r="T135" s="2">
        <f t="shared" si="60"/>
        <v>39.1</v>
      </c>
      <c r="U135" s="10">
        <v>527</v>
      </c>
      <c r="V135" s="10">
        <v>1229</v>
      </c>
      <c r="W135" s="2" t="str">
        <f t="shared" si="52"/>
        <v>3</v>
      </c>
      <c r="X135" s="2" t="str">
        <f t="shared" si="53"/>
        <v>1</v>
      </c>
      <c r="Y135" s="2" t="str">
        <f t="shared" si="54"/>
        <v>1</v>
      </c>
      <c r="Z135" s="3" t="str">
        <f t="shared" si="55"/>
        <v>1</v>
      </c>
      <c r="AA135" s="10">
        <v>0</v>
      </c>
      <c r="AB135" s="3">
        <f t="shared" si="65"/>
        <v>1.5</v>
      </c>
      <c r="AC135" s="10">
        <v>64</v>
      </c>
      <c r="AD135" s="10">
        <v>6</v>
      </c>
      <c r="AE135" s="10">
        <v>0.02</v>
      </c>
      <c r="AF135" s="10">
        <v>47.3</v>
      </c>
      <c r="AG135" s="2">
        <f t="shared" si="56"/>
        <v>2365</v>
      </c>
      <c r="AH135" s="2" t="str">
        <f t="shared" si="57"/>
        <v>1</v>
      </c>
      <c r="AI135" s="3" t="str">
        <f t="shared" si="58"/>
        <v>1</v>
      </c>
      <c r="AJ135" s="3">
        <f t="shared" si="59"/>
        <v>1</v>
      </c>
      <c r="AK135" s="2">
        <v>14</v>
      </c>
      <c r="AL135" s="2" t="str">
        <f t="shared" si="61"/>
        <v>1</v>
      </c>
      <c r="AM135" s="10">
        <v>108.78</v>
      </c>
      <c r="AN135" s="10">
        <v>96.8142</v>
      </c>
      <c r="AO135" s="10">
        <v>271.94</v>
      </c>
      <c r="AP135" s="10">
        <v>242.0266</v>
      </c>
      <c r="AQ135" s="10" t="s">
        <v>61</v>
      </c>
      <c r="AR135" s="10" t="s">
        <v>61</v>
      </c>
      <c r="AS135" s="10">
        <v>89</v>
      </c>
      <c r="AT135" s="2" t="str">
        <f t="shared" si="62"/>
        <v>4</v>
      </c>
      <c r="AU135" s="10">
        <v>1</v>
      </c>
      <c r="AV135" s="10">
        <v>1</v>
      </c>
      <c r="AW135" s="10">
        <v>1</v>
      </c>
      <c r="AX135" s="10" t="s">
        <v>61</v>
      </c>
      <c r="AY135" s="2">
        <v>1</v>
      </c>
      <c r="AZ135" s="10">
        <v>2023</v>
      </c>
      <c r="BA135" s="2">
        <f t="shared" si="63"/>
        <v>2</v>
      </c>
      <c r="BB135" s="2" t="str">
        <f t="shared" si="64"/>
        <v>1</v>
      </c>
      <c r="BC135" s="3">
        <v>1</v>
      </c>
      <c r="BD135" s="7">
        <f t="shared" si="51"/>
        <v>1.4000000000000001</v>
      </c>
      <c r="BE135" s="100" t="s">
        <v>828</v>
      </c>
      <c r="BF135" s="62"/>
      <c r="BG135" s="62"/>
      <c r="BH135" s="2">
        <v>6800</v>
      </c>
      <c r="BI135" s="10"/>
      <c r="BJ135" s="10"/>
      <c r="BK135" s="107">
        <v>46208</v>
      </c>
      <c r="BL135" s="10" t="s">
        <v>950</v>
      </c>
      <c r="BM135" s="10"/>
    </row>
    <row r="136" spans="1:66" ht="32" x14ac:dyDescent="0.2">
      <c r="A136" s="10">
        <v>20048071</v>
      </c>
      <c r="B136" s="10">
        <v>78750113</v>
      </c>
      <c r="C136" s="10">
        <v>5000</v>
      </c>
      <c r="D136" s="10" t="s">
        <v>73</v>
      </c>
      <c r="E136" s="10" t="s">
        <v>473</v>
      </c>
      <c r="F136" s="10" t="s">
        <v>474</v>
      </c>
      <c r="G136" s="10" t="s">
        <v>70</v>
      </c>
      <c r="H136" s="10" t="s">
        <v>70</v>
      </c>
      <c r="I136" s="10" t="s">
        <v>65</v>
      </c>
      <c r="J136" s="10" t="s">
        <v>82</v>
      </c>
      <c r="K136" s="10" t="s">
        <v>66</v>
      </c>
      <c r="L136" s="10" t="s">
        <v>76</v>
      </c>
      <c r="M136" s="10" t="s">
        <v>60</v>
      </c>
      <c r="N136" s="10" t="s">
        <v>61</v>
      </c>
      <c r="O136" s="10" t="s">
        <v>130</v>
      </c>
      <c r="P136" s="11">
        <v>1.6</v>
      </c>
      <c r="Q136" s="10">
        <v>3.3</v>
      </c>
      <c r="R136" s="10">
        <v>6.7</v>
      </c>
      <c r="S136" s="10">
        <v>1.6</v>
      </c>
      <c r="T136" s="2">
        <f t="shared" si="60"/>
        <v>13.200000000000001</v>
      </c>
      <c r="U136" s="10">
        <v>172</v>
      </c>
      <c r="V136" s="10">
        <v>3865</v>
      </c>
      <c r="W136" s="2" t="str">
        <f t="shared" si="52"/>
        <v>2</v>
      </c>
      <c r="X136" s="2" t="str">
        <f t="shared" si="53"/>
        <v>3</v>
      </c>
      <c r="Y136" s="2" t="str">
        <f t="shared" si="54"/>
        <v>1</v>
      </c>
      <c r="Z136" s="3" t="str">
        <f t="shared" si="55"/>
        <v>1</v>
      </c>
      <c r="AA136" s="10">
        <v>0</v>
      </c>
      <c r="AB136" s="3">
        <f t="shared" si="65"/>
        <v>1.75</v>
      </c>
      <c r="AC136" s="10">
        <v>33</v>
      </c>
      <c r="AD136" s="10">
        <v>13</v>
      </c>
      <c r="AE136" s="10">
        <v>0.02</v>
      </c>
      <c r="AF136" s="10">
        <v>41.6</v>
      </c>
      <c r="AG136" s="2">
        <f t="shared" si="56"/>
        <v>2080</v>
      </c>
      <c r="AH136" s="2" t="str">
        <f t="shared" si="57"/>
        <v>2</v>
      </c>
      <c r="AI136" s="3" t="str">
        <f t="shared" si="58"/>
        <v>1</v>
      </c>
      <c r="AJ136" s="3">
        <f t="shared" si="59"/>
        <v>1.8</v>
      </c>
      <c r="AK136" s="2">
        <v>47</v>
      </c>
      <c r="AL136" s="2" t="str">
        <f t="shared" si="61"/>
        <v>1</v>
      </c>
      <c r="AM136" s="10">
        <v>83.67</v>
      </c>
      <c r="AN136" s="10">
        <v>88.690200000000004</v>
      </c>
      <c r="AO136" s="10">
        <v>209.18</v>
      </c>
      <c r="AP136" s="10">
        <v>221.73080000000002</v>
      </c>
      <c r="AQ136" s="10" t="s">
        <v>61</v>
      </c>
      <c r="AR136" s="10" t="s">
        <v>61</v>
      </c>
      <c r="AS136" s="10">
        <v>106</v>
      </c>
      <c r="AT136" s="2" t="str">
        <f t="shared" si="62"/>
        <v>5</v>
      </c>
      <c r="AU136" s="10">
        <v>1</v>
      </c>
      <c r="AV136" s="10">
        <v>1</v>
      </c>
      <c r="AW136" s="10">
        <v>1</v>
      </c>
      <c r="AX136" s="10" t="s">
        <v>61</v>
      </c>
      <c r="AY136" s="2">
        <v>1</v>
      </c>
      <c r="AZ136" s="10">
        <v>2014</v>
      </c>
      <c r="BA136" s="2">
        <f t="shared" si="63"/>
        <v>11</v>
      </c>
      <c r="BB136" s="2" t="str">
        <f t="shared" si="64"/>
        <v>2</v>
      </c>
      <c r="BC136" s="3">
        <v>1</v>
      </c>
      <c r="BD136" s="7">
        <v>4</v>
      </c>
      <c r="BE136" s="10" t="s">
        <v>976</v>
      </c>
      <c r="BF136" s="62"/>
      <c r="BG136" s="62" t="s">
        <v>819</v>
      </c>
      <c r="BH136" s="2">
        <v>7060</v>
      </c>
      <c r="BI136" s="10"/>
      <c r="BJ136" s="10" t="s">
        <v>920</v>
      </c>
      <c r="BK136" s="10"/>
      <c r="BL136" s="10"/>
      <c r="BM136" s="10"/>
    </row>
    <row r="137" spans="1:66" ht="80" x14ac:dyDescent="0.2">
      <c r="A137" s="10">
        <v>20058082</v>
      </c>
      <c r="B137" s="10">
        <v>30514</v>
      </c>
      <c r="C137" s="10">
        <v>50000</v>
      </c>
      <c r="D137" s="10" t="s">
        <v>134</v>
      </c>
      <c r="E137" s="10" t="s">
        <v>477</v>
      </c>
      <c r="F137" s="10" t="s">
        <v>478</v>
      </c>
      <c r="G137" s="10" t="s">
        <v>125</v>
      </c>
      <c r="H137" s="10" t="s">
        <v>126</v>
      </c>
      <c r="I137" s="10" t="s">
        <v>81</v>
      </c>
      <c r="J137" s="10" t="s">
        <v>82</v>
      </c>
      <c r="K137" s="10" t="s">
        <v>48</v>
      </c>
      <c r="L137" s="10">
        <v>110</v>
      </c>
      <c r="M137" s="10" t="s">
        <v>137</v>
      </c>
      <c r="N137" s="10" t="s">
        <v>60</v>
      </c>
      <c r="O137" s="10" t="s">
        <v>219</v>
      </c>
      <c r="P137" s="11">
        <v>8.1</v>
      </c>
      <c r="Q137" s="10">
        <v>12.2</v>
      </c>
      <c r="R137" s="10">
        <v>7.9</v>
      </c>
      <c r="S137" s="10">
        <v>1.3</v>
      </c>
      <c r="T137" s="2">
        <f t="shared" si="60"/>
        <v>29.499999999999996</v>
      </c>
      <c r="U137" s="10">
        <v>1053</v>
      </c>
      <c r="V137" s="10">
        <v>2899</v>
      </c>
      <c r="W137" s="2" t="str">
        <f t="shared" si="52"/>
        <v>5</v>
      </c>
      <c r="X137" s="2" t="str">
        <f t="shared" si="53"/>
        <v>2</v>
      </c>
      <c r="Y137" s="2" t="str">
        <f t="shared" si="54"/>
        <v>1</v>
      </c>
      <c r="Z137" s="3" t="str">
        <f t="shared" si="55"/>
        <v>1</v>
      </c>
      <c r="AA137" s="10">
        <v>0.1</v>
      </c>
      <c r="AB137" s="3">
        <f t="shared" si="65"/>
        <v>2.25</v>
      </c>
      <c r="AC137" s="10">
        <v>44</v>
      </c>
      <c r="AD137" s="10">
        <v>7</v>
      </c>
      <c r="AE137" s="10">
        <v>0.02</v>
      </c>
      <c r="AF137" s="10">
        <v>44</v>
      </c>
      <c r="AG137" s="2">
        <f t="shared" si="56"/>
        <v>2200</v>
      </c>
      <c r="AH137" s="2" t="str">
        <f t="shared" si="57"/>
        <v>1</v>
      </c>
      <c r="AI137" s="3" t="str">
        <f t="shared" si="58"/>
        <v>1</v>
      </c>
      <c r="AJ137" s="3">
        <f t="shared" si="59"/>
        <v>1</v>
      </c>
      <c r="AK137" s="2">
        <v>14</v>
      </c>
      <c r="AL137" s="2" t="str">
        <f t="shared" si="61"/>
        <v>1</v>
      </c>
      <c r="AM137" s="10">
        <v>262.39999999999998</v>
      </c>
      <c r="AN137" s="10">
        <v>136.44799999999998</v>
      </c>
      <c r="AO137" s="10">
        <v>669.4</v>
      </c>
      <c r="AP137" s="10">
        <v>247.678</v>
      </c>
      <c r="AQ137" s="10">
        <v>627.6</v>
      </c>
      <c r="AR137" s="10">
        <v>470.70000000000005</v>
      </c>
      <c r="AS137" s="10">
        <v>75</v>
      </c>
      <c r="AT137" s="2" t="str">
        <f t="shared" si="62"/>
        <v>3</v>
      </c>
      <c r="AU137" s="10">
        <v>1</v>
      </c>
      <c r="AV137" s="10">
        <v>1</v>
      </c>
      <c r="AW137" s="10">
        <v>1</v>
      </c>
      <c r="AX137" s="10">
        <v>1</v>
      </c>
      <c r="AY137" s="2">
        <v>1</v>
      </c>
      <c r="AZ137" s="10">
        <v>2006</v>
      </c>
      <c r="BA137" s="2">
        <f t="shared" si="63"/>
        <v>19</v>
      </c>
      <c r="BB137" s="2" t="str">
        <f t="shared" si="64"/>
        <v>3</v>
      </c>
      <c r="BC137" s="3">
        <v>1</v>
      </c>
      <c r="BD137" s="7">
        <f>(AB137*0.2)+(AJ137*0.23)+(AL137*0.05)+(AT137*0.1)+(AY137*0.18)+(BB137*0.05)+(BC137*0.19)</f>
        <v>1.5500000000000003</v>
      </c>
      <c r="BE137" s="62" t="s">
        <v>827</v>
      </c>
      <c r="BF137" s="62"/>
      <c r="BG137" s="8" t="s">
        <v>867</v>
      </c>
      <c r="BH137" s="2">
        <v>19100</v>
      </c>
      <c r="BI137" s="10"/>
      <c r="BJ137" s="10"/>
      <c r="BK137" s="10"/>
      <c r="BL137" s="10"/>
      <c r="BM137" s="10"/>
    </row>
    <row r="138" spans="1:66" ht="80" x14ac:dyDescent="0.2">
      <c r="A138" s="10">
        <v>20018090</v>
      </c>
      <c r="B138" s="10">
        <v>176972</v>
      </c>
      <c r="C138" s="101">
        <v>1000</v>
      </c>
      <c r="D138" s="101" t="s">
        <v>73</v>
      </c>
      <c r="E138" s="101" t="s">
        <v>479</v>
      </c>
      <c r="F138" s="101" t="s">
        <v>480</v>
      </c>
      <c r="G138" s="101" t="s">
        <v>70</v>
      </c>
      <c r="H138" s="101" t="s">
        <v>70</v>
      </c>
      <c r="I138" s="101" t="s">
        <v>65</v>
      </c>
      <c r="J138" s="101" t="s">
        <v>61</v>
      </c>
      <c r="K138" s="101" t="s">
        <v>66</v>
      </c>
      <c r="L138" s="101" t="s">
        <v>76</v>
      </c>
      <c r="M138" s="101" t="s">
        <v>60</v>
      </c>
      <c r="N138" s="101" t="s">
        <v>61</v>
      </c>
      <c r="O138" s="101" t="s">
        <v>77</v>
      </c>
      <c r="P138" s="104">
        <v>10136</v>
      </c>
      <c r="Q138" s="101">
        <v>1930</v>
      </c>
      <c r="R138" s="101">
        <v>8.4</v>
      </c>
      <c r="S138" s="101">
        <v>628</v>
      </c>
      <c r="T138" s="9">
        <f t="shared" si="60"/>
        <v>12702.4</v>
      </c>
      <c r="U138" s="101">
        <v>310</v>
      </c>
      <c r="V138" s="101">
        <v>2491</v>
      </c>
      <c r="W138" s="9" t="str">
        <f t="shared" si="52"/>
        <v>3</v>
      </c>
      <c r="X138" s="9" t="str">
        <f t="shared" si="53"/>
        <v>2</v>
      </c>
      <c r="Y138" s="9" t="str">
        <f t="shared" si="54"/>
        <v>5</v>
      </c>
      <c r="Z138" s="37" t="str">
        <f t="shared" si="55"/>
        <v>1</v>
      </c>
      <c r="AA138" s="101">
        <v>1.6</v>
      </c>
      <c r="AB138" s="37">
        <f t="shared" si="65"/>
        <v>2.75</v>
      </c>
      <c r="AC138" s="101">
        <v>21</v>
      </c>
      <c r="AD138" s="101">
        <v>12</v>
      </c>
      <c r="AE138" s="101">
        <v>0.02</v>
      </c>
      <c r="AF138" s="101">
        <v>38.799999999999997</v>
      </c>
      <c r="AG138" s="9">
        <f t="shared" si="56"/>
        <v>1939.9999999999998</v>
      </c>
      <c r="AH138" s="9" t="str">
        <f t="shared" si="57"/>
        <v>3</v>
      </c>
      <c r="AI138" s="37" t="str">
        <f t="shared" si="58"/>
        <v>1</v>
      </c>
      <c r="AJ138" s="37">
        <f t="shared" si="59"/>
        <v>2.6000000000000005</v>
      </c>
      <c r="AK138" s="9">
        <v>26</v>
      </c>
      <c r="AL138" s="9" t="str">
        <f t="shared" si="61"/>
        <v>1</v>
      </c>
      <c r="AM138" s="55">
        <v>16.73</v>
      </c>
      <c r="AN138" s="55">
        <v>4.8517000000000001</v>
      </c>
      <c r="AO138" s="55">
        <v>41.83</v>
      </c>
      <c r="AP138" s="55">
        <v>12.130699999999999</v>
      </c>
      <c r="AQ138" s="55" t="s">
        <v>61</v>
      </c>
      <c r="AR138" s="55" t="s">
        <v>61</v>
      </c>
      <c r="AS138" s="55">
        <v>29</v>
      </c>
      <c r="AT138" s="105" t="str">
        <f t="shared" si="62"/>
        <v>1</v>
      </c>
      <c r="AU138" s="55">
        <v>1</v>
      </c>
      <c r="AV138" s="55">
        <v>1</v>
      </c>
      <c r="AW138" s="55">
        <v>1</v>
      </c>
      <c r="AX138" s="55" t="s">
        <v>61</v>
      </c>
      <c r="AY138" s="2">
        <v>1</v>
      </c>
      <c r="AZ138" s="55">
        <v>1998</v>
      </c>
      <c r="BA138" s="57">
        <f t="shared" si="63"/>
        <v>27</v>
      </c>
      <c r="BB138" s="9" t="str">
        <f t="shared" si="64"/>
        <v>4</v>
      </c>
      <c r="BC138" s="37">
        <v>1</v>
      </c>
      <c r="BD138" s="7">
        <f>(AB138*0.2)+(AJ138*0.23)+(AL138*0.05)+(AT138*0.1)+(AY138*0.18)+(BB138*0.05)+(BC138*0.19)</f>
        <v>1.8680000000000001</v>
      </c>
      <c r="BE138" s="62" t="s">
        <v>827</v>
      </c>
      <c r="BF138" s="106"/>
      <c r="BG138" s="62"/>
      <c r="BH138" s="2">
        <v>350</v>
      </c>
      <c r="BI138" s="10"/>
      <c r="BJ138" s="10"/>
      <c r="BK138" s="10"/>
      <c r="BL138" s="10"/>
      <c r="BM138" s="10"/>
    </row>
    <row r="139" spans="1:66" ht="16" x14ac:dyDescent="0.2">
      <c r="A139" s="10">
        <v>20058068</v>
      </c>
      <c r="B139" s="10">
        <v>200724</v>
      </c>
      <c r="C139" s="10">
        <v>30000</v>
      </c>
      <c r="D139" s="10" t="s">
        <v>152</v>
      </c>
      <c r="E139" s="10" t="s">
        <v>481</v>
      </c>
      <c r="F139" s="10" t="s">
        <v>482</v>
      </c>
      <c r="G139" s="10" t="s">
        <v>125</v>
      </c>
      <c r="H139" s="10" t="s">
        <v>126</v>
      </c>
      <c r="I139" s="10" t="s">
        <v>81</v>
      </c>
      <c r="J139" s="10" t="s">
        <v>143</v>
      </c>
      <c r="K139" s="10" t="s">
        <v>48</v>
      </c>
      <c r="L139" s="10" t="s">
        <v>137</v>
      </c>
      <c r="M139" s="10" t="s">
        <v>60</v>
      </c>
      <c r="N139" s="10" t="s">
        <v>61</v>
      </c>
      <c r="O139" s="10" t="s">
        <v>295</v>
      </c>
      <c r="P139" s="11">
        <v>4.8</v>
      </c>
      <c r="Q139" s="10">
        <v>40</v>
      </c>
      <c r="R139" s="10">
        <v>11.6</v>
      </c>
      <c r="S139" s="10">
        <v>5.2</v>
      </c>
      <c r="T139" s="2">
        <f t="shared" si="60"/>
        <v>61.6</v>
      </c>
      <c r="U139" s="2">
        <v>1567</v>
      </c>
      <c r="V139" s="2">
        <v>6016</v>
      </c>
      <c r="W139" s="2" t="str">
        <f t="shared" si="52"/>
        <v>5</v>
      </c>
      <c r="X139" s="2" t="str">
        <f t="shared" si="53"/>
        <v>4</v>
      </c>
      <c r="Y139" s="2" t="str">
        <f t="shared" si="54"/>
        <v>1</v>
      </c>
      <c r="Z139" s="3" t="str">
        <f t="shared" si="55"/>
        <v>1</v>
      </c>
      <c r="AA139" s="10">
        <v>0</v>
      </c>
      <c r="AB139" s="3">
        <f t="shared" si="65"/>
        <v>2.75</v>
      </c>
      <c r="AC139" s="10">
        <v>59</v>
      </c>
      <c r="AD139" s="10">
        <v>5</v>
      </c>
      <c r="AE139" s="10">
        <v>0.02</v>
      </c>
      <c r="AF139" s="10">
        <v>37.200000000000003</v>
      </c>
      <c r="AG139" s="2">
        <f t="shared" si="56"/>
        <v>1860</v>
      </c>
      <c r="AH139" s="2" t="str">
        <f t="shared" si="57"/>
        <v>1</v>
      </c>
      <c r="AI139" s="3" t="str">
        <f t="shared" si="58"/>
        <v>1</v>
      </c>
      <c r="AJ139" s="3">
        <f t="shared" si="59"/>
        <v>1</v>
      </c>
      <c r="AK139" s="2">
        <v>22</v>
      </c>
      <c r="AL139" s="2" t="str">
        <f t="shared" si="61"/>
        <v>1</v>
      </c>
      <c r="AM139" s="10">
        <v>502</v>
      </c>
      <c r="AN139" s="10">
        <v>426.7</v>
      </c>
      <c r="AO139" s="10">
        <v>1255.0999999999999</v>
      </c>
      <c r="AP139" s="10">
        <v>1066.8349999999998</v>
      </c>
      <c r="AQ139" s="10" t="s">
        <v>61</v>
      </c>
      <c r="AR139" s="10" t="s">
        <v>61</v>
      </c>
      <c r="AS139" s="10">
        <v>85</v>
      </c>
      <c r="AT139" s="2" t="str">
        <f t="shared" si="62"/>
        <v>4</v>
      </c>
      <c r="AU139" s="10">
        <v>1</v>
      </c>
      <c r="AV139" s="10">
        <v>1</v>
      </c>
      <c r="AW139" s="10">
        <v>1</v>
      </c>
      <c r="AX139" s="10">
        <v>1</v>
      </c>
      <c r="AY139" s="2">
        <v>1</v>
      </c>
      <c r="AZ139" s="10">
        <v>2009</v>
      </c>
      <c r="BA139" s="2">
        <f t="shared" si="63"/>
        <v>16</v>
      </c>
      <c r="BB139" s="9" t="str">
        <f t="shared" si="64"/>
        <v>2</v>
      </c>
      <c r="BC139" s="37">
        <v>1</v>
      </c>
      <c r="BD139" s="7">
        <f>(AB139*0.2)+(AJ139*0.23)+(AL139*0.05)+(AT139*0.1)+(AY139*0.18)+(BB139*0.05)+(BC139*0.19)</f>
        <v>1.7</v>
      </c>
      <c r="BE139" s="10" t="s">
        <v>815</v>
      </c>
      <c r="BF139" s="106"/>
      <c r="BG139" s="8" t="s">
        <v>881</v>
      </c>
      <c r="BH139" s="2">
        <v>44400</v>
      </c>
      <c r="BI139" s="10"/>
      <c r="BJ139" s="10"/>
      <c r="BK139" s="107">
        <v>46040</v>
      </c>
      <c r="BL139" s="10" t="s">
        <v>934</v>
      </c>
      <c r="BM139" s="10"/>
      <c r="BN139" s="61" t="s">
        <v>998</v>
      </c>
    </row>
    <row r="140" spans="1:66" ht="48" x14ac:dyDescent="0.2">
      <c r="A140" s="10">
        <v>20058068</v>
      </c>
      <c r="B140" s="10">
        <v>200108</v>
      </c>
      <c r="C140" s="10">
        <v>12500</v>
      </c>
      <c r="D140" s="10" t="s">
        <v>73</v>
      </c>
      <c r="E140" s="10" t="s">
        <v>481</v>
      </c>
      <c r="F140" s="10" t="s">
        <v>485</v>
      </c>
      <c r="G140" s="10" t="s">
        <v>125</v>
      </c>
      <c r="H140" s="10" t="s">
        <v>126</v>
      </c>
      <c r="I140" s="10" t="s">
        <v>81</v>
      </c>
      <c r="J140" s="10" t="s">
        <v>143</v>
      </c>
      <c r="K140" s="10" t="s">
        <v>48</v>
      </c>
      <c r="L140" s="10" t="s">
        <v>76</v>
      </c>
      <c r="M140" s="10" t="s">
        <v>60</v>
      </c>
      <c r="N140" s="10" t="s">
        <v>61</v>
      </c>
      <c r="O140" s="10" t="s">
        <v>164</v>
      </c>
      <c r="P140" s="11">
        <v>3.7</v>
      </c>
      <c r="Q140" s="10">
        <v>321</v>
      </c>
      <c r="R140" s="10">
        <v>610</v>
      </c>
      <c r="S140" s="10">
        <v>293</v>
      </c>
      <c r="T140" s="2">
        <f t="shared" si="60"/>
        <v>1227.7</v>
      </c>
      <c r="U140" s="2">
        <v>281</v>
      </c>
      <c r="V140" s="2">
        <v>6424</v>
      </c>
      <c r="W140" s="2" t="str">
        <f t="shared" si="52"/>
        <v>2</v>
      </c>
      <c r="X140" s="2" t="str">
        <f t="shared" si="53"/>
        <v>4</v>
      </c>
      <c r="Y140" s="2" t="str">
        <f t="shared" si="54"/>
        <v>5</v>
      </c>
      <c r="Z140" s="3" t="str">
        <f t="shared" si="55"/>
        <v>1</v>
      </c>
      <c r="AA140" s="10">
        <v>0</v>
      </c>
      <c r="AB140" s="3">
        <f t="shared" si="65"/>
        <v>3</v>
      </c>
      <c r="AC140" s="10">
        <v>23</v>
      </c>
      <c r="AD140" s="10">
        <v>18</v>
      </c>
      <c r="AE140" s="10">
        <v>0.02</v>
      </c>
      <c r="AF140" s="10">
        <v>46.2</v>
      </c>
      <c r="AG140" s="2">
        <f t="shared" si="56"/>
        <v>2310</v>
      </c>
      <c r="AH140" s="2" t="str">
        <f t="shared" si="57"/>
        <v>3</v>
      </c>
      <c r="AI140" s="3" t="str">
        <f t="shared" si="58"/>
        <v>1</v>
      </c>
      <c r="AJ140" s="3">
        <f t="shared" si="59"/>
        <v>2.6000000000000005</v>
      </c>
      <c r="AK140" s="2">
        <v>205</v>
      </c>
      <c r="AL140" s="2" t="str">
        <f t="shared" si="61"/>
        <v>1</v>
      </c>
      <c r="AM140" s="10">
        <v>209.18</v>
      </c>
      <c r="AN140" s="10">
        <v>196.6292</v>
      </c>
      <c r="AO140" s="10">
        <v>522.96</v>
      </c>
      <c r="AP140" s="10">
        <v>491.58240000000001</v>
      </c>
      <c r="AQ140" s="10" t="s">
        <v>61</v>
      </c>
      <c r="AR140" s="10" t="s">
        <v>61</v>
      </c>
      <c r="AS140" s="10">
        <v>94</v>
      </c>
      <c r="AT140" s="2" t="str">
        <f t="shared" si="62"/>
        <v>4</v>
      </c>
      <c r="AU140" s="10">
        <v>5</v>
      </c>
      <c r="AV140" s="10">
        <v>1</v>
      </c>
      <c r="AW140" s="10">
        <v>1</v>
      </c>
      <c r="AX140" s="10">
        <v>1</v>
      </c>
      <c r="AY140" s="2">
        <v>1</v>
      </c>
      <c r="AZ140" s="10">
        <v>1999</v>
      </c>
      <c r="BA140" s="2">
        <f t="shared" si="63"/>
        <v>26</v>
      </c>
      <c r="BB140" s="9" t="str">
        <f t="shared" si="64"/>
        <v>4</v>
      </c>
      <c r="BC140" s="37">
        <v>1</v>
      </c>
      <c r="BD140" s="7">
        <f>(AB140*0.2)+(AJ140*0.23)+(AL140*0.05)+(AT140*0.1)+(AY140*0.18)+(BB140*0.05)+(BC140*0.19)</f>
        <v>2.2180000000000004</v>
      </c>
      <c r="BE140" s="62" t="s">
        <v>833</v>
      </c>
      <c r="BF140" s="106"/>
      <c r="BG140" s="8" t="s">
        <v>880</v>
      </c>
      <c r="BH140" s="2">
        <v>11482</v>
      </c>
      <c r="BI140" s="10"/>
      <c r="BJ140" s="10"/>
      <c r="BK140" s="107">
        <v>46040</v>
      </c>
      <c r="BL140" s="10" t="s">
        <v>934</v>
      </c>
      <c r="BM140" s="10"/>
      <c r="BN140" s="61" t="s">
        <v>998</v>
      </c>
    </row>
    <row r="141" spans="1:66" ht="32" x14ac:dyDescent="0.2">
      <c r="A141" s="10">
        <v>20058078</v>
      </c>
      <c r="B141" s="10">
        <v>173510</v>
      </c>
      <c r="C141" s="10">
        <v>4000</v>
      </c>
      <c r="D141" s="10" t="s">
        <v>73</v>
      </c>
      <c r="E141" s="10" t="s">
        <v>486</v>
      </c>
      <c r="F141" s="10" t="s">
        <v>487</v>
      </c>
      <c r="G141" s="10" t="s">
        <v>125</v>
      </c>
      <c r="H141" s="10" t="s">
        <v>126</v>
      </c>
      <c r="I141" s="10" t="s">
        <v>65</v>
      </c>
      <c r="J141" s="10" t="s">
        <v>61</v>
      </c>
      <c r="K141" s="10" t="s">
        <v>66</v>
      </c>
      <c r="L141" s="10" t="s">
        <v>76</v>
      </c>
      <c r="M141" s="10" t="s">
        <v>60</v>
      </c>
      <c r="N141" s="10" t="s">
        <v>61</v>
      </c>
      <c r="O141" s="10" t="s">
        <v>130</v>
      </c>
      <c r="P141" s="11">
        <v>3.9</v>
      </c>
      <c r="Q141" s="10">
        <v>2.6</v>
      </c>
      <c r="R141" s="10">
        <v>1</v>
      </c>
      <c r="S141" s="10">
        <v>0.5</v>
      </c>
      <c r="T141" s="2">
        <f t="shared" si="60"/>
        <v>8</v>
      </c>
      <c r="U141" s="2">
        <v>345</v>
      </c>
      <c r="V141" s="2">
        <v>2104</v>
      </c>
      <c r="W141" s="2" t="str">
        <f t="shared" si="52"/>
        <v>3</v>
      </c>
      <c r="X141" s="2" t="str">
        <f t="shared" si="53"/>
        <v>2</v>
      </c>
      <c r="Y141" s="2" t="str">
        <f t="shared" si="54"/>
        <v>1</v>
      </c>
      <c r="Z141" s="3" t="str">
        <f t="shared" si="55"/>
        <v>1</v>
      </c>
      <c r="AA141" s="10">
        <v>0</v>
      </c>
      <c r="AB141" s="3">
        <f t="shared" si="65"/>
        <v>1.75</v>
      </c>
      <c r="AC141" s="10">
        <v>28</v>
      </c>
      <c r="AD141" s="10">
        <v>20</v>
      </c>
      <c r="AE141" s="10">
        <v>0.02</v>
      </c>
      <c r="AF141" s="10">
        <v>42.9</v>
      </c>
      <c r="AG141" s="2">
        <f t="shared" si="56"/>
        <v>2145</v>
      </c>
      <c r="AH141" s="2" t="str">
        <f t="shared" si="57"/>
        <v>2</v>
      </c>
      <c r="AI141" s="3" t="str">
        <f t="shared" si="58"/>
        <v>1</v>
      </c>
      <c r="AJ141" s="3">
        <f t="shared" si="59"/>
        <v>1.8</v>
      </c>
      <c r="AK141" s="2">
        <v>385</v>
      </c>
      <c r="AL141" s="2" t="str">
        <f t="shared" si="61"/>
        <v>1</v>
      </c>
      <c r="AM141" s="10">
        <v>67</v>
      </c>
      <c r="AN141" s="10">
        <v>55.945</v>
      </c>
      <c r="AO141" s="10">
        <v>167.3</v>
      </c>
      <c r="AP141" s="10">
        <v>139.69550000000001</v>
      </c>
      <c r="AQ141" s="10" t="s">
        <v>61</v>
      </c>
      <c r="AR141" s="10" t="s">
        <v>61</v>
      </c>
      <c r="AS141" s="10">
        <v>96</v>
      </c>
      <c r="AT141" s="2" t="str">
        <f t="shared" si="62"/>
        <v>5</v>
      </c>
      <c r="AU141" s="10">
        <v>1</v>
      </c>
      <c r="AV141" s="10">
        <v>1</v>
      </c>
      <c r="AW141" s="10">
        <v>1</v>
      </c>
      <c r="AX141" s="10" t="s">
        <v>61</v>
      </c>
      <c r="AY141" s="2">
        <v>1</v>
      </c>
      <c r="AZ141" s="10">
        <v>1997</v>
      </c>
      <c r="BA141" s="2">
        <f t="shared" si="63"/>
        <v>28</v>
      </c>
      <c r="BB141" s="9" t="str">
        <f t="shared" si="64"/>
        <v>4</v>
      </c>
      <c r="BC141" s="37">
        <v>1</v>
      </c>
      <c r="BD141" s="7">
        <v>4</v>
      </c>
      <c r="BE141" s="10" t="s">
        <v>976</v>
      </c>
      <c r="BF141" s="106"/>
      <c r="BG141" s="62" t="s">
        <v>819</v>
      </c>
      <c r="BH141" s="2">
        <v>8331</v>
      </c>
      <c r="BI141" s="10"/>
      <c r="BJ141" s="10" t="s">
        <v>920</v>
      </c>
      <c r="BK141" s="10"/>
      <c r="BL141" s="10"/>
      <c r="BM141" s="10"/>
    </row>
    <row r="142" spans="1:66" ht="16" x14ac:dyDescent="0.2">
      <c r="A142" s="10">
        <v>20028077</v>
      </c>
      <c r="B142" s="10">
        <v>266762</v>
      </c>
      <c r="C142" s="10">
        <v>6500</v>
      </c>
      <c r="D142" s="10" t="s">
        <v>73</v>
      </c>
      <c r="E142" s="12" t="s">
        <v>486</v>
      </c>
      <c r="F142" s="101" t="s">
        <v>489</v>
      </c>
      <c r="G142" s="101" t="s">
        <v>58</v>
      </c>
      <c r="H142" s="101" t="s">
        <v>64</v>
      </c>
      <c r="I142" s="10" t="s">
        <v>65</v>
      </c>
      <c r="J142" s="10" t="s">
        <v>61</v>
      </c>
      <c r="K142" s="10" t="s">
        <v>66</v>
      </c>
      <c r="L142" s="10" t="s">
        <v>76</v>
      </c>
      <c r="M142" s="10" t="s">
        <v>60</v>
      </c>
      <c r="N142" s="10" t="s">
        <v>61</v>
      </c>
      <c r="O142" s="10" t="s">
        <v>130</v>
      </c>
      <c r="P142" s="59">
        <v>7.1</v>
      </c>
      <c r="Q142" s="10">
        <v>3.6</v>
      </c>
      <c r="R142" s="10">
        <v>7.3</v>
      </c>
      <c r="S142" s="10">
        <v>4.7</v>
      </c>
      <c r="T142" s="2">
        <f t="shared" si="60"/>
        <v>22.7</v>
      </c>
      <c r="U142" s="10">
        <v>229</v>
      </c>
      <c r="V142" s="10">
        <v>1704</v>
      </c>
      <c r="W142" s="2" t="str">
        <f t="shared" si="52"/>
        <v>2</v>
      </c>
      <c r="X142" s="2" t="str">
        <f t="shared" si="53"/>
        <v>2</v>
      </c>
      <c r="Y142" s="2" t="str">
        <f t="shared" si="54"/>
        <v>1</v>
      </c>
      <c r="Z142" s="3" t="str">
        <f t="shared" si="55"/>
        <v>1</v>
      </c>
      <c r="AA142" s="10">
        <v>0</v>
      </c>
      <c r="AB142" s="3">
        <f t="shared" si="65"/>
        <v>1.5</v>
      </c>
      <c r="AC142" s="10">
        <v>25</v>
      </c>
      <c r="AD142" s="10">
        <v>24</v>
      </c>
      <c r="AE142" s="10">
        <v>0.02</v>
      </c>
      <c r="AF142" s="10">
        <v>41.5</v>
      </c>
      <c r="AG142" s="2">
        <f t="shared" si="56"/>
        <v>2075</v>
      </c>
      <c r="AH142" s="2" t="str">
        <f t="shared" si="57"/>
        <v>3</v>
      </c>
      <c r="AI142" s="3" t="str">
        <f t="shared" si="58"/>
        <v>1</v>
      </c>
      <c r="AJ142" s="3">
        <f t="shared" si="59"/>
        <v>2.6000000000000005</v>
      </c>
      <c r="AK142" s="2">
        <v>174</v>
      </c>
      <c r="AL142" s="2" t="str">
        <f t="shared" si="61"/>
        <v>1</v>
      </c>
      <c r="AM142" s="55" t="s">
        <v>688</v>
      </c>
      <c r="AN142" s="55">
        <v>46.686000000000007</v>
      </c>
      <c r="AO142" s="55" t="s">
        <v>689</v>
      </c>
      <c r="AP142" s="55">
        <v>116.72430000000001</v>
      </c>
      <c r="AQ142" s="55" t="s">
        <v>61</v>
      </c>
      <c r="AR142" s="55" t="s">
        <v>490</v>
      </c>
      <c r="AS142" s="55">
        <v>93</v>
      </c>
      <c r="AT142" s="2" t="str">
        <f t="shared" si="62"/>
        <v>4</v>
      </c>
      <c r="AU142" s="55">
        <v>1</v>
      </c>
      <c r="AV142" s="55">
        <v>1</v>
      </c>
      <c r="AW142" s="55">
        <v>5</v>
      </c>
      <c r="AX142" s="55" t="s">
        <v>61</v>
      </c>
      <c r="AY142" s="9">
        <v>1</v>
      </c>
      <c r="AZ142" s="55">
        <v>2006</v>
      </c>
      <c r="BA142" s="57">
        <f t="shared" si="63"/>
        <v>19</v>
      </c>
      <c r="BB142" s="9" t="str">
        <f t="shared" si="64"/>
        <v>3</v>
      </c>
      <c r="BC142" s="37">
        <v>1</v>
      </c>
      <c r="BD142" s="7">
        <f>(AB142*0.2)+(AJ142*0.23)+(AL142*0.05)+(AT142*0.1)+(AY142*0.18)+(BB142*0.05)+(BC142*0.19)</f>
        <v>1.8680000000000003</v>
      </c>
      <c r="BE142" s="10" t="s">
        <v>818</v>
      </c>
      <c r="BF142" s="106"/>
      <c r="BG142" s="8" t="s">
        <v>873</v>
      </c>
      <c r="BH142" s="2">
        <v>1588</v>
      </c>
      <c r="BI142" s="10" t="s">
        <v>911</v>
      </c>
      <c r="BJ142" s="10" t="s">
        <v>925</v>
      </c>
      <c r="BK142" s="10" t="s">
        <v>966</v>
      </c>
      <c r="BL142" s="10" t="s">
        <v>949</v>
      </c>
      <c r="BM142" s="109">
        <v>77000000</v>
      </c>
    </row>
    <row r="143" spans="1:66" ht="80" x14ac:dyDescent="0.2">
      <c r="A143" s="10">
        <v>20700135</v>
      </c>
      <c r="B143" s="10">
        <v>291240</v>
      </c>
      <c r="C143" s="10">
        <v>1600</v>
      </c>
      <c r="D143" s="10" t="s">
        <v>73</v>
      </c>
      <c r="E143" s="10" t="s">
        <v>492</v>
      </c>
      <c r="F143" s="10" t="s">
        <v>493</v>
      </c>
      <c r="G143" s="10" t="s">
        <v>70</v>
      </c>
      <c r="H143" s="10" t="s">
        <v>70</v>
      </c>
      <c r="I143" s="10" t="s">
        <v>65</v>
      </c>
      <c r="J143" s="10" t="s">
        <v>61</v>
      </c>
      <c r="K143" s="10" t="s">
        <v>66</v>
      </c>
      <c r="L143" s="10" t="s">
        <v>76</v>
      </c>
      <c r="M143" s="10" t="s">
        <v>60</v>
      </c>
      <c r="N143" s="10" t="s">
        <v>61</v>
      </c>
      <c r="O143" s="10" t="s">
        <v>77</v>
      </c>
      <c r="P143" s="11">
        <v>36748</v>
      </c>
      <c r="Q143" s="10">
        <v>23445</v>
      </c>
      <c r="R143" s="10">
        <v>7.1</v>
      </c>
      <c r="S143" s="10">
        <v>4755</v>
      </c>
      <c r="T143" s="2">
        <f t="shared" si="60"/>
        <v>64955.1</v>
      </c>
      <c r="U143" s="10">
        <v>88</v>
      </c>
      <c r="V143" s="10">
        <v>925</v>
      </c>
      <c r="W143" s="2" t="str">
        <f t="shared" si="52"/>
        <v>1</v>
      </c>
      <c r="X143" s="2" t="str">
        <f t="shared" si="53"/>
        <v>1</v>
      </c>
      <c r="Y143" s="2" t="str">
        <f t="shared" si="54"/>
        <v>5</v>
      </c>
      <c r="Z143" s="3" t="str">
        <f t="shared" si="55"/>
        <v>2</v>
      </c>
      <c r="AA143" s="10">
        <v>3.9</v>
      </c>
      <c r="AB143" s="3">
        <v>5</v>
      </c>
      <c r="AC143" s="10">
        <v>58</v>
      </c>
      <c r="AD143" s="10">
        <v>6</v>
      </c>
      <c r="AE143" s="10">
        <v>0.02</v>
      </c>
      <c r="AF143" s="10">
        <v>41.8</v>
      </c>
      <c r="AG143" s="2">
        <f t="shared" si="56"/>
        <v>2090</v>
      </c>
      <c r="AH143" s="2" t="str">
        <f t="shared" si="57"/>
        <v>1</v>
      </c>
      <c r="AI143" s="3" t="str">
        <f t="shared" si="58"/>
        <v>1</v>
      </c>
      <c r="AJ143" s="3">
        <f t="shared" si="59"/>
        <v>1</v>
      </c>
      <c r="AK143" s="2">
        <v>14</v>
      </c>
      <c r="AL143" s="2" t="str">
        <f t="shared" si="61"/>
        <v>1</v>
      </c>
      <c r="AM143" s="10">
        <v>26.8</v>
      </c>
      <c r="AN143" s="10">
        <v>5.36</v>
      </c>
      <c r="AO143" s="10">
        <v>66.900000000000006</v>
      </c>
      <c r="AP143" s="10">
        <v>13.380000000000003</v>
      </c>
      <c r="AQ143" s="10" t="s">
        <v>61</v>
      </c>
      <c r="AR143" s="10" t="s">
        <v>61</v>
      </c>
      <c r="AS143" s="10">
        <v>96</v>
      </c>
      <c r="AT143" s="2" t="str">
        <f t="shared" si="62"/>
        <v>5</v>
      </c>
      <c r="AU143" s="10">
        <v>5</v>
      </c>
      <c r="AV143" s="10">
        <v>5</v>
      </c>
      <c r="AW143" s="10">
        <v>5</v>
      </c>
      <c r="AX143" s="10" t="s">
        <v>61</v>
      </c>
      <c r="AY143" s="2">
        <v>1</v>
      </c>
      <c r="AZ143" s="10">
        <v>1980</v>
      </c>
      <c r="BA143" s="2">
        <f t="shared" si="63"/>
        <v>45</v>
      </c>
      <c r="BB143" s="9" t="str">
        <f t="shared" si="64"/>
        <v>5</v>
      </c>
      <c r="BC143" s="37">
        <v>1</v>
      </c>
      <c r="BD143" s="7">
        <v>5</v>
      </c>
      <c r="BE143" s="62" t="s">
        <v>992</v>
      </c>
      <c r="BF143" s="106"/>
      <c r="BG143" s="62" t="s">
        <v>993</v>
      </c>
      <c r="BH143" s="2">
        <v>575</v>
      </c>
      <c r="BI143" s="10"/>
      <c r="BJ143" s="10" t="s">
        <v>919</v>
      </c>
      <c r="BK143" s="10"/>
      <c r="BL143" s="10"/>
      <c r="BM143" s="10"/>
    </row>
    <row r="144" spans="1:66" ht="80" x14ac:dyDescent="0.2">
      <c r="A144" s="10">
        <v>20058069</v>
      </c>
      <c r="B144" s="10">
        <v>200713</v>
      </c>
      <c r="C144" s="10">
        <v>6500</v>
      </c>
      <c r="D144" s="10" t="s">
        <v>73</v>
      </c>
      <c r="E144" s="12" t="s">
        <v>495</v>
      </c>
      <c r="F144" s="101" t="s">
        <v>496</v>
      </c>
      <c r="G144" s="10" t="s">
        <v>125</v>
      </c>
      <c r="H144" s="10" t="s">
        <v>126</v>
      </c>
      <c r="I144" s="10" t="s">
        <v>81</v>
      </c>
      <c r="J144" s="10" t="s">
        <v>82</v>
      </c>
      <c r="K144" s="10" t="s">
        <v>66</v>
      </c>
      <c r="L144" s="10" t="s">
        <v>76</v>
      </c>
      <c r="M144" s="10" t="s">
        <v>60</v>
      </c>
      <c r="N144" s="10" t="s">
        <v>61</v>
      </c>
      <c r="O144" s="10" t="s">
        <v>83</v>
      </c>
      <c r="P144" s="11">
        <v>1.7</v>
      </c>
      <c r="Q144" s="10">
        <v>54</v>
      </c>
      <c r="R144" s="10">
        <v>33</v>
      </c>
      <c r="S144" s="10">
        <v>11.5</v>
      </c>
      <c r="T144" s="2">
        <f t="shared" si="60"/>
        <v>100.2</v>
      </c>
      <c r="U144" s="2">
        <v>2591</v>
      </c>
      <c r="V144" s="2">
        <v>10857</v>
      </c>
      <c r="W144" s="2" t="str">
        <f t="shared" si="52"/>
        <v>5</v>
      </c>
      <c r="X144" s="2" t="str">
        <f t="shared" si="53"/>
        <v>5</v>
      </c>
      <c r="Y144" s="2" t="str">
        <f t="shared" si="54"/>
        <v>2</v>
      </c>
      <c r="Z144" s="3" t="str">
        <f t="shared" si="55"/>
        <v>1</v>
      </c>
      <c r="AA144" s="10">
        <v>0</v>
      </c>
      <c r="AB144" s="3">
        <f t="shared" si="65"/>
        <v>3.25</v>
      </c>
      <c r="AC144" s="10">
        <v>56</v>
      </c>
      <c r="AD144" s="10">
        <v>8</v>
      </c>
      <c r="AE144" s="10">
        <v>0.02</v>
      </c>
      <c r="AF144" s="10">
        <v>36.200000000000003</v>
      </c>
      <c r="AG144" s="2">
        <f t="shared" si="56"/>
        <v>1810</v>
      </c>
      <c r="AH144" s="2" t="str">
        <f t="shared" si="57"/>
        <v>1</v>
      </c>
      <c r="AI144" s="3" t="str">
        <f t="shared" si="58"/>
        <v>1</v>
      </c>
      <c r="AJ144" s="3">
        <f t="shared" si="59"/>
        <v>1</v>
      </c>
      <c r="AK144" s="2">
        <v>48</v>
      </c>
      <c r="AL144" s="2" t="str">
        <f t="shared" si="61"/>
        <v>1</v>
      </c>
      <c r="AM144" s="10">
        <v>108.8</v>
      </c>
      <c r="AN144" s="10">
        <v>79.423999999999992</v>
      </c>
      <c r="AO144" s="10">
        <v>271.89999999999998</v>
      </c>
      <c r="AP144" s="10">
        <v>198.48699999999997</v>
      </c>
      <c r="AQ144" s="10" t="s">
        <v>61</v>
      </c>
      <c r="AR144" s="10" t="s">
        <v>61</v>
      </c>
      <c r="AS144" s="10">
        <v>73</v>
      </c>
      <c r="AT144" s="2" t="str">
        <f t="shared" si="62"/>
        <v>3</v>
      </c>
      <c r="AU144" s="10">
        <v>1</v>
      </c>
      <c r="AV144" s="10">
        <v>1</v>
      </c>
      <c r="AW144" s="10">
        <v>1</v>
      </c>
      <c r="AX144" s="10" t="s">
        <v>61</v>
      </c>
      <c r="AY144" s="2">
        <v>1</v>
      </c>
      <c r="AZ144" s="10">
        <v>2009</v>
      </c>
      <c r="BA144" s="2">
        <f t="shared" si="63"/>
        <v>16</v>
      </c>
      <c r="BB144" s="9" t="str">
        <f t="shared" si="64"/>
        <v>2</v>
      </c>
      <c r="BC144" s="37">
        <v>1</v>
      </c>
      <c r="BD144" s="7">
        <f t="shared" ref="BD144:BD150" si="66">(AB144*0.2)+(AJ144*0.23)+(AL144*0.05)+(AT144*0.1)+(AY144*0.18)+(BB144*0.05)+(BC144*0.19)</f>
        <v>1.7</v>
      </c>
      <c r="BE144" s="62" t="s">
        <v>827</v>
      </c>
      <c r="BF144" s="106"/>
      <c r="BG144" s="62"/>
      <c r="BH144" s="2">
        <v>10390</v>
      </c>
      <c r="BI144" s="10"/>
      <c r="BJ144" s="10"/>
      <c r="BK144" s="10"/>
      <c r="BL144" s="10"/>
      <c r="BM144" s="10"/>
      <c r="BN144" s="61" t="s">
        <v>997</v>
      </c>
    </row>
    <row r="145" spans="1:66" ht="96" x14ac:dyDescent="0.2">
      <c r="A145" s="10">
        <v>20058084</v>
      </c>
      <c r="B145" s="10">
        <v>200106</v>
      </c>
      <c r="C145" s="101">
        <v>6500</v>
      </c>
      <c r="D145" s="101" t="s">
        <v>73</v>
      </c>
      <c r="E145" s="101" t="s">
        <v>498</v>
      </c>
      <c r="F145" s="101" t="s">
        <v>499</v>
      </c>
      <c r="G145" s="101" t="s">
        <v>125</v>
      </c>
      <c r="H145" s="101" t="s">
        <v>126</v>
      </c>
      <c r="I145" s="101" t="s">
        <v>81</v>
      </c>
      <c r="J145" s="101" t="s">
        <v>143</v>
      </c>
      <c r="K145" s="101" t="s">
        <v>66</v>
      </c>
      <c r="L145" s="101" t="s">
        <v>76</v>
      </c>
      <c r="M145" s="101" t="s">
        <v>60</v>
      </c>
      <c r="N145" s="101" t="s">
        <v>61</v>
      </c>
      <c r="O145" s="101" t="s">
        <v>83</v>
      </c>
      <c r="P145" s="104">
        <v>5.8</v>
      </c>
      <c r="Q145" s="101">
        <v>9.5</v>
      </c>
      <c r="R145" s="101">
        <v>14</v>
      </c>
      <c r="S145" s="101">
        <v>1.7</v>
      </c>
      <c r="T145" s="9">
        <f t="shared" si="60"/>
        <v>31</v>
      </c>
      <c r="U145" s="101">
        <v>900</v>
      </c>
      <c r="V145" s="101">
        <v>5734</v>
      </c>
      <c r="W145" s="9" t="str">
        <f t="shared" si="52"/>
        <v>5</v>
      </c>
      <c r="X145" s="9" t="str">
        <f t="shared" si="53"/>
        <v>4</v>
      </c>
      <c r="Y145" s="9" t="str">
        <f t="shared" si="54"/>
        <v>1</v>
      </c>
      <c r="Z145" s="37" t="str">
        <f t="shared" si="55"/>
        <v>1</v>
      </c>
      <c r="AA145" s="101">
        <v>0.2</v>
      </c>
      <c r="AB145" s="37">
        <f t="shared" si="65"/>
        <v>2.75</v>
      </c>
      <c r="AC145" s="101">
        <v>17</v>
      </c>
      <c r="AD145" s="101">
        <v>32</v>
      </c>
      <c r="AE145" s="101">
        <v>0.02</v>
      </c>
      <c r="AF145" s="101">
        <v>43</v>
      </c>
      <c r="AG145" s="9">
        <f t="shared" si="56"/>
        <v>2150</v>
      </c>
      <c r="AH145" s="9" t="str">
        <f t="shared" si="57"/>
        <v>4</v>
      </c>
      <c r="AI145" s="37" t="str">
        <f t="shared" si="58"/>
        <v>1</v>
      </c>
      <c r="AJ145" s="37">
        <f t="shared" si="59"/>
        <v>3.4000000000000004</v>
      </c>
      <c r="AK145" s="9">
        <v>351</v>
      </c>
      <c r="AL145" s="9" t="str">
        <f t="shared" si="61"/>
        <v>1</v>
      </c>
      <c r="AM145" s="101">
        <v>108.7</v>
      </c>
      <c r="AN145" s="101">
        <v>75.003</v>
      </c>
      <c r="AO145" s="101">
        <v>271.89999999999998</v>
      </c>
      <c r="AP145" s="101">
        <v>187.61099999999996</v>
      </c>
      <c r="AQ145" s="101" t="s">
        <v>61</v>
      </c>
      <c r="AR145" s="101" t="s">
        <v>61</v>
      </c>
      <c r="AS145" s="101">
        <v>72</v>
      </c>
      <c r="AT145" s="9" t="str">
        <f t="shared" si="62"/>
        <v>3</v>
      </c>
      <c r="AU145" s="55">
        <v>1</v>
      </c>
      <c r="AV145" s="55">
        <v>1</v>
      </c>
      <c r="AW145" s="55">
        <v>1</v>
      </c>
      <c r="AX145" s="10" t="s">
        <v>61</v>
      </c>
      <c r="AY145" s="2">
        <v>4</v>
      </c>
      <c r="AZ145" s="55">
        <v>1999</v>
      </c>
      <c r="BA145" s="57">
        <f t="shared" si="63"/>
        <v>26</v>
      </c>
      <c r="BB145" s="9" t="str">
        <f t="shared" si="64"/>
        <v>4</v>
      </c>
      <c r="BC145" s="37">
        <v>1</v>
      </c>
      <c r="BD145" s="7">
        <f t="shared" si="66"/>
        <v>2.7920000000000003</v>
      </c>
      <c r="BE145" s="62" t="s">
        <v>988</v>
      </c>
      <c r="BF145" s="106" t="s">
        <v>799</v>
      </c>
      <c r="BG145" s="62" t="s">
        <v>989</v>
      </c>
      <c r="BH145" s="2">
        <v>7431</v>
      </c>
      <c r="BI145" s="10" t="s">
        <v>967</v>
      </c>
      <c r="BJ145" s="10"/>
      <c r="BK145" s="10" t="s">
        <v>958</v>
      </c>
      <c r="BL145" s="10" t="s">
        <v>936</v>
      </c>
      <c r="BM145" s="10"/>
      <c r="BN145" s="61" t="s">
        <v>997</v>
      </c>
    </row>
    <row r="146" spans="1:66" ht="112" x14ac:dyDescent="0.2">
      <c r="A146" s="10">
        <v>20058084</v>
      </c>
      <c r="B146" s="10">
        <v>224109</v>
      </c>
      <c r="C146" s="101">
        <v>3000</v>
      </c>
      <c r="D146" s="101" t="s">
        <v>73</v>
      </c>
      <c r="E146" s="101" t="s">
        <v>498</v>
      </c>
      <c r="F146" s="101" t="s">
        <v>500</v>
      </c>
      <c r="G146" s="101" t="s">
        <v>125</v>
      </c>
      <c r="H146" s="101" t="s">
        <v>126</v>
      </c>
      <c r="I146" s="101" t="s">
        <v>65</v>
      </c>
      <c r="J146" s="101" t="s">
        <v>61</v>
      </c>
      <c r="K146" s="101" t="s">
        <v>66</v>
      </c>
      <c r="L146" s="101" t="s">
        <v>76</v>
      </c>
      <c r="M146" s="101" t="s">
        <v>60</v>
      </c>
      <c r="N146" s="101" t="s">
        <v>61</v>
      </c>
      <c r="O146" s="101" t="s">
        <v>130</v>
      </c>
      <c r="P146" s="104">
        <v>9.5</v>
      </c>
      <c r="Q146" s="101">
        <v>15.2</v>
      </c>
      <c r="R146" s="101">
        <v>3.9</v>
      </c>
      <c r="S146" s="101">
        <v>2.1</v>
      </c>
      <c r="T146" s="9">
        <f t="shared" si="60"/>
        <v>30.7</v>
      </c>
      <c r="U146" s="101">
        <v>1135</v>
      </c>
      <c r="V146" s="101">
        <v>7795</v>
      </c>
      <c r="W146" s="9" t="str">
        <f t="shared" si="52"/>
        <v>5</v>
      </c>
      <c r="X146" s="9" t="str">
        <f t="shared" si="53"/>
        <v>5</v>
      </c>
      <c r="Y146" s="9" t="str">
        <f t="shared" si="54"/>
        <v>1</v>
      </c>
      <c r="Z146" s="37" t="str">
        <f t="shared" si="55"/>
        <v>1</v>
      </c>
      <c r="AA146" s="101">
        <v>0</v>
      </c>
      <c r="AB146" s="37">
        <f t="shared" si="65"/>
        <v>3</v>
      </c>
      <c r="AC146" s="101">
        <v>20</v>
      </c>
      <c r="AD146" s="101">
        <v>19</v>
      </c>
      <c r="AE146" s="101">
        <v>0.02</v>
      </c>
      <c r="AF146" s="101">
        <v>39.799999999999997</v>
      </c>
      <c r="AG146" s="9">
        <f t="shared" si="56"/>
        <v>1989.9999999999998</v>
      </c>
      <c r="AH146" s="9" t="str">
        <f t="shared" si="57"/>
        <v>4</v>
      </c>
      <c r="AI146" s="37" t="str">
        <f t="shared" si="58"/>
        <v>1</v>
      </c>
      <c r="AJ146" s="37">
        <f t="shared" si="59"/>
        <v>3.4000000000000004</v>
      </c>
      <c r="AK146" s="9">
        <v>14</v>
      </c>
      <c r="AL146" s="9" t="str">
        <f t="shared" si="61"/>
        <v>1</v>
      </c>
      <c r="AM146" s="101">
        <v>50.2</v>
      </c>
      <c r="AN146" s="101">
        <v>32.630000000000003</v>
      </c>
      <c r="AO146" s="101">
        <v>125.51</v>
      </c>
      <c r="AP146" s="101">
        <v>81.581500000000005</v>
      </c>
      <c r="AQ146" s="101" t="s">
        <v>61</v>
      </c>
      <c r="AR146" s="101" t="s">
        <v>61</v>
      </c>
      <c r="AS146" s="101">
        <v>65</v>
      </c>
      <c r="AT146" s="9" t="str">
        <f t="shared" si="62"/>
        <v>2</v>
      </c>
      <c r="AU146" s="55">
        <v>1</v>
      </c>
      <c r="AV146" s="55">
        <v>1</v>
      </c>
      <c r="AW146" s="55">
        <v>1</v>
      </c>
      <c r="AX146" s="10" t="s">
        <v>61</v>
      </c>
      <c r="AY146" s="2">
        <v>4</v>
      </c>
      <c r="AZ146" s="55">
        <v>1998</v>
      </c>
      <c r="BA146" s="57">
        <f t="shared" si="63"/>
        <v>27</v>
      </c>
      <c r="BB146" s="9" t="str">
        <f t="shared" si="64"/>
        <v>4</v>
      </c>
      <c r="BC146" s="37">
        <v>1</v>
      </c>
      <c r="BD146" s="7">
        <f t="shared" si="66"/>
        <v>2.7420000000000004</v>
      </c>
      <c r="BE146" s="62" t="s">
        <v>986</v>
      </c>
      <c r="BF146" s="106" t="s">
        <v>800</v>
      </c>
      <c r="BG146" s="62" t="s">
        <v>987</v>
      </c>
      <c r="BH146" s="2">
        <v>2646</v>
      </c>
      <c r="BI146" s="10"/>
      <c r="BJ146" s="10"/>
      <c r="BK146" s="10"/>
      <c r="BL146" s="10"/>
      <c r="BM146" s="10"/>
      <c r="BN146" s="61" t="s">
        <v>61</v>
      </c>
    </row>
    <row r="147" spans="1:66" ht="96" x14ac:dyDescent="0.2">
      <c r="A147" s="10">
        <v>20058283</v>
      </c>
      <c r="B147" s="10" t="s">
        <v>503</v>
      </c>
      <c r="C147" s="10">
        <v>45000</v>
      </c>
      <c r="D147" s="10" t="s">
        <v>134</v>
      </c>
      <c r="E147" s="10" t="s">
        <v>501</v>
      </c>
      <c r="F147" s="10" t="s">
        <v>504</v>
      </c>
      <c r="G147" s="10" t="s">
        <v>125</v>
      </c>
      <c r="H147" s="10" t="s">
        <v>126</v>
      </c>
      <c r="I147" s="10" t="s">
        <v>81</v>
      </c>
      <c r="J147" s="10" t="s">
        <v>143</v>
      </c>
      <c r="K147" s="10" t="s">
        <v>48</v>
      </c>
      <c r="L147" s="10">
        <v>110</v>
      </c>
      <c r="M147" s="10" t="s">
        <v>137</v>
      </c>
      <c r="N147" s="10" t="s">
        <v>60</v>
      </c>
      <c r="O147" s="10" t="s">
        <v>311</v>
      </c>
      <c r="P147" s="11">
        <v>18.899999999999999</v>
      </c>
      <c r="Q147" s="10">
        <v>81</v>
      </c>
      <c r="R147" s="10">
        <v>6.8</v>
      </c>
      <c r="S147" s="10">
        <v>34</v>
      </c>
      <c r="T147" s="2">
        <f t="shared" si="60"/>
        <v>140.69999999999999</v>
      </c>
      <c r="U147" s="10">
        <v>458</v>
      </c>
      <c r="V147" s="10">
        <v>1833</v>
      </c>
      <c r="W147" s="2" t="str">
        <f t="shared" si="52"/>
        <v>3</v>
      </c>
      <c r="X147" s="2" t="str">
        <f t="shared" si="53"/>
        <v>2</v>
      </c>
      <c r="Y147" s="2" t="str">
        <f t="shared" si="54"/>
        <v>2</v>
      </c>
      <c r="Z147" s="3" t="str">
        <f t="shared" si="55"/>
        <v>1</v>
      </c>
      <c r="AA147" s="10">
        <v>0</v>
      </c>
      <c r="AB147" s="3">
        <f t="shared" si="65"/>
        <v>2</v>
      </c>
      <c r="AC147" s="10">
        <v>17</v>
      </c>
      <c r="AD147" s="10">
        <v>38</v>
      </c>
      <c r="AE147" s="10">
        <v>0.02</v>
      </c>
      <c r="AF147" s="10">
        <v>33.299999999999997</v>
      </c>
      <c r="AG147" s="2">
        <f t="shared" si="56"/>
        <v>1664.9999999999998</v>
      </c>
      <c r="AH147" s="2" t="str">
        <f t="shared" si="57"/>
        <v>4</v>
      </c>
      <c r="AI147" s="3" t="str">
        <f t="shared" si="58"/>
        <v>1</v>
      </c>
      <c r="AJ147" s="3">
        <f t="shared" si="59"/>
        <v>3.4000000000000004</v>
      </c>
      <c r="AK147" s="2">
        <v>172</v>
      </c>
      <c r="AL147" s="2" t="str">
        <f t="shared" si="61"/>
        <v>1</v>
      </c>
      <c r="AM147" s="10">
        <v>235.2</v>
      </c>
      <c r="AN147" s="10">
        <v>171.696</v>
      </c>
      <c r="AO147" s="10">
        <v>502</v>
      </c>
      <c r="AP147" s="10">
        <v>446.78000000000003</v>
      </c>
      <c r="AQ147" s="10">
        <v>627.6</v>
      </c>
      <c r="AR147" s="10">
        <v>395.38800000000003</v>
      </c>
      <c r="AS147" s="10">
        <v>89</v>
      </c>
      <c r="AT147" s="2" t="str">
        <f t="shared" si="62"/>
        <v>4</v>
      </c>
      <c r="AU147" s="10">
        <v>5</v>
      </c>
      <c r="AV147" s="10">
        <v>1</v>
      </c>
      <c r="AW147" s="10">
        <v>1</v>
      </c>
      <c r="AX147" s="10">
        <v>1</v>
      </c>
      <c r="AY147" s="2">
        <v>1</v>
      </c>
      <c r="AZ147" s="10">
        <v>1993</v>
      </c>
      <c r="BA147" s="2">
        <f t="shared" si="63"/>
        <v>32</v>
      </c>
      <c r="BB147" s="2" t="str">
        <f t="shared" si="64"/>
        <v>5</v>
      </c>
      <c r="BC147" s="3">
        <v>1</v>
      </c>
      <c r="BD147" s="7">
        <f t="shared" si="66"/>
        <v>2.2520000000000002</v>
      </c>
      <c r="BE147" s="62" t="s">
        <v>836</v>
      </c>
      <c r="BF147" s="62"/>
      <c r="BG147" s="8" t="s">
        <v>882</v>
      </c>
      <c r="BH147" s="2">
        <v>30283</v>
      </c>
      <c r="BI147" s="10"/>
      <c r="BJ147" s="10"/>
      <c r="BK147" s="107">
        <v>46040</v>
      </c>
      <c r="BL147" s="10" t="s">
        <v>934</v>
      </c>
      <c r="BM147" s="10"/>
      <c r="BN147" s="61" t="s">
        <v>998</v>
      </c>
    </row>
    <row r="148" spans="1:66" ht="80" x14ac:dyDescent="0.2">
      <c r="A148" s="10">
        <v>20058283</v>
      </c>
      <c r="B148" s="10">
        <v>201259</v>
      </c>
      <c r="C148" s="10">
        <v>45000</v>
      </c>
      <c r="D148" s="10" t="s">
        <v>134</v>
      </c>
      <c r="E148" s="10" t="s">
        <v>501</v>
      </c>
      <c r="F148" s="10" t="s">
        <v>502</v>
      </c>
      <c r="G148" s="10" t="s">
        <v>125</v>
      </c>
      <c r="H148" s="10" t="s">
        <v>126</v>
      </c>
      <c r="I148" s="10" t="s">
        <v>81</v>
      </c>
      <c r="J148" s="10" t="s">
        <v>82</v>
      </c>
      <c r="K148" s="10" t="s">
        <v>48</v>
      </c>
      <c r="L148" s="10">
        <v>110</v>
      </c>
      <c r="M148" s="10" t="s">
        <v>137</v>
      </c>
      <c r="N148" s="10" t="s">
        <v>60</v>
      </c>
      <c r="O148" s="10" t="s">
        <v>311</v>
      </c>
      <c r="P148" s="11">
        <v>5.5</v>
      </c>
      <c r="Q148" s="10">
        <v>24</v>
      </c>
      <c r="R148" s="10">
        <v>4.0999999999999996</v>
      </c>
      <c r="S148" s="10">
        <v>3</v>
      </c>
      <c r="T148" s="2">
        <f t="shared" si="60"/>
        <v>36.6</v>
      </c>
      <c r="U148" s="10">
        <v>1525</v>
      </c>
      <c r="V148" s="10">
        <v>4386</v>
      </c>
      <c r="W148" s="2" t="str">
        <f t="shared" si="52"/>
        <v>5</v>
      </c>
      <c r="X148" s="2" t="str">
        <f t="shared" si="53"/>
        <v>3</v>
      </c>
      <c r="Y148" s="2" t="str">
        <f t="shared" si="54"/>
        <v>1</v>
      </c>
      <c r="Z148" s="3" t="str">
        <f t="shared" si="55"/>
        <v>1</v>
      </c>
      <c r="AA148" s="10">
        <v>0</v>
      </c>
      <c r="AB148" s="3">
        <f t="shared" si="65"/>
        <v>2.5</v>
      </c>
      <c r="AC148" s="10">
        <v>60</v>
      </c>
      <c r="AD148" s="10">
        <v>4</v>
      </c>
      <c r="AE148" s="10">
        <v>0.02</v>
      </c>
      <c r="AF148" s="10">
        <v>39.299999999999997</v>
      </c>
      <c r="AG148" s="2">
        <f t="shared" si="56"/>
        <v>1964.9999999999998</v>
      </c>
      <c r="AH148" s="2" t="str">
        <f t="shared" si="57"/>
        <v>1</v>
      </c>
      <c r="AI148" s="3" t="str">
        <f t="shared" si="58"/>
        <v>1</v>
      </c>
      <c r="AJ148" s="3">
        <f t="shared" si="59"/>
        <v>1</v>
      </c>
      <c r="AK148" s="2">
        <v>14</v>
      </c>
      <c r="AL148" s="2" t="str">
        <f t="shared" si="61"/>
        <v>1</v>
      </c>
      <c r="AM148" s="10">
        <v>236.2</v>
      </c>
      <c r="AN148" s="10">
        <v>172.42599999999999</v>
      </c>
      <c r="AO148" s="10">
        <v>502</v>
      </c>
      <c r="AP148" s="10">
        <v>391.56</v>
      </c>
      <c r="AQ148" s="10">
        <v>627.6</v>
      </c>
      <c r="AR148" s="10">
        <v>345.18000000000006</v>
      </c>
      <c r="AS148" s="10">
        <v>78</v>
      </c>
      <c r="AT148" s="2" t="str">
        <f t="shared" si="62"/>
        <v>4</v>
      </c>
      <c r="AU148" s="10">
        <v>1</v>
      </c>
      <c r="AV148" s="10">
        <v>1</v>
      </c>
      <c r="AW148" s="10">
        <v>1</v>
      </c>
      <c r="AX148" s="10">
        <v>1</v>
      </c>
      <c r="AY148" s="2">
        <v>1</v>
      </c>
      <c r="AZ148" s="10">
        <v>2014</v>
      </c>
      <c r="BA148" s="2">
        <f t="shared" si="63"/>
        <v>11</v>
      </c>
      <c r="BB148" s="2" t="str">
        <f t="shared" si="64"/>
        <v>2</v>
      </c>
      <c r="BC148" s="3">
        <v>1</v>
      </c>
      <c r="BD148" s="7">
        <f t="shared" si="66"/>
        <v>1.6500000000000001</v>
      </c>
      <c r="BE148" s="62" t="s">
        <v>827</v>
      </c>
      <c r="BF148" s="62"/>
      <c r="BG148" s="62"/>
      <c r="BH148" s="2">
        <v>11515</v>
      </c>
      <c r="BI148" s="10"/>
      <c r="BJ148" s="10"/>
      <c r="BK148" s="107">
        <v>46040</v>
      </c>
      <c r="BL148" s="10" t="s">
        <v>934</v>
      </c>
      <c r="BM148" s="10"/>
    </row>
    <row r="149" spans="1:66" ht="96" x14ac:dyDescent="0.2">
      <c r="A149" s="10">
        <v>20700343</v>
      </c>
      <c r="B149" s="10">
        <v>288861</v>
      </c>
      <c r="C149" s="10">
        <v>3000</v>
      </c>
      <c r="D149" s="10" t="s">
        <v>73</v>
      </c>
      <c r="E149" s="10" t="s">
        <v>507</v>
      </c>
      <c r="F149" s="10" t="s">
        <v>509</v>
      </c>
      <c r="G149" s="10" t="s">
        <v>58</v>
      </c>
      <c r="H149" s="10" t="s">
        <v>59</v>
      </c>
      <c r="I149" s="10" t="s">
        <v>65</v>
      </c>
      <c r="J149" s="10" t="s">
        <v>61</v>
      </c>
      <c r="K149" s="10" t="s">
        <v>66</v>
      </c>
      <c r="L149" s="10" t="s">
        <v>76</v>
      </c>
      <c r="M149" s="10" t="s">
        <v>60</v>
      </c>
      <c r="N149" s="10" t="s">
        <v>61</v>
      </c>
      <c r="O149" s="10" t="s">
        <v>130</v>
      </c>
      <c r="P149" s="11">
        <v>16</v>
      </c>
      <c r="Q149" s="10">
        <v>5.5</v>
      </c>
      <c r="R149" s="10">
        <v>62</v>
      </c>
      <c r="S149" s="10">
        <v>1.6</v>
      </c>
      <c r="T149" s="2">
        <f t="shared" si="60"/>
        <v>85.1</v>
      </c>
      <c r="U149" s="10">
        <v>776</v>
      </c>
      <c r="V149" s="10">
        <v>5795</v>
      </c>
      <c r="W149" s="2" t="str">
        <f t="shared" si="52"/>
        <v>5</v>
      </c>
      <c r="X149" s="2" t="str">
        <f t="shared" si="53"/>
        <v>4</v>
      </c>
      <c r="Y149" s="2" t="str">
        <f t="shared" si="54"/>
        <v>1</v>
      </c>
      <c r="Z149" s="3" t="str">
        <f t="shared" si="55"/>
        <v>1</v>
      </c>
      <c r="AA149" s="10">
        <v>0</v>
      </c>
      <c r="AB149" s="3">
        <f t="shared" si="65"/>
        <v>2.75</v>
      </c>
      <c r="AC149" s="10">
        <v>26</v>
      </c>
      <c r="AD149" s="10">
        <v>24</v>
      </c>
      <c r="AE149" s="10">
        <v>0.03</v>
      </c>
      <c r="AF149" s="10">
        <v>32.6</v>
      </c>
      <c r="AG149" s="2">
        <f t="shared" si="56"/>
        <v>1086.6666666666667</v>
      </c>
      <c r="AH149" s="2" t="str">
        <f t="shared" si="57"/>
        <v>2</v>
      </c>
      <c r="AI149" s="3" t="str">
        <f t="shared" si="58"/>
        <v>3</v>
      </c>
      <c r="AJ149" s="3">
        <f t="shared" si="59"/>
        <v>2.2000000000000002</v>
      </c>
      <c r="AK149" s="2">
        <v>251</v>
      </c>
      <c r="AL149" s="2" t="str">
        <f t="shared" si="61"/>
        <v>1</v>
      </c>
      <c r="AM149" s="10">
        <v>50.2</v>
      </c>
      <c r="AN149" s="10">
        <v>44.678000000000004</v>
      </c>
      <c r="AO149" s="10">
        <v>125.51</v>
      </c>
      <c r="AP149" s="10">
        <v>111.7039</v>
      </c>
      <c r="AQ149" s="10" t="s">
        <v>61</v>
      </c>
      <c r="AR149" s="10" t="s">
        <v>61</v>
      </c>
      <c r="AS149" s="10">
        <v>89</v>
      </c>
      <c r="AT149" s="2" t="str">
        <f t="shared" si="62"/>
        <v>4</v>
      </c>
      <c r="AU149" s="10">
        <v>1</v>
      </c>
      <c r="AV149" s="10">
        <v>1</v>
      </c>
      <c r="AW149" s="10">
        <v>1</v>
      </c>
      <c r="AX149" s="10" t="s">
        <v>61</v>
      </c>
      <c r="AY149" s="2">
        <v>1</v>
      </c>
      <c r="AZ149" s="10">
        <v>2008</v>
      </c>
      <c r="BA149" s="2">
        <f t="shared" si="63"/>
        <v>17</v>
      </c>
      <c r="BB149" s="2" t="str">
        <f t="shared" si="64"/>
        <v>2</v>
      </c>
      <c r="BC149" s="3">
        <v>1</v>
      </c>
      <c r="BD149" s="7">
        <f t="shared" si="66"/>
        <v>1.9760000000000002</v>
      </c>
      <c r="BE149" s="62" t="s">
        <v>839</v>
      </c>
      <c r="BF149" s="62"/>
      <c r="BG149" s="8" t="s">
        <v>868</v>
      </c>
      <c r="BH149" s="2">
        <v>4463</v>
      </c>
      <c r="BI149" s="10"/>
      <c r="BJ149" s="10"/>
      <c r="BK149" s="10"/>
      <c r="BL149" s="10"/>
      <c r="BM149" s="10"/>
      <c r="BN149" s="61" t="s">
        <v>61</v>
      </c>
    </row>
    <row r="150" spans="1:66" ht="80" x14ac:dyDescent="0.2">
      <c r="A150" s="10">
        <v>20700343</v>
      </c>
      <c r="B150" s="10">
        <v>1058995730</v>
      </c>
      <c r="C150" s="10">
        <v>3000</v>
      </c>
      <c r="D150" s="10" t="s">
        <v>73</v>
      </c>
      <c r="E150" s="10" t="s">
        <v>507</v>
      </c>
      <c r="F150" s="10" t="s">
        <v>508</v>
      </c>
      <c r="G150" s="10" t="s">
        <v>58</v>
      </c>
      <c r="H150" s="10" t="s">
        <v>59</v>
      </c>
      <c r="I150" s="10" t="s">
        <v>65</v>
      </c>
      <c r="J150" s="10" t="s">
        <v>61</v>
      </c>
      <c r="K150" s="10" t="s">
        <v>66</v>
      </c>
      <c r="L150" s="10" t="s">
        <v>76</v>
      </c>
      <c r="M150" s="10" t="s">
        <v>60</v>
      </c>
      <c r="N150" s="10" t="s">
        <v>61</v>
      </c>
      <c r="O150" s="10" t="s">
        <v>130</v>
      </c>
      <c r="P150" s="11">
        <v>4.5</v>
      </c>
      <c r="Q150" s="10">
        <v>34</v>
      </c>
      <c r="R150" s="10">
        <v>5.6</v>
      </c>
      <c r="S150" s="10">
        <v>7.6</v>
      </c>
      <c r="T150" s="2">
        <f t="shared" si="60"/>
        <v>51.7</v>
      </c>
      <c r="U150" s="10">
        <v>978</v>
      </c>
      <c r="V150" s="10">
        <v>4497</v>
      </c>
      <c r="W150" s="2" t="str">
        <f t="shared" si="52"/>
        <v>5</v>
      </c>
      <c r="X150" s="2" t="str">
        <f t="shared" si="53"/>
        <v>3</v>
      </c>
      <c r="Y150" s="2" t="str">
        <f t="shared" si="54"/>
        <v>1</v>
      </c>
      <c r="Z150" s="3" t="str">
        <f t="shared" si="55"/>
        <v>1</v>
      </c>
      <c r="AA150" s="10">
        <v>0</v>
      </c>
      <c r="AB150" s="3">
        <f t="shared" si="65"/>
        <v>2.5</v>
      </c>
      <c r="AC150" s="10">
        <v>11.3</v>
      </c>
      <c r="AD150" s="10">
        <v>51</v>
      </c>
      <c r="AE150" s="10">
        <v>0.02</v>
      </c>
      <c r="AF150" s="10">
        <v>42.5</v>
      </c>
      <c r="AG150" s="2">
        <f t="shared" si="56"/>
        <v>2125</v>
      </c>
      <c r="AH150" s="2" t="str">
        <f t="shared" si="57"/>
        <v>5</v>
      </c>
      <c r="AI150" s="3" t="str">
        <f t="shared" si="58"/>
        <v>1</v>
      </c>
      <c r="AJ150" s="3">
        <f t="shared" si="59"/>
        <v>4.2</v>
      </c>
      <c r="AK150" s="2">
        <v>1</v>
      </c>
      <c r="AL150" s="2" t="str">
        <f t="shared" si="61"/>
        <v>1</v>
      </c>
      <c r="AM150" s="10">
        <v>50.2</v>
      </c>
      <c r="AN150" s="10">
        <v>44.678000000000004</v>
      </c>
      <c r="AO150" s="10">
        <v>125.51</v>
      </c>
      <c r="AP150" s="10">
        <v>111.7039</v>
      </c>
      <c r="AQ150" s="10" t="s">
        <v>61</v>
      </c>
      <c r="AR150" s="10" t="s">
        <v>61</v>
      </c>
      <c r="AS150" s="10">
        <v>89</v>
      </c>
      <c r="AT150" s="2" t="str">
        <f t="shared" si="62"/>
        <v>4</v>
      </c>
      <c r="AU150" s="10">
        <v>1</v>
      </c>
      <c r="AV150" s="10">
        <v>1</v>
      </c>
      <c r="AW150" s="10">
        <v>1</v>
      </c>
      <c r="AX150" s="10" t="s">
        <v>61</v>
      </c>
      <c r="AY150" s="2">
        <v>1</v>
      </c>
      <c r="AZ150" s="10">
        <v>2021</v>
      </c>
      <c r="BA150" s="2">
        <f t="shared" si="63"/>
        <v>4</v>
      </c>
      <c r="BB150" s="2" t="str">
        <f t="shared" si="64"/>
        <v>1</v>
      </c>
      <c r="BC150" s="3">
        <v>1</v>
      </c>
      <c r="BD150" s="7">
        <f t="shared" si="66"/>
        <v>2.3360000000000003</v>
      </c>
      <c r="BE150" s="62" t="s">
        <v>827</v>
      </c>
      <c r="BF150" s="62"/>
      <c r="BG150" s="62" t="s">
        <v>818</v>
      </c>
      <c r="BH150" s="2">
        <v>1295</v>
      </c>
      <c r="BI150" s="10"/>
      <c r="BJ150" s="10"/>
      <c r="BK150" s="10"/>
      <c r="BL150" s="10"/>
      <c r="BM150" s="10"/>
    </row>
    <row r="151" spans="1:66" ht="32" x14ac:dyDescent="0.2">
      <c r="A151" s="10">
        <v>20058372</v>
      </c>
      <c r="B151" s="10">
        <v>154224</v>
      </c>
      <c r="C151" s="10">
        <v>12500</v>
      </c>
      <c r="D151" s="10" t="s">
        <v>73</v>
      </c>
      <c r="E151" s="101" t="s">
        <v>510</v>
      </c>
      <c r="F151" s="10" t="s">
        <v>511</v>
      </c>
      <c r="G151" s="10" t="s">
        <v>125</v>
      </c>
      <c r="H151" s="10" t="s">
        <v>126</v>
      </c>
      <c r="I151" s="10" t="s">
        <v>81</v>
      </c>
      <c r="J151" s="10" t="s">
        <v>82</v>
      </c>
      <c r="K151" s="10" t="s">
        <v>66</v>
      </c>
      <c r="L151" s="10" t="s">
        <v>76</v>
      </c>
      <c r="M151" s="10" t="s">
        <v>60</v>
      </c>
      <c r="N151" s="10" t="s">
        <v>61</v>
      </c>
      <c r="O151" s="10" t="s">
        <v>164</v>
      </c>
      <c r="P151" s="11">
        <v>2.4</v>
      </c>
      <c r="Q151" s="10">
        <v>2.4</v>
      </c>
      <c r="R151" s="10">
        <v>42</v>
      </c>
      <c r="S151" s="10">
        <v>0.7</v>
      </c>
      <c r="T151" s="2">
        <f t="shared" si="60"/>
        <v>47.5</v>
      </c>
      <c r="U151" s="2">
        <v>264</v>
      </c>
      <c r="V151" s="2">
        <v>3380</v>
      </c>
      <c r="W151" s="2" t="str">
        <f t="shared" si="52"/>
        <v>2</v>
      </c>
      <c r="X151" s="2" t="str">
        <f t="shared" si="53"/>
        <v>3</v>
      </c>
      <c r="Y151" s="2" t="str">
        <f t="shared" si="54"/>
        <v>1</v>
      </c>
      <c r="Z151" s="3" t="str">
        <f t="shared" si="55"/>
        <v>1</v>
      </c>
      <c r="AA151" s="10">
        <v>0</v>
      </c>
      <c r="AB151" s="3">
        <f t="shared" si="65"/>
        <v>1.75</v>
      </c>
      <c r="AC151" s="10">
        <v>30</v>
      </c>
      <c r="AD151" s="10">
        <v>16</v>
      </c>
      <c r="AE151" s="10">
        <v>0.02</v>
      </c>
      <c r="AF151" s="10">
        <v>36.1</v>
      </c>
      <c r="AG151" s="2">
        <f t="shared" si="56"/>
        <v>1805</v>
      </c>
      <c r="AH151" s="2" t="str">
        <f t="shared" si="57"/>
        <v>2</v>
      </c>
      <c r="AI151" s="3" t="str">
        <f t="shared" si="58"/>
        <v>1</v>
      </c>
      <c r="AJ151" s="3">
        <f t="shared" si="59"/>
        <v>1.8</v>
      </c>
      <c r="AK151" s="2">
        <v>5019</v>
      </c>
      <c r="AL151" s="2" t="str">
        <f t="shared" si="61"/>
        <v>4</v>
      </c>
      <c r="AM151" s="10">
        <v>209</v>
      </c>
      <c r="AN151" s="10">
        <v>156.75</v>
      </c>
      <c r="AO151" s="10">
        <v>523</v>
      </c>
      <c r="AP151" s="10">
        <v>392.25</v>
      </c>
      <c r="AQ151" s="10" t="s">
        <v>61</v>
      </c>
      <c r="AR151" s="10" t="s">
        <v>61</v>
      </c>
      <c r="AS151" s="10">
        <v>75</v>
      </c>
      <c r="AT151" s="2" t="str">
        <f t="shared" si="62"/>
        <v>3</v>
      </c>
      <c r="AU151" s="10">
        <v>1</v>
      </c>
      <c r="AV151" s="10">
        <v>1</v>
      </c>
      <c r="AW151" s="10">
        <v>1</v>
      </c>
      <c r="AX151" s="10" t="s">
        <v>61</v>
      </c>
      <c r="AY151" s="2">
        <v>1</v>
      </c>
      <c r="AZ151" s="10">
        <v>1996</v>
      </c>
      <c r="BA151" s="2">
        <f t="shared" si="63"/>
        <v>29</v>
      </c>
      <c r="BB151" s="2" t="str">
        <f t="shared" si="64"/>
        <v>4</v>
      </c>
      <c r="BC151" s="3">
        <v>1</v>
      </c>
      <c r="BD151" s="7">
        <f>(AB151*0.2)+(AJ151*0.23)+(AL151*0.05)+(AT151*0.1)+(AY151*0.18)+(BB151*0.05)+(BC151*0.19)</f>
        <v>1.8339999999999999</v>
      </c>
      <c r="BE151" s="62" t="s">
        <v>837</v>
      </c>
      <c r="BF151" s="62"/>
      <c r="BG151" s="62" t="s">
        <v>817</v>
      </c>
      <c r="BH151" s="2">
        <v>10993</v>
      </c>
      <c r="BI151" s="10"/>
      <c r="BJ151" s="10"/>
      <c r="BK151" s="112">
        <v>46149</v>
      </c>
      <c r="BL151" s="113" t="s">
        <v>957</v>
      </c>
      <c r="BM151" s="10"/>
      <c r="BN151" s="61" t="s">
        <v>997</v>
      </c>
    </row>
    <row r="152" spans="1:66" ht="64" x14ac:dyDescent="0.2">
      <c r="A152" s="10">
        <v>20058372</v>
      </c>
      <c r="B152" s="10" t="s">
        <v>513</v>
      </c>
      <c r="C152" s="10">
        <v>12500</v>
      </c>
      <c r="D152" s="10" t="s">
        <v>73</v>
      </c>
      <c r="E152" s="10" t="s">
        <v>510</v>
      </c>
      <c r="F152" s="10" t="s">
        <v>514</v>
      </c>
      <c r="G152" s="10" t="s">
        <v>125</v>
      </c>
      <c r="H152" s="10" t="s">
        <v>126</v>
      </c>
      <c r="I152" s="10" t="s">
        <v>81</v>
      </c>
      <c r="J152" s="10" t="s">
        <v>82</v>
      </c>
      <c r="K152" s="10" t="s">
        <v>66</v>
      </c>
      <c r="L152" s="10" t="s">
        <v>76</v>
      </c>
      <c r="M152" s="10" t="s">
        <v>60</v>
      </c>
      <c r="N152" s="10" t="s">
        <v>61</v>
      </c>
      <c r="O152" s="10" t="s">
        <v>164</v>
      </c>
      <c r="P152" s="11">
        <v>4.9000000000000004</v>
      </c>
      <c r="Q152" s="10">
        <v>3.2</v>
      </c>
      <c r="R152" s="10">
        <v>1</v>
      </c>
      <c r="S152" s="10">
        <v>0.4</v>
      </c>
      <c r="T152" s="2">
        <f t="shared" si="60"/>
        <v>9.5000000000000018</v>
      </c>
      <c r="U152" s="2">
        <v>584</v>
      </c>
      <c r="V152" s="2">
        <v>1055</v>
      </c>
      <c r="W152" s="2" t="str">
        <f t="shared" si="52"/>
        <v>4</v>
      </c>
      <c r="X152" s="2" t="str">
        <f t="shared" si="53"/>
        <v>1</v>
      </c>
      <c r="Y152" s="2" t="str">
        <f t="shared" si="54"/>
        <v>1</v>
      </c>
      <c r="Z152" s="3" t="str">
        <f t="shared" si="55"/>
        <v>1</v>
      </c>
      <c r="AA152" s="10">
        <v>0</v>
      </c>
      <c r="AB152" s="3">
        <f t="shared" si="65"/>
        <v>1.75</v>
      </c>
      <c r="AC152" s="10">
        <v>58</v>
      </c>
      <c r="AD152" s="10">
        <v>5</v>
      </c>
      <c r="AE152" s="10">
        <v>0.02</v>
      </c>
      <c r="AF152" s="10">
        <v>38.4</v>
      </c>
      <c r="AG152" s="2">
        <f t="shared" si="56"/>
        <v>1920</v>
      </c>
      <c r="AH152" s="2" t="str">
        <f t="shared" si="57"/>
        <v>1</v>
      </c>
      <c r="AI152" s="3" t="str">
        <f t="shared" si="58"/>
        <v>1</v>
      </c>
      <c r="AJ152" s="3">
        <f t="shared" si="59"/>
        <v>1</v>
      </c>
      <c r="AK152" s="2">
        <v>14</v>
      </c>
      <c r="AL152" s="2" t="str">
        <f t="shared" si="61"/>
        <v>1</v>
      </c>
      <c r="AM152" s="10">
        <v>209.2</v>
      </c>
      <c r="AN152" s="10">
        <v>73.219999999999985</v>
      </c>
      <c r="AO152" s="10">
        <v>523</v>
      </c>
      <c r="AP152" s="10">
        <v>183.04999999999998</v>
      </c>
      <c r="AQ152" s="10" t="s">
        <v>61</v>
      </c>
      <c r="AR152" s="10" t="s">
        <v>61</v>
      </c>
      <c r="AS152" s="10">
        <v>35</v>
      </c>
      <c r="AT152" s="2" t="str">
        <f t="shared" si="62"/>
        <v>1</v>
      </c>
      <c r="AU152" s="10">
        <v>1</v>
      </c>
      <c r="AV152" s="10">
        <v>1</v>
      </c>
      <c r="AW152" s="10">
        <v>1</v>
      </c>
      <c r="AX152" s="10" t="s">
        <v>61</v>
      </c>
      <c r="AY152" s="2">
        <v>1</v>
      </c>
      <c r="AZ152" s="10">
        <v>2022</v>
      </c>
      <c r="BA152" s="2">
        <f t="shared" si="63"/>
        <v>3</v>
      </c>
      <c r="BB152" s="2" t="str">
        <f t="shared" si="64"/>
        <v>1</v>
      </c>
      <c r="BC152" s="3">
        <v>1</v>
      </c>
      <c r="BD152" s="7">
        <f>(AB152*0.2)+(AJ152*0.23)+(AL152*0.05)+(AT152*0.1)+(AY152*0.18)+(BB152*0.05)+(BC152*0.19)</f>
        <v>1.1500000000000001</v>
      </c>
      <c r="BE152" s="62" t="s">
        <v>828</v>
      </c>
      <c r="BF152" s="62"/>
      <c r="BG152" s="62"/>
      <c r="BH152" s="2">
        <v>12983</v>
      </c>
      <c r="BI152" s="10"/>
      <c r="BJ152" s="10"/>
      <c r="BK152" s="112">
        <v>46149</v>
      </c>
      <c r="BL152" s="113" t="s">
        <v>957</v>
      </c>
      <c r="BM152" s="10"/>
    </row>
    <row r="153" spans="1:66" ht="80" x14ac:dyDescent="0.2">
      <c r="A153" s="10">
        <v>20028369</v>
      </c>
      <c r="B153" s="10">
        <v>200723</v>
      </c>
      <c r="C153" s="10">
        <v>14000</v>
      </c>
      <c r="D153" s="10" t="s">
        <v>73</v>
      </c>
      <c r="E153" s="10" t="s">
        <v>515</v>
      </c>
      <c r="F153" s="10" t="s">
        <v>517</v>
      </c>
      <c r="G153" s="10" t="s">
        <v>58</v>
      </c>
      <c r="H153" s="10" t="s">
        <v>59</v>
      </c>
      <c r="I153" s="10" t="s">
        <v>81</v>
      </c>
      <c r="J153" s="10" t="s">
        <v>82</v>
      </c>
      <c r="K153" s="10" t="s">
        <v>48</v>
      </c>
      <c r="L153" s="10" t="s">
        <v>76</v>
      </c>
      <c r="M153" s="10" t="s">
        <v>60</v>
      </c>
      <c r="N153" s="10" t="s">
        <v>61</v>
      </c>
      <c r="O153" s="10" t="s">
        <v>164</v>
      </c>
      <c r="P153" s="11">
        <v>25</v>
      </c>
      <c r="Q153" s="10">
        <v>24</v>
      </c>
      <c r="R153" s="10">
        <v>11.4</v>
      </c>
      <c r="S153" s="10">
        <v>6.5</v>
      </c>
      <c r="T153" s="2">
        <f t="shared" si="60"/>
        <v>66.900000000000006</v>
      </c>
      <c r="U153" s="10">
        <v>682</v>
      </c>
      <c r="V153" s="10">
        <v>6852</v>
      </c>
      <c r="W153" s="2" t="str">
        <f t="shared" si="52"/>
        <v>4</v>
      </c>
      <c r="X153" s="2" t="str">
        <f t="shared" si="53"/>
        <v>4</v>
      </c>
      <c r="Y153" s="2" t="str">
        <f t="shared" si="54"/>
        <v>1</v>
      </c>
      <c r="Z153" s="3" t="str">
        <f t="shared" si="55"/>
        <v>1</v>
      </c>
      <c r="AA153" s="10">
        <v>0.7</v>
      </c>
      <c r="AB153" s="3">
        <f t="shared" si="65"/>
        <v>2.5</v>
      </c>
      <c r="AC153" s="10">
        <v>51</v>
      </c>
      <c r="AD153" s="10">
        <v>11</v>
      </c>
      <c r="AE153" s="10">
        <v>0.02</v>
      </c>
      <c r="AF153" s="10">
        <v>37.6</v>
      </c>
      <c r="AG153" s="2">
        <f t="shared" si="56"/>
        <v>1880</v>
      </c>
      <c r="AH153" s="2" t="str">
        <f t="shared" si="57"/>
        <v>1</v>
      </c>
      <c r="AI153" s="3" t="str">
        <f t="shared" si="58"/>
        <v>1</v>
      </c>
      <c r="AJ153" s="3">
        <f t="shared" si="59"/>
        <v>1</v>
      </c>
      <c r="AK153" s="2">
        <v>108</v>
      </c>
      <c r="AL153" s="2" t="str">
        <f t="shared" si="61"/>
        <v>1</v>
      </c>
      <c r="AM153" s="10">
        <v>234.3</v>
      </c>
      <c r="AN153" s="10">
        <v>173.38200000000001</v>
      </c>
      <c r="AO153" s="10">
        <v>585.70000000000005</v>
      </c>
      <c r="AP153" s="10">
        <v>433.41800000000001</v>
      </c>
      <c r="AQ153" s="10" t="s">
        <v>61</v>
      </c>
      <c r="AR153" s="10" t="s">
        <v>61</v>
      </c>
      <c r="AS153" s="10">
        <v>74</v>
      </c>
      <c r="AT153" s="2" t="str">
        <f t="shared" si="62"/>
        <v>3</v>
      </c>
      <c r="AU153" s="10">
        <v>1</v>
      </c>
      <c r="AV153" s="10">
        <v>1</v>
      </c>
      <c r="AW153" s="10">
        <v>1</v>
      </c>
      <c r="AX153" s="10">
        <v>1</v>
      </c>
      <c r="AY153" s="2">
        <v>1</v>
      </c>
      <c r="AZ153" s="10">
        <v>2009</v>
      </c>
      <c r="BA153" s="2">
        <f t="shared" si="63"/>
        <v>16</v>
      </c>
      <c r="BB153" s="2" t="str">
        <f t="shared" si="64"/>
        <v>2</v>
      </c>
      <c r="BC153" s="3">
        <v>1</v>
      </c>
      <c r="BD153" s="7">
        <f>(AB153*0.2)+(AJ153*0.23)+(AL153*0.05)+(AT153*0.1)+(AY153*0.18)+(BB153*0.05)+(BC153*0.19)</f>
        <v>1.55</v>
      </c>
      <c r="BE153" s="62" t="s">
        <v>827</v>
      </c>
      <c r="BF153" s="62"/>
      <c r="BG153" s="8" t="s">
        <v>883</v>
      </c>
      <c r="BH153" s="2">
        <v>15087</v>
      </c>
      <c r="BI153" s="10"/>
      <c r="BJ153" s="10"/>
      <c r="BK153" s="107">
        <v>46229</v>
      </c>
      <c r="BL153" s="10" t="s">
        <v>945</v>
      </c>
      <c r="BM153" s="10"/>
      <c r="BN153" s="61" t="s">
        <v>998</v>
      </c>
    </row>
    <row r="154" spans="1:66" ht="64" x14ac:dyDescent="0.2">
      <c r="A154" s="10">
        <v>20028369</v>
      </c>
      <c r="B154" s="10" t="s">
        <v>518</v>
      </c>
      <c r="C154" s="10">
        <v>14000</v>
      </c>
      <c r="D154" s="10" t="s">
        <v>73</v>
      </c>
      <c r="E154" s="10" t="s">
        <v>515</v>
      </c>
      <c r="F154" s="10" t="s">
        <v>519</v>
      </c>
      <c r="G154" s="10" t="s">
        <v>58</v>
      </c>
      <c r="H154" s="10" t="s">
        <v>59</v>
      </c>
      <c r="I154" s="10" t="s">
        <v>81</v>
      </c>
      <c r="J154" s="10" t="s">
        <v>82</v>
      </c>
      <c r="K154" s="10" t="s">
        <v>48</v>
      </c>
      <c r="L154" s="10" t="s">
        <v>76</v>
      </c>
      <c r="M154" s="10" t="s">
        <v>60</v>
      </c>
      <c r="N154" s="10" t="s">
        <v>61</v>
      </c>
      <c r="O154" s="10" t="s">
        <v>164</v>
      </c>
      <c r="P154" s="11">
        <v>10.8</v>
      </c>
      <c r="Q154" s="10">
        <v>4.3</v>
      </c>
      <c r="R154" s="10">
        <v>26</v>
      </c>
      <c r="S154" s="10">
        <v>0.9</v>
      </c>
      <c r="T154" s="2">
        <f t="shared" si="60"/>
        <v>42</v>
      </c>
      <c r="U154" s="10">
        <v>342</v>
      </c>
      <c r="V154" s="10">
        <v>3161</v>
      </c>
      <c r="W154" s="2" t="str">
        <f t="shared" si="52"/>
        <v>3</v>
      </c>
      <c r="X154" s="2" t="str">
        <f t="shared" si="53"/>
        <v>3</v>
      </c>
      <c r="Y154" s="2" t="str">
        <f t="shared" si="54"/>
        <v>1</v>
      </c>
      <c r="Z154" s="3" t="str">
        <f t="shared" si="55"/>
        <v>5</v>
      </c>
      <c r="AA154" s="10">
        <v>39</v>
      </c>
      <c r="AB154" s="3">
        <f t="shared" si="65"/>
        <v>3</v>
      </c>
      <c r="AC154" s="10">
        <v>31</v>
      </c>
      <c r="AD154" s="10">
        <v>25</v>
      </c>
      <c r="AE154" s="10">
        <v>0.02</v>
      </c>
      <c r="AF154" s="10">
        <v>39.5</v>
      </c>
      <c r="AG154" s="2">
        <f t="shared" si="56"/>
        <v>1975</v>
      </c>
      <c r="AH154" s="2" t="str">
        <f t="shared" si="57"/>
        <v>2</v>
      </c>
      <c r="AI154" s="3" t="str">
        <f t="shared" si="58"/>
        <v>1</v>
      </c>
      <c r="AJ154" s="3">
        <f t="shared" si="59"/>
        <v>1.8</v>
      </c>
      <c r="AK154" s="2">
        <v>8976</v>
      </c>
      <c r="AL154" s="2" t="str">
        <f t="shared" si="61"/>
        <v>5</v>
      </c>
      <c r="AM154" s="10">
        <v>234.3</v>
      </c>
      <c r="AN154" s="10">
        <v>182.51</v>
      </c>
      <c r="AO154" s="10">
        <v>585.70000000000005</v>
      </c>
      <c r="AP154" s="10">
        <v>438.6</v>
      </c>
      <c r="AQ154" s="10" t="s">
        <v>61</v>
      </c>
      <c r="AR154" s="10" t="s">
        <v>520</v>
      </c>
      <c r="AS154" s="10">
        <v>80</v>
      </c>
      <c r="AT154" s="2" t="str">
        <f t="shared" si="62"/>
        <v>4</v>
      </c>
      <c r="AU154" s="10">
        <v>1</v>
      </c>
      <c r="AV154" s="10">
        <v>1</v>
      </c>
      <c r="AW154" s="10">
        <v>1</v>
      </c>
      <c r="AX154" s="10">
        <v>1</v>
      </c>
      <c r="AY154" s="2">
        <v>1</v>
      </c>
      <c r="AZ154" s="10">
        <v>1995</v>
      </c>
      <c r="BA154" s="2">
        <f t="shared" si="63"/>
        <v>30</v>
      </c>
      <c r="BB154" s="2" t="str">
        <f t="shared" si="64"/>
        <v>5</v>
      </c>
      <c r="BC154" s="3">
        <v>1</v>
      </c>
      <c r="BD154" s="7">
        <v>5</v>
      </c>
      <c r="BE154" s="62" t="s">
        <v>991</v>
      </c>
      <c r="BF154" s="62"/>
      <c r="BG154" s="62" t="s">
        <v>993</v>
      </c>
      <c r="BH154" s="2">
        <v>13674</v>
      </c>
      <c r="BI154" s="10"/>
      <c r="BJ154" s="10" t="s">
        <v>917</v>
      </c>
      <c r="BK154" s="107">
        <v>46229</v>
      </c>
      <c r="BL154" s="10" t="s">
        <v>945</v>
      </c>
      <c r="BM154" s="10"/>
    </row>
    <row r="155" spans="1:66" ht="80" x14ac:dyDescent="0.2">
      <c r="A155" s="10">
        <v>20028369</v>
      </c>
      <c r="B155" s="10">
        <v>1057609451</v>
      </c>
      <c r="C155" s="10">
        <v>14000</v>
      </c>
      <c r="D155" s="10" t="s">
        <v>73</v>
      </c>
      <c r="E155" s="10" t="s">
        <v>515</v>
      </c>
      <c r="F155" s="10" t="s">
        <v>516</v>
      </c>
      <c r="G155" s="10" t="s">
        <v>58</v>
      </c>
      <c r="H155" s="10" t="s">
        <v>59</v>
      </c>
      <c r="I155" s="10" t="s">
        <v>81</v>
      </c>
      <c r="J155" s="10" t="s">
        <v>82</v>
      </c>
      <c r="K155" s="10" t="s">
        <v>48</v>
      </c>
      <c r="L155" s="10" t="s">
        <v>76</v>
      </c>
      <c r="M155" s="10" t="s">
        <v>60</v>
      </c>
      <c r="N155" s="10" t="s">
        <v>61</v>
      </c>
      <c r="O155" s="10" t="s">
        <v>164</v>
      </c>
      <c r="P155" s="11">
        <v>2.1</v>
      </c>
      <c r="Q155" s="10">
        <v>143</v>
      </c>
      <c r="R155" s="10">
        <v>189</v>
      </c>
      <c r="S155" s="10">
        <v>26</v>
      </c>
      <c r="T155" s="2">
        <f t="shared" si="60"/>
        <v>360.1</v>
      </c>
      <c r="U155" s="10">
        <v>1618</v>
      </c>
      <c r="V155" s="10">
        <v>6615</v>
      </c>
      <c r="W155" s="2" t="str">
        <f t="shared" ref="W155:W185" si="67">IF(U155&gt;=750,"5",IF(U155&gt;=550,"4",IF(U155&gt;=300,"3",IF(U155&gt;=100,"2","1"))))</f>
        <v>5</v>
      </c>
      <c r="X155" s="2" t="str">
        <f t="shared" ref="X155:X185" si="68">IF(V155&gt;=7001,"5",IF(V155&gt;=5000,"4",IF(V155&gt;=3000,"3",IF(V155&gt;=1500,"2","1"))))</f>
        <v>4</v>
      </c>
      <c r="Y155" s="2" t="str">
        <f t="shared" ref="Y155:Y185" si="69">IF(T155&gt;=401,"5",IF(T155&gt;=301,"4",IF(T155&gt;=201,"3",IF(T155&gt;=95,"2","1"))))</f>
        <v>4</v>
      </c>
      <c r="Z155" s="3" t="str">
        <f t="shared" ref="Z155:Z185" si="70">IF(AA155&gt;=7,"5",IF(AA155&gt;=6,"4",IF(AA155&gt;=5,"3",IF(AA155&gt;=2,"2","1"))))</f>
        <v>1</v>
      </c>
      <c r="AA155" s="10">
        <v>0</v>
      </c>
      <c r="AB155" s="3">
        <f t="shared" si="65"/>
        <v>3.5</v>
      </c>
      <c r="AC155" s="10">
        <v>56</v>
      </c>
      <c r="AD155" s="10">
        <v>7</v>
      </c>
      <c r="AE155" s="10">
        <v>0.02</v>
      </c>
      <c r="AF155" s="10">
        <v>43.6</v>
      </c>
      <c r="AG155" s="2">
        <f t="shared" ref="AG155:AG185" si="71">AF155/AE155</f>
        <v>2180</v>
      </c>
      <c r="AH155" s="2" t="str">
        <f t="shared" ref="AH155:AH185" si="72">IF(AC155&lt;=16,"5",IF(AC155&lt;=20,"4",IF(AC155&lt;=25,"3",IF(AC155&lt;=33,"2","1"))))</f>
        <v>1</v>
      </c>
      <c r="AI155" s="3" t="str">
        <f t="shared" ref="AI155:AI185" si="73">IF(AG155&lt;=713,"5",IF(AG155&lt;=999,"4",IF(AG155&lt;=1130,"3",IF(AG155&lt;=1499,"2","1"))))</f>
        <v>1</v>
      </c>
      <c r="AJ155" s="3">
        <f t="shared" ref="AJ155:AJ185" si="74">AH155*0.8+AI155*0.2</f>
        <v>1</v>
      </c>
      <c r="AK155" s="2">
        <v>14</v>
      </c>
      <c r="AL155" s="2" t="str">
        <f t="shared" si="61"/>
        <v>1</v>
      </c>
      <c r="AM155" s="10">
        <v>234.29</v>
      </c>
      <c r="AN155" s="10">
        <v>173.37459999999999</v>
      </c>
      <c r="AO155" s="10">
        <v>585.72</v>
      </c>
      <c r="AP155" s="10">
        <v>433.43280000000004</v>
      </c>
      <c r="AQ155" s="10" t="s">
        <v>61</v>
      </c>
      <c r="AR155" s="10" t="s">
        <v>61</v>
      </c>
      <c r="AS155" s="10">
        <v>74</v>
      </c>
      <c r="AT155" s="2" t="str">
        <f t="shared" si="62"/>
        <v>3</v>
      </c>
      <c r="AU155" s="10">
        <v>1</v>
      </c>
      <c r="AV155" s="10">
        <v>1</v>
      </c>
      <c r="AW155" s="10">
        <v>1</v>
      </c>
      <c r="AX155" s="10">
        <v>1</v>
      </c>
      <c r="AY155" s="2">
        <v>1</v>
      </c>
      <c r="AZ155" s="10">
        <v>2021</v>
      </c>
      <c r="BA155" s="2">
        <f t="shared" si="63"/>
        <v>4</v>
      </c>
      <c r="BB155" s="2" t="str">
        <f t="shared" si="64"/>
        <v>1</v>
      </c>
      <c r="BC155" s="3">
        <v>1</v>
      </c>
      <c r="BD155" s="7">
        <f t="shared" ref="BD155:BD167" si="75">(AB155*0.2)+(AJ155*0.23)+(AL155*0.05)+(AT155*0.1)+(AY155*0.18)+(BB155*0.05)+(BC155*0.19)</f>
        <v>1.7000000000000002</v>
      </c>
      <c r="BE155" s="62" t="s">
        <v>827</v>
      </c>
      <c r="BF155" s="62"/>
      <c r="BG155" s="62"/>
      <c r="BH155" s="2">
        <v>8860</v>
      </c>
      <c r="BI155" s="10"/>
      <c r="BJ155" s="10"/>
      <c r="BK155" s="107">
        <v>46229</v>
      </c>
      <c r="BL155" s="10" t="s">
        <v>945</v>
      </c>
      <c r="BM155" s="10"/>
      <c r="BN155" s="61" t="s">
        <v>997</v>
      </c>
    </row>
    <row r="156" spans="1:66" ht="80" x14ac:dyDescent="0.2">
      <c r="A156" s="10">
        <v>20700437</v>
      </c>
      <c r="B156" s="10">
        <v>20050108</v>
      </c>
      <c r="C156" s="10">
        <v>5000</v>
      </c>
      <c r="D156" s="10" t="s">
        <v>73</v>
      </c>
      <c r="E156" s="10" t="s">
        <v>522</v>
      </c>
      <c r="F156" s="101" t="s">
        <v>524</v>
      </c>
      <c r="G156" s="10" t="s">
        <v>125</v>
      </c>
      <c r="H156" s="10" t="s">
        <v>148</v>
      </c>
      <c r="I156" s="10" t="s">
        <v>65</v>
      </c>
      <c r="J156" s="10" t="s">
        <v>82</v>
      </c>
      <c r="K156" s="10" t="s">
        <v>66</v>
      </c>
      <c r="L156" s="10" t="s">
        <v>76</v>
      </c>
      <c r="M156" s="10" t="s">
        <v>60</v>
      </c>
      <c r="N156" s="10" t="s">
        <v>61</v>
      </c>
      <c r="O156" s="10" t="s">
        <v>130</v>
      </c>
      <c r="P156" s="11">
        <v>2.4</v>
      </c>
      <c r="Q156" s="10">
        <v>30</v>
      </c>
      <c r="R156" s="10">
        <v>4.8</v>
      </c>
      <c r="S156" s="10">
        <v>6.5</v>
      </c>
      <c r="T156" s="2">
        <f t="shared" si="60"/>
        <v>43.699999999999996</v>
      </c>
      <c r="U156" s="10">
        <v>1618</v>
      </c>
      <c r="V156" s="10">
        <v>10857</v>
      </c>
      <c r="W156" s="2" t="str">
        <f t="shared" si="67"/>
        <v>5</v>
      </c>
      <c r="X156" s="2" t="str">
        <f t="shared" si="68"/>
        <v>5</v>
      </c>
      <c r="Y156" s="2" t="str">
        <f t="shared" si="69"/>
        <v>1</v>
      </c>
      <c r="Z156" s="3" t="str">
        <f t="shared" si="70"/>
        <v>1</v>
      </c>
      <c r="AA156" s="10">
        <v>0</v>
      </c>
      <c r="AB156" s="3">
        <f t="shared" si="65"/>
        <v>3</v>
      </c>
      <c r="AC156" s="10">
        <v>48</v>
      </c>
      <c r="AD156" s="10">
        <v>14</v>
      </c>
      <c r="AE156" s="10">
        <v>0.02</v>
      </c>
      <c r="AF156" s="10">
        <v>42.3</v>
      </c>
      <c r="AG156" s="2">
        <f t="shared" si="71"/>
        <v>2115</v>
      </c>
      <c r="AH156" s="2" t="str">
        <f t="shared" si="72"/>
        <v>1</v>
      </c>
      <c r="AI156" s="3" t="str">
        <f t="shared" si="73"/>
        <v>1</v>
      </c>
      <c r="AJ156" s="3">
        <f t="shared" si="74"/>
        <v>1</v>
      </c>
      <c r="AK156" s="2">
        <v>100</v>
      </c>
      <c r="AL156" s="2" t="str">
        <f t="shared" si="61"/>
        <v>1</v>
      </c>
      <c r="AM156" s="10">
        <v>83.7</v>
      </c>
      <c r="AN156" s="10">
        <v>41.85</v>
      </c>
      <c r="AO156" s="10">
        <v>209.2</v>
      </c>
      <c r="AP156" s="10">
        <v>104.6</v>
      </c>
      <c r="AQ156" s="10" t="s">
        <v>61</v>
      </c>
      <c r="AR156" s="10" t="s">
        <v>61</v>
      </c>
      <c r="AS156" s="10">
        <v>50</v>
      </c>
      <c r="AT156" s="2" t="str">
        <f t="shared" si="62"/>
        <v>1</v>
      </c>
      <c r="AU156" s="10">
        <v>1</v>
      </c>
      <c r="AV156" s="10">
        <v>5</v>
      </c>
      <c r="AW156" s="10">
        <v>1</v>
      </c>
      <c r="AX156" s="10" t="s">
        <v>61</v>
      </c>
      <c r="AY156" s="2">
        <v>1</v>
      </c>
      <c r="AZ156" s="10">
        <v>2009</v>
      </c>
      <c r="BA156" s="2">
        <f t="shared" si="63"/>
        <v>16</v>
      </c>
      <c r="BB156" s="2" t="str">
        <f t="shared" si="64"/>
        <v>2</v>
      </c>
      <c r="BC156" s="3">
        <v>1</v>
      </c>
      <c r="BD156" s="7">
        <f t="shared" si="75"/>
        <v>1.4500000000000002</v>
      </c>
      <c r="BE156" s="62" t="s">
        <v>834</v>
      </c>
      <c r="BF156" s="62"/>
      <c r="BG156" s="62" t="s">
        <v>838</v>
      </c>
      <c r="BH156" s="2">
        <v>8625</v>
      </c>
      <c r="BI156" s="10"/>
      <c r="BJ156" s="10"/>
      <c r="BK156" s="10"/>
      <c r="BL156" s="10"/>
      <c r="BM156" s="10"/>
      <c r="BN156" s="61" t="s">
        <v>997</v>
      </c>
    </row>
    <row r="157" spans="1:66" ht="64" x14ac:dyDescent="0.2">
      <c r="A157" s="10">
        <v>20700437</v>
      </c>
      <c r="B157" s="10" t="s">
        <v>521</v>
      </c>
      <c r="C157" s="10">
        <v>5000</v>
      </c>
      <c r="D157" s="10" t="s">
        <v>73</v>
      </c>
      <c r="E157" s="10" t="s">
        <v>522</v>
      </c>
      <c r="F157" s="101" t="s">
        <v>523</v>
      </c>
      <c r="G157" s="10" t="s">
        <v>125</v>
      </c>
      <c r="H157" s="10" t="s">
        <v>148</v>
      </c>
      <c r="I157" s="10" t="s">
        <v>65</v>
      </c>
      <c r="J157" s="10" t="s">
        <v>61</v>
      </c>
      <c r="K157" s="10" t="s">
        <v>66</v>
      </c>
      <c r="L157" s="10" t="s">
        <v>76</v>
      </c>
      <c r="M157" s="10" t="s">
        <v>60</v>
      </c>
      <c r="N157" s="10" t="s">
        <v>61</v>
      </c>
      <c r="O157" s="10" t="s">
        <v>130</v>
      </c>
      <c r="P157" s="11">
        <v>8.1999999999999993</v>
      </c>
      <c r="Q157" s="10">
        <v>12.3</v>
      </c>
      <c r="R157" s="10">
        <v>2.4</v>
      </c>
      <c r="S157" s="10">
        <v>1.2</v>
      </c>
      <c r="T157" s="2">
        <f t="shared" si="60"/>
        <v>24.099999999999998</v>
      </c>
      <c r="U157" s="10">
        <v>1650</v>
      </c>
      <c r="V157" s="10">
        <v>3104</v>
      </c>
      <c r="W157" s="2" t="str">
        <f t="shared" si="67"/>
        <v>5</v>
      </c>
      <c r="X157" s="2" t="str">
        <f t="shared" si="68"/>
        <v>3</v>
      </c>
      <c r="Y157" s="2" t="str">
        <f t="shared" si="69"/>
        <v>1</v>
      </c>
      <c r="Z157" s="3" t="str">
        <f t="shared" si="70"/>
        <v>1</v>
      </c>
      <c r="AA157" s="10">
        <v>0</v>
      </c>
      <c r="AB157" s="3">
        <f t="shared" si="65"/>
        <v>2.5</v>
      </c>
      <c r="AC157" s="10">
        <v>56</v>
      </c>
      <c r="AD157" s="10">
        <v>6</v>
      </c>
      <c r="AE157" s="10">
        <v>0.02</v>
      </c>
      <c r="AF157" s="10">
        <v>40</v>
      </c>
      <c r="AG157" s="2">
        <f t="shared" si="71"/>
        <v>2000</v>
      </c>
      <c r="AH157" s="2" t="str">
        <f t="shared" si="72"/>
        <v>1</v>
      </c>
      <c r="AI157" s="3" t="str">
        <f t="shared" si="73"/>
        <v>1</v>
      </c>
      <c r="AJ157" s="3">
        <f t="shared" si="74"/>
        <v>1</v>
      </c>
      <c r="AK157" s="2">
        <v>14</v>
      </c>
      <c r="AL157" s="2" t="str">
        <f t="shared" si="61"/>
        <v>1</v>
      </c>
      <c r="AM157" s="10">
        <v>83.677000000000007</v>
      </c>
      <c r="AN157" s="10">
        <v>41.838500000000003</v>
      </c>
      <c r="AO157" s="10">
        <v>209.2</v>
      </c>
      <c r="AP157" s="10">
        <v>104.6</v>
      </c>
      <c r="AQ157" s="10" t="s">
        <v>61</v>
      </c>
      <c r="AR157" s="10" t="s">
        <v>61</v>
      </c>
      <c r="AS157" s="10">
        <v>50</v>
      </c>
      <c r="AT157" s="2" t="str">
        <f t="shared" si="62"/>
        <v>1</v>
      </c>
      <c r="AU157" s="10">
        <v>1</v>
      </c>
      <c r="AV157" s="10">
        <v>1</v>
      </c>
      <c r="AW157" s="10">
        <v>1</v>
      </c>
      <c r="AX157" s="10" t="s">
        <v>61</v>
      </c>
      <c r="AY157" s="2">
        <v>1</v>
      </c>
      <c r="AZ157" s="10">
        <v>2022</v>
      </c>
      <c r="BA157" s="2">
        <f t="shared" si="63"/>
        <v>3</v>
      </c>
      <c r="BB157" s="2" t="str">
        <f t="shared" si="64"/>
        <v>1</v>
      </c>
      <c r="BC157" s="3">
        <v>1</v>
      </c>
      <c r="BD157" s="7">
        <f t="shared" si="75"/>
        <v>1.3</v>
      </c>
      <c r="BE157" s="62" t="s">
        <v>828</v>
      </c>
      <c r="BF157" s="62"/>
      <c r="BG157" s="62"/>
      <c r="BH157" s="2">
        <v>2472</v>
      </c>
      <c r="BI157" s="10"/>
      <c r="BJ157" s="10"/>
      <c r="BK157" s="10"/>
      <c r="BL157" s="10"/>
      <c r="BM157" s="10"/>
    </row>
    <row r="158" spans="1:66" ht="80" x14ac:dyDescent="0.2">
      <c r="A158" s="10">
        <v>20700397</v>
      </c>
      <c r="B158" s="10">
        <v>20020108</v>
      </c>
      <c r="C158" s="10">
        <v>5000</v>
      </c>
      <c r="D158" s="10" t="s">
        <v>73</v>
      </c>
      <c r="E158" s="10" t="s">
        <v>527</v>
      </c>
      <c r="F158" s="101" t="s">
        <v>529</v>
      </c>
      <c r="G158" s="10" t="s">
        <v>125</v>
      </c>
      <c r="H158" s="10" t="s">
        <v>126</v>
      </c>
      <c r="I158" s="10" t="s">
        <v>65</v>
      </c>
      <c r="J158" s="10" t="s">
        <v>61</v>
      </c>
      <c r="K158" s="10" t="s">
        <v>66</v>
      </c>
      <c r="L158" s="10" t="s">
        <v>76</v>
      </c>
      <c r="M158" s="10" t="s">
        <v>60</v>
      </c>
      <c r="N158" s="10" t="s">
        <v>61</v>
      </c>
      <c r="O158" s="10" t="s">
        <v>130</v>
      </c>
      <c r="P158" s="11">
        <v>5</v>
      </c>
      <c r="Q158" s="10">
        <v>33</v>
      </c>
      <c r="R158" s="10">
        <v>3.6</v>
      </c>
      <c r="S158" s="10">
        <v>6.2</v>
      </c>
      <c r="T158" s="2">
        <f t="shared" si="60"/>
        <v>47.800000000000004</v>
      </c>
      <c r="U158" s="10">
        <v>1772</v>
      </c>
      <c r="V158" s="10">
        <v>11181</v>
      </c>
      <c r="W158" s="2" t="str">
        <f t="shared" si="67"/>
        <v>5</v>
      </c>
      <c r="X158" s="2" t="str">
        <f t="shared" si="68"/>
        <v>5</v>
      </c>
      <c r="Y158" s="2" t="str">
        <f t="shared" si="69"/>
        <v>1</v>
      </c>
      <c r="Z158" s="3" t="str">
        <f t="shared" si="70"/>
        <v>1</v>
      </c>
      <c r="AA158" s="10">
        <v>0</v>
      </c>
      <c r="AB158" s="3">
        <f t="shared" si="65"/>
        <v>3</v>
      </c>
      <c r="AC158" s="10">
        <v>47</v>
      </c>
      <c r="AD158" s="10">
        <v>16</v>
      </c>
      <c r="AE158" s="10">
        <v>0.02</v>
      </c>
      <c r="AF158" s="10">
        <v>40.9</v>
      </c>
      <c r="AG158" s="2">
        <f t="shared" si="71"/>
        <v>2045</v>
      </c>
      <c r="AH158" s="2" t="str">
        <f t="shared" si="72"/>
        <v>1</v>
      </c>
      <c r="AI158" s="3" t="str">
        <f t="shared" si="73"/>
        <v>1</v>
      </c>
      <c r="AJ158" s="3">
        <f t="shared" si="74"/>
        <v>1</v>
      </c>
      <c r="AK158" s="2">
        <v>101</v>
      </c>
      <c r="AL158" s="2" t="str">
        <f t="shared" si="61"/>
        <v>1</v>
      </c>
      <c r="AM158" s="10">
        <v>83.7</v>
      </c>
      <c r="AN158" s="10">
        <v>52.731000000000002</v>
      </c>
      <c r="AO158" s="10">
        <v>209.2</v>
      </c>
      <c r="AP158" s="10">
        <v>131.79599999999999</v>
      </c>
      <c r="AQ158" s="10" t="s">
        <v>61</v>
      </c>
      <c r="AR158" s="10" t="s">
        <v>61</v>
      </c>
      <c r="AS158" s="10">
        <v>63</v>
      </c>
      <c r="AT158" s="2" t="str">
        <f t="shared" si="62"/>
        <v>2</v>
      </c>
      <c r="AU158" s="10">
        <v>1</v>
      </c>
      <c r="AV158" s="10">
        <v>1</v>
      </c>
      <c r="AW158" s="10">
        <v>1</v>
      </c>
      <c r="AX158" s="10" t="s">
        <v>61</v>
      </c>
      <c r="AY158" s="2">
        <v>1</v>
      </c>
      <c r="AZ158" s="10">
        <v>2020</v>
      </c>
      <c r="BA158" s="2">
        <f t="shared" si="63"/>
        <v>5</v>
      </c>
      <c r="BB158" s="2" t="str">
        <f t="shared" si="64"/>
        <v>1</v>
      </c>
      <c r="BC158" s="3">
        <v>1</v>
      </c>
      <c r="BD158" s="7">
        <f t="shared" si="75"/>
        <v>1.5</v>
      </c>
      <c r="BE158" s="62" t="s">
        <v>827</v>
      </c>
      <c r="BF158" s="62"/>
      <c r="BG158" s="8" t="s">
        <v>884</v>
      </c>
      <c r="BH158" s="2">
        <v>13329</v>
      </c>
      <c r="BI158" s="10"/>
      <c r="BJ158" s="10"/>
      <c r="BK158" s="10"/>
      <c r="BL158" s="10"/>
      <c r="BM158" s="10"/>
      <c r="BN158" s="61" t="s">
        <v>61</v>
      </c>
    </row>
    <row r="159" spans="1:66" ht="64" x14ac:dyDescent="0.2">
      <c r="A159" s="10">
        <v>20700397</v>
      </c>
      <c r="B159" s="10" t="s">
        <v>526</v>
      </c>
      <c r="C159" s="10">
        <v>5000</v>
      </c>
      <c r="D159" s="10" t="s">
        <v>73</v>
      </c>
      <c r="E159" s="10" t="s">
        <v>527</v>
      </c>
      <c r="F159" s="10" t="s">
        <v>528</v>
      </c>
      <c r="G159" s="10" t="s">
        <v>125</v>
      </c>
      <c r="H159" s="10" t="s">
        <v>126</v>
      </c>
      <c r="I159" s="10" t="s">
        <v>65</v>
      </c>
      <c r="J159" s="10" t="s">
        <v>61</v>
      </c>
      <c r="K159" s="10" t="s">
        <v>66</v>
      </c>
      <c r="L159" s="10" t="s">
        <v>76</v>
      </c>
      <c r="M159" s="10" t="s">
        <v>60</v>
      </c>
      <c r="N159" s="10" t="s">
        <v>61</v>
      </c>
      <c r="O159" s="10" t="s">
        <v>130</v>
      </c>
      <c r="P159" s="11">
        <v>1.5</v>
      </c>
      <c r="Q159" s="10">
        <v>25</v>
      </c>
      <c r="R159" s="10">
        <v>2.6</v>
      </c>
      <c r="S159" s="10">
        <v>7.1</v>
      </c>
      <c r="T159" s="2">
        <f t="shared" si="60"/>
        <v>36.200000000000003</v>
      </c>
      <c r="U159" s="10">
        <v>596</v>
      </c>
      <c r="V159" s="10">
        <v>2403</v>
      </c>
      <c r="W159" s="2" t="str">
        <f t="shared" si="67"/>
        <v>4</v>
      </c>
      <c r="X159" s="2" t="str">
        <f t="shared" si="68"/>
        <v>2</v>
      </c>
      <c r="Y159" s="2" t="str">
        <f t="shared" si="69"/>
        <v>1</v>
      </c>
      <c r="Z159" s="3" t="str">
        <f t="shared" si="70"/>
        <v>1</v>
      </c>
      <c r="AA159" s="10">
        <v>0</v>
      </c>
      <c r="AB159" s="3">
        <f t="shared" si="65"/>
        <v>2</v>
      </c>
      <c r="AC159" s="10">
        <v>63</v>
      </c>
      <c r="AD159" s="10">
        <v>7</v>
      </c>
      <c r="AE159" s="10">
        <v>0.02</v>
      </c>
      <c r="AF159" s="10">
        <v>31.4</v>
      </c>
      <c r="AG159" s="2">
        <f t="shared" si="71"/>
        <v>1570</v>
      </c>
      <c r="AH159" s="2" t="str">
        <f t="shared" si="72"/>
        <v>1</v>
      </c>
      <c r="AI159" s="3" t="str">
        <f t="shared" si="73"/>
        <v>1</v>
      </c>
      <c r="AJ159" s="3">
        <f t="shared" si="74"/>
        <v>1</v>
      </c>
      <c r="AK159" s="2">
        <v>14</v>
      </c>
      <c r="AL159" s="2" t="str">
        <f t="shared" si="61"/>
        <v>1</v>
      </c>
      <c r="AM159" s="10">
        <v>83.7</v>
      </c>
      <c r="AN159" s="10">
        <v>52.731000000000002</v>
      </c>
      <c r="AO159" s="10">
        <v>209.2</v>
      </c>
      <c r="AP159" s="10">
        <v>131.79599999999999</v>
      </c>
      <c r="AQ159" s="10" t="s">
        <v>61</v>
      </c>
      <c r="AR159" s="10" t="s">
        <v>61</v>
      </c>
      <c r="AS159" s="10">
        <v>63</v>
      </c>
      <c r="AT159" s="2" t="str">
        <f t="shared" si="62"/>
        <v>2</v>
      </c>
      <c r="AU159" s="10">
        <v>1</v>
      </c>
      <c r="AV159" s="10">
        <v>1</v>
      </c>
      <c r="AW159" s="10">
        <v>1</v>
      </c>
      <c r="AX159" s="10" t="s">
        <v>61</v>
      </c>
      <c r="AY159" s="2">
        <v>1</v>
      </c>
      <c r="AZ159" s="10">
        <v>2009</v>
      </c>
      <c r="BA159" s="2">
        <f t="shared" si="63"/>
        <v>16</v>
      </c>
      <c r="BB159" s="2" t="str">
        <f t="shared" si="64"/>
        <v>2</v>
      </c>
      <c r="BC159" s="3">
        <v>1</v>
      </c>
      <c r="BD159" s="7">
        <f t="shared" si="75"/>
        <v>1.35</v>
      </c>
      <c r="BE159" s="100" t="s">
        <v>828</v>
      </c>
      <c r="BF159" s="62"/>
      <c r="BG159" s="62"/>
      <c r="BH159" s="2">
        <v>3329</v>
      </c>
      <c r="BI159" s="10"/>
      <c r="BJ159" s="10"/>
      <c r="BK159" s="10"/>
      <c r="BL159" s="10"/>
      <c r="BM159" s="10"/>
    </row>
    <row r="160" spans="1:66" ht="64" x14ac:dyDescent="0.2">
      <c r="A160" s="10">
        <v>20058375</v>
      </c>
      <c r="B160" s="10">
        <v>1079537158</v>
      </c>
      <c r="C160" s="10">
        <v>15000</v>
      </c>
      <c r="D160" s="10" t="s">
        <v>73</v>
      </c>
      <c r="E160" s="10" t="s">
        <v>530</v>
      </c>
      <c r="F160" s="10" t="s">
        <v>531</v>
      </c>
      <c r="G160" s="10" t="s">
        <v>125</v>
      </c>
      <c r="H160" s="10" t="s">
        <v>126</v>
      </c>
      <c r="I160" s="10" t="s">
        <v>81</v>
      </c>
      <c r="J160" s="10" t="s">
        <v>82</v>
      </c>
      <c r="K160" s="10" t="s">
        <v>48</v>
      </c>
      <c r="L160" s="10" t="s">
        <v>76</v>
      </c>
      <c r="M160" s="10" t="s">
        <v>60</v>
      </c>
      <c r="N160" s="10" t="s">
        <v>61</v>
      </c>
      <c r="O160" s="10" t="s">
        <v>164</v>
      </c>
      <c r="P160" s="11">
        <v>10.1</v>
      </c>
      <c r="Q160" s="10">
        <v>10.4</v>
      </c>
      <c r="R160" s="10">
        <v>1.7</v>
      </c>
      <c r="S160" s="10">
        <v>1.9</v>
      </c>
      <c r="T160" s="2">
        <f t="shared" si="60"/>
        <v>24.099999999999998</v>
      </c>
      <c r="U160" s="10">
        <v>349</v>
      </c>
      <c r="V160" s="10">
        <v>541</v>
      </c>
      <c r="W160" s="2" t="str">
        <f t="shared" si="67"/>
        <v>3</v>
      </c>
      <c r="X160" s="2" t="str">
        <f t="shared" si="68"/>
        <v>1</v>
      </c>
      <c r="Y160" s="2" t="str">
        <f t="shared" si="69"/>
        <v>1</v>
      </c>
      <c r="Z160" s="3" t="str">
        <f t="shared" si="70"/>
        <v>1</v>
      </c>
      <c r="AA160" s="10">
        <v>0</v>
      </c>
      <c r="AB160" s="3">
        <f t="shared" si="65"/>
        <v>1.5</v>
      </c>
      <c r="AC160" s="10">
        <v>55</v>
      </c>
      <c r="AD160" s="10">
        <v>6</v>
      </c>
      <c r="AE160" s="10">
        <v>0.02</v>
      </c>
      <c r="AF160" s="10">
        <v>46.5</v>
      </c>
      <c r="AG160" s="2">
        <f t="shared" si="71"/>
        <v>2325</v>
      </c>
      <c r="AH160" s="2" t="str">
        <f t="shared" si="72"/>
        <v>1</v>
      </c>
      <c r="AI160" s="3" t="str">
        <f t="shared" si="73"/>
        <v>1</v>
      </c>
      <c r="AJ160" s="3">
        <f t="shared" si="74"/>
        <v>1</v>
      </c>
      <c r="AK160" s="2">
        <v>14</v>
      </c>
      <c r="AL160" s="2" t="str">
        <f t="shared" si="61"/>
        <v>1</v>
      </c>
      <c r="AM160" s="10">
        <v>251</v>
      </c>
      <c r="AN160" s="10">
        <v>92.87</v>
      </c>
      <c r="AO160" s="10">
        <v>627.6</v>
      </c>
      <c r="AP160" s="10">
        <v>232.21200000000002</v>
      </c>
      <c r="AQ160" s="10">
        <v>0</v>
      </c>
      <c r="AR160" s="10">
        <v>0</v>
      </c>
      <c r="AS160" s="10">
        <v>37</v>
      </c>
      <c r="AT160" s="2" t="str">
        <f t="shared" si="62"/>
        <v>1</v>
      </c>
      <c r="AU160" s="10">
        <v>1</v>
      </c>
      <c r="AV160" s="10">
        <v>1</v>
      </c>
      <c r="AW160" s="10">
        <v>1</v>
      </c>
      <c r="AX160" s="10">
        <v>1</v>
      </c>
      <c r="AY160" s="2">
        <v>1</v>
      </c>
      <c r="AZ160" s="10">
        <v>2023</v>
      </c>
      <c r="BA160" s="2">
        <f t="shared" si="63"/>
        <v>2</v>
      </c>
      <c r="BB160" s="2" t="str">
        <f t="shared" si="64"/>
        <v>1</v>
      </c>
      <c r="BC160" s="3">
        <v>1</v>
      </c>
      <c r="BD160" s="7">
        <f t="shared" si="75"/>
        <v>1.1000000000000001</v>
      </c>
      <c r="BE160" s="100" t="s">
        <v>828</v>
      </c>
      <c r="BF160" s="62"/>
      <c r="BG160" s="62"/>
      <c r="BH160" s="2">
        <v>9928</v>
      </c>
      <c r="BI160" s="10"/>
      <c r="BJ160" s="10"/>
      <c r="BK160" s="10" t="s">
        <v>951</v>
      </c>
      <c r="BL160" s="10" t="s">
        <v>934</v>
      </c>
      <c r="BM160" s="10"/>
    </row>
    <row r="161" spans="1:66" ht="80" x14ac:dyDescent="0.2">
      <c r="A161" s="10">
        <v>20700416</v>
      </c>
      <c r="B161" s="10">
        <v>27160109</v>
      </c>
      <c r="C161" s="10">
        <v>4000</v>
      </c>
      <c r="D161" s="10" t="s">
        <v>73</v>
      </c>
      <c r="E161" s="10" t="s">
        <v>532</v>
      </c>
      <c r="F161" s="10" t="s">
        <v>533</v>
      </c>
      <c r="G161" s="10" t="s">
        <v>125</v>
      </c>
      <c r="H161" s="10" t="s">
        <v>148</v>
      </c>
      <c r="I161" s="10" t="s">
        <v>65</v>
      </c>
      <c r="J161" s="10" t="s">
        <v>61</v>
      </c>
      <c r="K161" s="10" t="s">
        <v>66</v>
      </c>
      <c r="L161" s="10" t="s">
        <v>76</v>
      </c>
      <c r="M161" s="10" t="s">
        <v>60</v>
      </c>
      <c r="N161" s="10" t="s">
        <v>61</v>
      </c>
      <c r="O161" s="10" t="s">
        <v>130</v>
      </c>
      <c r="P161" s="11">
        <v>7.8</v>
      </c>
      <c r="Q161" s="10">
        <v>3.1</v>
      </c>
      <c r="R161" s="10">
        <v>4.9000000000000004</v>
      </c>
      <c r="S161" s="10">
        <v>0.5</v>
      </c>
      <c r="T161" s="2">
        <f t="shared" si="60"/>
        <v>16.3</v>
      </c>
      <c r="U161" s="10">
        <v>300</v>
      </c>
      <c r="V161" s="10">
        <v>2169</v>
      </c>
      <c r="W161" s="2" t="str">
        <f t="shared" si="67"/>
        <v>3</v>
      </c>
      <c r="X161" s="2" t="str">
        <f t="shared" si="68"/>
        <v>2</v>
      </c>
      <c r="Y161" s="2" t="str">
        <f t="shared" si="69"/>
        <v>1</v>
      </c>
      <c r="Z161" s="3" t="str">
        <f t="shared" si="70"/>
        <v>1</v>
      </c>
      <c r="AA161" s="10">
        <v>0.1</v>
      </c>
      <c r="AB161" s="3">
        <f t="shared" si="65"/>
        <v>1.75</v>
      </c>
      <c r="AC161" s="10">
        <v>39</v>
      </c>
      <c r="AD161" s="10">
        <v>15</v>
      </c>
      <c r="AE161" s="10">
        <v>0.02</v>
      </c>
      <c r="AF161" s="10">
        <v>45</v>
      </c>
      <c r="AG161" s="2">
        <f t="shared" si="71"/>
        <v>2250</v>
      </c>
      <c r="AH161" s="2" t="str">
        <f t="shared" si="72"/>
        <v>1</v>
      </c>
      <c r="AI161" s="3" t="str">
        <f t="shared" si="73"/>
        <v>1</v>
      </c>
      <c r="AJ161" s="3">
        <f t="shared" si="74"/>
        <v>1</v>
      </c>
      <c r="AK161" s="2">
        <v>3700</v>
      </c>
      <c r="AL161" s="2" t="str">
        <f t="shared" si="61"/>
        <v>3</v>
      </c>
      <c r="AM161" s="10">
        <v>66.989999999999995</v>
      </c>
      <c r="AN161" s="10">
        <v>54.931799999999996</v>
      </c>
      <c r="AO161" s="10">
        <v>167.3</v>
      </c>
      <c r="AP161" s="10">
        <v>137.18600000000001</v>
      </c>
      <c r="AQ161" s="10" t="s">
        <v>61</v>
      </c>
      <c r="AR161" s="10" t="s">
        <v>61</v>
      </c>
      <c r="AS161" s="10">
        <v>82</v>
      </c>
      <c r="AT161" s="2" t="str">
        <f t="shared" si="62"/>
        <v>4</v>
      </c>
      <c r="AU161" s="10">
        <v>1</v>
      </c>
      <c r="AV161" s="10">
        <v>1</v>
      </c>
      <c r="AW161" s="10">
        <v>1</v>
      </c>
      <c r="AX161" s="10" t="s">
        <v>61</v>
      </c>
      <c r="AY161" s="2">
        <v>1</v>
      </c>
      <c r="AZ161" s="10">
        <v>2009</v>
      </c>
      <c r="BA161" s="2">
        <f t="shared" si="63"/>
        <v>16</v>
      </c>
      <c r="BB161" s="2" t="str">
        <f t="shared" si="64"/>
        <v>2</v>
      </c>
      <c r="BC161" s="3">
        <v>1</v>
      </c>
      <c r="BD161" s="7">
        <f t="shared" si="75"/>
        <v>1.6</v>
      </c>
      <c r="BE161" s="62" t="s">
        <v>827</v>
      </c>
      <c r="BF161" s="62"/>
      <c r="BG161" s="62"/>
      <c r="BH161" s="2">
        <v>3823</v>
      </c>
      <c r="BI161" s="10"/>
      <c r="BJ161" s="10"/>
      <c r="BK161" s="107">
        <v>46135</v>
      </c>
      <c r="BL161" s="10" t="s">
        <v>937</v>
      </c>
      <c r="BM161" s="10"/>
    </row>
    <row r="162" spans="1:66" ht="96" x14ac:dyDescent="0.2">
      <c r="A162" s="10">
        <v>20058366</v>
      </c>
      <c r="B162" s="10">
        <v>288053</v>
      </c>
      <c r="C162" s="10">
        <v>6500</v>
      </c>
      <c r="D162" s="10" t="s">
        <v>73</v>
      </c>
      <c r="E162" s="10" t="s">
        <v>534</v>
      </c>
      <c r="F162" s="10" t="s">
        <v>535</v>
      </c>
      <c r="G162" s="10" t="s">
        <v>125</v>
      </c>
      <c r="H162" s="10" t="s">
        <v>126</v>
      </c>
      <c r="I162" s="10" t="s">
        <v>81</v>
      </c>
      <c r="J162" s="10" t="s">
        <v>143</v>
      </c>
      <c r="K162" s="10" t="s">
        <v>66</v>
      </c>
      <c r="L162" s="10" t="s">
        <v>76</v>
      </c>
      <c r="M162" s="10" t="s">
        <v>60</v>
      </c>
      <c r="N162" s="10" t="s">
        <v>61</v>
      </c>
      <c r="O162" s="10" t="s">
        <v>83</v>
      </c>
      <c r="P162" s="11">
        <v>5.0999999999999996</v>
      </c>
      <c r="Q162" s="10">
        <v>4</v>
      </c>
      <c r="R162" s="10">
        <v>89</v>
      </c>
      <c r="S162" s="10">
        <v>1.3</v>
      </c>
      <c r="T162" s="2">
        <f t="shared" si="60"/>
        <v>99.399999999999991</v>
      </c>
      <c r="U162" s="2">
        <v>399</v>
      </c>
      <c r="V162" s="2">
        <v>4545</v>
      </c>
      <c r="W162" s="2" t="str">
        <f t="shared" si="67"/>
        <v>3</v>
      </c>
      <c r="X162" s="2" t="str">
        <f t="shared" si="68"/>
        <v>3</v>
      </c>
      <c r="Y162" s="2" t="str">
        <f t="shared" si="69"/>
        <v>2</v>
      </c>
      <c r="Z162" s="3" t="str">
        <f t="shared" si="70"/>
        <v>1</v>
      </c>
      <c r="AA162" s="10">
        <v>0</v>
      </c>
      <c r="AB162" s="3">
        <f t="shared" si="65"/>
        <v>2.25</v>
      </c>
      <c r="AC162" s="10">
        <v>42</v>
      </c>
      <c r="AD162" s="10">
        <v>14</v>
      </c>
      <c r="AE162" s="10">
        <v>0.04</v>
      </c>
      <c r="AF162" s="10">
        <v>32.1</v>
      </c>
      <c r="AG162" s="2">
        <f t="shared" si="71"/>
        <v>802.5</v>
      </c>
      <c r="AH162" s="2" t="str">
        <f t="shared" si="72"/>
        <v>1</v>
      </c>
      <c r="AI162" s="3" t="str">
        <f t="shared" si="73"/>
        <v>4</v>
      </c>
      <c r="AJ162" s="3">
        <f t="shared" si="74"/>
        <v>1.6</v>
      </c>
      <c r="AK162" s="2">
        <v>3876</v>
      </c>
      <c r="AL162" s="2" t="str">
        <f t="shared" si="61"/>
        <v>3</v>
      </c>
      <c r="AM162" s="10">
        <v>108.8</v>
      </c>
      <c r="AN162" s="10">
        <v>90.303999999999988</v>
      </c>
      <c r="AO162" s="10">
        <v>271.89999999999998</v>
      </c>
      <c r="AP162" s="10">
        <v>225.67699999999996</v>
      </c>
      <c r="AQ162" s="10" t="s">
        <v>61</v>
      </c>
      <c r="AR162" s="10" t="s">
        <v>61</v>
      </c>
      <c r="AS162" s="10">
        <v>83</v>
      </c>
      <c r="AT162" s="2" t="str">
        <f t="shared" si="62"/>
        <v>4</v>
      </c>
      <c r="AU162" s="10">
        <v>5</v>
      </c>
      <c r="AV162" s="10">
        <v>1</v>
      </c>
      <c r="AW162" s="10">
        <v>5</v>
      </c>
      <c r="AX162" s="10" t="s">
        <v>61</v>
      </c>
      <c r="AY162" s="2">
        <v>1</v>
      </c>
      <c r="AZ162" s="10">
        <v>2007</v>
      </c>
      <c r="BA162" s="2">
        <f t="shared" si="63"/>
        <v>18</v>
      </c>
      <c r="BB162" s="2" t="str">
        <f t="shared" si="64"/>
        <v>2</v>
      </c>
      <c r="BC162" s="3">
        <v>1</v>
      </c>
      <c r="BD162" s="7">
        <f t="shared" si="75"/>
        <v>1.8380000000000001</v>
      </c>
      <c r="BE162" s="62" t="s">
        <v>839</v>
      </c>
      <c r="BF162" s="62"/>
      <c r="BG162" s="62" t="s">
        <v>826</v>
      </c>
      <c r="BH162" s="2">
        <v>9740</v>
      </c>
      <c r="BI162" s="10"/>
      <c r="BJ162" s="10"/>
      <c r="BK162" s="107">
        <v>46128</v>
      </c>
      <c r="BL162" s="10" t="s">
        <v>956</v>
      </c>
      <c r="BM162" s="10"/>
      <c r="BN162" s="61" t="s">
        <v>997</v>
      </c>
    </row>
    <row r="163" spans="1:66" ht="64" x14ac:dyDescent="0.2">
      <c r="A163" s="10">
        <v>20700451</v>
      </c>
      <c r="B163" s="10">
        <v>1079537156</v>
      </c>
      <c r="C163" s="10">
        <v>6500</v>
      </c>
      <c r="D163" s="10" t="s">
        <v>73</v>
      </c>
      <c r="E163" s="10" t="s">
        <v>536</v>
      </c>
      <c r="F163" s="10" t="s">
        <v>537</v>
      </c>
      <c r="G163" s="10" t="s">
        <v>125</v>
      </c>
      <c r="H163" s="10" t="s">
        <v>126</v>
      </c>
      <c r="I163" s="10" t="s">
        <v>81</v>
      </c>
      <c r="J163" s="10" t="s">
        <v>82</v>
      </c>
      <c r="K163" s="10" t="s">
        <v>66</v>
      </c>
      <c r="L163" s="10" t="s">
        <v>76</v>
      </c>
      <c r="M163" s="10" t="s">
        <v>60</v>
      </c>
      <c r="N163" s="10" t="s">
        <v>61</v>
      </c>
      <c r="O163" s="10" t="s">
        <v>83</v>
      </c>
      <c r="P163" s="11">
        <v>11.3</v>
      </c>
      <c r="Q163" s="10">
        <v>16.5</v>
      </c>
      <c r="R163" s="10">
        <v>3.7</v>
      </c>
      <c r="S163" s="10">
        <v>1.9</v>
      </c>
      <c r="T163" s="2">
        <f t="shared" si="60"/>
        <v>33.4</v>
      </c>
      <c r="U163" s="2">
        <v>863</v>
      </c>
      <c r="V163" s="2">
        <v>1897</v>
      </c>
      <c r="W163" s="2" t="str">
        <f t="shared" si="67"/>
        <v>5</v>
      </c>
      <c r="X163" s="2" t="str">
        <f t="shared" si="68"/>
        <v>2</v>
      </c>
      <c r="Y163" s="2" t="str">
        <f t="shared" si="69"/>
        <v>1</v>
      </c>
      <c r="Z163" s="3" t="str">
        <f t="shared" si="70"/>
        <v>1</v>
      </c>
      <c r="AA163" s="10">
        <v>0.1</v>
      </c>
      <c r="AB163" s="3">
        <f t="shared" si="65"/>
        <v>2.25</v>
      </c>
      <c r="AC163" s="10">
        <v>57</v>
      </c>
      <c r="AD163" s="10">
        <v>5</v>
      </c>
      <c r="AE163" s="10">
        <v>0.02</v>
      </c>
      <c r="AF163" s="10">
        <v>43.8</v>
      </c>
      <c r="AG163" s="2">
        <f t="shared" si="71"/>
        <v>2190</v>
      </c>
      <c r="AH163" s="2" t="str">
        <f t="shared" si="72"/>
        <v>1</v>
      </c>
      <c r="AI163" s="3" t="str">
        <f t="shared" si="73"/>
        <v>1</v>
      </c>
      <c r="AJ163" s="3">
        <f t="shared" si="74"/>
        <v>1</v>
      </c>
      <c r="AK163" s="2">
        <v>14</v>
      </c>
      <c r="AL163" s="2" t="str">
        <f t="shared" si="61"/>
        <v>1</v>
      </c>
      <c r="AM163" s="10"/>
      <c r="AN163" s="10"/>
      <c r="AO163" s="10"/>
      <c r="AP163" s="10"/>
      <c r="AQ163" s="10"/>
      <c r="AR163" s="10"/>
      <c r="AS163" s="10">
        <v>50</v>
      </c>
      <c r="AT163" s="2" t="str">
        <f t="shared" si="62"/>
        <v>1</v>
      </c>
      <c r="AU163" s="10"/>
      <c r="AV163" s="10"/>
      <c r="AW163" s="10"/>
      <c r="AX163" s="10"/>
      <c r="AY163" s="2">
        <v>1</v>
      </c>
      <c r="AZ163" s="10">
        <v>2023</v>
      </c>
      <c r="BA163" s="2">
        <f t="shared" si="63"/>
        <v>2</v>
      </c>
      <c r="BB163" s="2" t="str">
        <f t="shared" si="64"/>
        <v>1</v>
      </c>
      <c r="BC163" s="3">
        <v>1</v>
      </c>
      <c r="BD163" s="7">
        <f t="shared" si="75"/>
        <v>1.25</v>
      </c>
      <c r="BE163" s="100" t="s">
        <v>828</v>
      </c>
      <c r="BF163" s="62"/>
      <c r="BG163" s="62"/>
      <c r="BH163" s="2">
        <v>5623</v>
      </c>
      <c r="BI163" s="10"/>
      <c r="BJ163" s="10"/>
      <c r="BK163" s="10"/>
      <c r="BL163" s="10"/>
      <c r="BM163" s="10"/>
    </row>
    <row r="164" spans="1:66" ht="48" x14ac:dyDescent="0.2">
      <c r="A164" s="10">
        <v>20700375</v>
      </c>
      <c r="B164" s="10">
        <v>320662</v>
      </c>
      <c r="C164" s="10">
        <v>12500</v>
      </c>
      <c r="D164" s="10" t="s">
        <v>73</v>
      </c>
      <c r="E164" s="10" t="s">
        <v>538</v>
      </c>
      <c r="F164" s="101" t="s">
        <v>539</v>
      </c>
      <c r="G164" s="10" t="s">
        <v>70</v>
      </c>
      <c r="H164" s="10" t="s">
        <v>70</v>
      </c>
      <c r="I164" s="10" t="s">
        <v>81</v>
      </c>
      <c r="J164" s="10" t="s">
        <v>143</v>
      </c>
      <c r="K164" s="10" t="s">
        <v>48</v>
      </c>
      <c r="L164" s="10" t="s">
        <v>76</v>
      </c>
      <c r="M164" s="10" t="s">
        <v>60</v>
      </c>
      <c r="N164" s="10" t="s">
        <v>61</v>
      </c>
      <c r="O164" s="10" t="s">
        <v>164</v>
      </c>
      <c r="P164" s="11">
        <v>50</v>
      </c>
      <c r="Q164" s="10">
        <v>26</v>
      </c>
      <c r="R164" s="10">
        <v>15.3</v>
      </c>
      <c r="S164" s="10">
        <v>3.1</v>
      </c>
      <c r="T164" s="2">
        <f t="shared" si="60"/>
        <v>94.399999999999991</v>
      </c>
      <c r="U164" s="2">
        <v>2954</v>
      </c>
      <c r="V164" s="2">
        <v>7800</v>
      </c>
      <c r="W164" s="2" t="str">
        <f t="shared" si="67"/>
        <v>5</v>
      </c>
      <c r="X164" s="2" t="str">
        <f t="shared" si="68"/>
        <v>5</v>
      </c>
      <c r="Y164" s="2" t="str">
        <f t="shared" si="69"/>
        <v>1</v>
      </c>
      <c r="Z164" s="3" t="str">
        <f t="shared" si="70"/>
        <v>1</v>
      </c>
      <c r="AA164" s="10">
        <v>0.8</v>
      </c>
      <c r="AB164" s="3">
        <f t="shared" si="65"/>
        <v>3</v>
      </c>
      <c r="AC164" s="10">
        <v>62</v>
      </c>
      <c r="AD164" s="10">
        <v>8</v>
      </c>
      <c r="AE164" s="10">
        <v>0.02</v>
      </c>
      <c r="AF164" s="10">
        <v>42.6</v>
      </c>
      <c r="AG164" s="2">
        <f t="shared" si="71"/>
        <v>2130</v>
      </c>
      <c r="AH164" s="2" t="str">
        <f t="shared" si="72"/>
        <v>1</v>
      </c>
      <c r="AI164" s="3" t="str">
        <f t="shared" si="73"/>
        <v>1</v>
      </c>
      <c r="AJ164" s="3">
        <f t="shared" si="74"/>
        <v>1</v>
      </c>
      <c r="AK164" s="2">
        <v>3876</v>
      </c>
      <c r="AL164" s="2" t="str">
        <f t="shared" si="61"/>
        <v>3</v>
      </c>
      <c r="AM164" s="10">
        <v>209.2</v>
      </c>
      <c r="AN164" s="10">
        <v>133.88800000000001</v>
      </c>
      <c r="AO164" s="10">
        <v>523</v>
      </c>
      <c r="AP164" s="10">
        <v>334.72</v>
      </c>
      <c r="AQ164" s="10" t="s">
        <v>61</v>
      </c>
      <c r="AR164" s="10" t="s">
        <v>61</v>
      </c>
      <c r="AS164" s="10">
        <v>72</v>
      </c>
      <c r="AT164" s="2" t="str">
        <f t="shared" si="62"/>
        <v>3</v>
      </c>
      <c r="AU164" s="10">
        <v>1</v>
      </c>
      <c r="AV164" s="10">
        <v>1</v>
      </c>
      <c r="AW164" s="10">
        <v>1</v>
      </c>
      <c r="AX164" s="10">
        <v>1</v>
      </c>
      <c r="AY164" s="2">
        <v>5</v>
      </c>
      <c r="AZ164" s="10">
        <v>2010</v>
      </c>
      <c r="BA164" s="2">
        <f t="shared" si="63"/>
        <v>15</v>
      </c>
      <c r="BB164" s="2" t="str">
        <f t="shared" si="64"/>
        <v>2</v>
      </c>
      <c r="BC164" s="3">
        <v>1</v>
      </c>
      <c r="BD164" s="7">
        <f t="shared" si="75"/>
        <v>2.4700000000000002</v>
      </c>
      <c r="BE164" s="62" t="s">
        <v>850</v>
      </c>
      <c r="BF164" s="62" t="s">
        <v>809</v>
      </c>
      <c r="BG164" s="62" t="s">
        <v>885</v>
      </c>
      <c r="BH164" s="2">
        <v>10570</v>
      </c>
      <c r="BI164" s="10"/>
      <c r="BJ164" s="10"/>
      <c r="BK164" s="10"/>
      <c r="BL164" s="10"/>
      <c r="BM164" s="10"/>
      <c r="BN164" s="61" t="s">
        <v>998</v>
      </c>
    </row>
    <row r="165" spans="1:66" ht="64" x14ac:dyDescent="0.2">
      <c r="A165" s="10">
        <v>20028365</v>
      </c>
      <c r="B165" s="10">
        <v>10158</v>
      </c>
      <c r="C165" s="10">
        <v>2000</v>
      </c>
      <c r="D165" s="10" t="s">
        <v>73</v>
      </c>
      <c r="E165" s="10" t="s">
        <v>542</v>
      </c>
      <c r="F165" s="10" t="s">
        <v>543</v>
      </c>
      <c r="G165" s="10" t="s">
        <v>58</v>
      </c>
      <c r="H165" s="10" t="s">
        <v>64</v>
      </c>
      <c r="I165" s="10" t="s">
        <v>65</v>
      </c>
      <c r="J165" s="10" t="s">
        <v>61</v>
      </c>
      <c r="K165" s="10" t="s">
        <v>66</v>
      </c>
      <c r="L165" s="10" t="s">
        <v>76</v>
      </c>
      <c r="M165" s="10" t="s">
        <v>60</v>
      </c>
      <c r="N165" s="10" t="s">
        <v>61</v>
      </c>
      <c r="O165" s="10" t="s">
        <v>77</v>
      </c>
      <c r="P165" s="11">
        <v>3.4</v>
      </c>
      <c r="Q165" s="10">
        <v>5.5</v>
      </c>
      <c r="R165" s="10">
        <v>23</v>
      </c>
      <c r="S165" s="10">
        <v>1.9</v>
      </c>
      <c r="T165" s="2">
        <f t="shared" si="60"/>
        <v>33.799999999999997</v>
      </c>
      <c r="U165" s="10">
        <v>304</v>
      </c>
      <c r="V165" s="10">
        <v>1616</v>
      </c>
      <c r="W165" s="2" t="str">
        <f t="shared" si="67"/>
        <v>3</v>
      </c>
      <c r="X165" s="2" t="str">
        <f t="shared" si="68"/>
        <v>2</v>
      </c>
      <c r="Y165" s="2" t="str">
        <f t="shared" si="69"/>
        <v>1</v>
      </c>
      <c r="Z165" s="3" t="str">
        <f t="shared" si="70"/>
        <v>1</v>
      </c>
      <c r="AA165" s="10">
        <v>0</v>
      </c>
      <c r="AB165" s="3">
        <f t="shared" si="65"/>
        <v>1.75</v>
      </c>
      <c r="AC165" s="10">
        <v>49</v>
      </c>
      <c r="AD165" s="10">
        <v>7</v>
      </c>
      <c r="AE165" s="10">
        <v>0.02</v>
      </c>
      <c r="AF165" s="10">
        <v>35.700000000000003</v>
      </c>
      <c r="AG165" s="2">
        <f t="shared" si="71"/>
        <v>1785</v>
      </c>
      <c r="AH165" s="2" t="str">
        <f t="shared" si="72"/>
        <v>1</v>
      </c>
      <c r="AI165" s="3" t="str">
        <f t="shared" si="73"/>
        <v>1</v>
      </c>
      <c r="AJ165" s="3">
        <f t="shared" si="74"/>
        <v>1</v>
      </c>
      <c r="AK165" s="2">
        <v>14</v>
      </c>
      <c r="AL165" s="2" t="str">
        <f t="shared" si="61"/>
        <v>1</v>
      </c>
      <c r="AM165" s="10">
        <v>33.47</v>
      </c>
      <c r="AN165" s="10">
        <v>13.388</v>
      </c>
      <c r="AO165" s="10">
        <v>83.67</v>
      </c>
      <c r="AP165" s="10">
        <v>33.468000000000004</v>
      </c>
      <c r="AQ165" s="10" t="s">
        <v>61</v>
      </c>
      <c r="AR165" s="10" t="s">
        <v>61</v>
      </c>
      <c r="AS165" s="10">
        <v>40</v>
      </c>
      <c r="AT165" s="2" t="str">
        <f t="shared" si="62"/>
        <v>1</v>
      </c>
      <c r="AU165" s="10">
        <v>1</v>
      </c>
      <c r="AV165" s="10">
        <v>1</v>
      </c>
      <c r="AW165" s="10">
        <v>1</v>
      </c>
      <c r="AX165" s="10" t="s">
        <v>61</v>
      </c>
      <c r="AY165" s="2">
        <v>1</v>
      </c>
      <c r="AZ165" s="10">
        <v>2012</v>
      </c>
      <c r="BA165" s="2">
        <f t="shared" si="63"/>
        <v>13</v>
      </c>
      <c r="BB165" s="2" t="str">
        <f t="shared" si="64"/>
        <v>2</v>
      </c>
      <c r="BC165" s="3">
        <v>1</v>
      </c>
      <c r="BD165" s="7">
        <f t="shared" si="75"/>
        <v>1.2000000000000002</v>
      </c>
      <c r="BE165" s="100" t="s">
        <v>828</v>
      </c>
      <c r="BF165" s="62"/>
      <c r="BG165" s="8" t="s">
        <v>868</v>
      </c>
      <c r="BH165" s="2">
        <v>1735</v>
      </c>
      <c r="BI165" s="10"/>
      <c r="BJ165" s="10"/>
      <c r="BK165" s="10"/>
      <c r="BL165" s="10"/>
      <c r="BM165" s="10"/>
    </row>
    <row r="166" spans="1:66" ht="80" x14ac:dyDescent="0.2">
      <c r="A166" s="10">
        <v>20017465</v>
      </c>
      <c r="B166" s="10" t="s">
        <v>544</v>
      </c>
      <c r="C166" s="10">
        <v>8000</v>
      </c>
      <c r="D166" s="10" t="s">
        <v>73</v>
      </c>
      <c r="E166" s="10" t="s">
        <v>545</v>
      </c>
      <c r="F166" s="10" t="s">
        <v>546</v>
      </c>
      <c r="G166" s="10" t="s">
        <v>70</v>
      </c>
      <c r="H166" s="10" t="s">
        <v>70</v>
      </c>
      <c r="I166" s="10" t="s">
        <v>81</v>
      </c>
      <c r="J166" s="10" t="s">
        <v>82</v>
      </c>
      <c r="K166" s="10" t="s">
        <v>48</v>
      </c>
      <c r="L166" s="10">
        <v>66</v>
      </c>
      <c r="M166" s="10" t="s">
        <v>137</v>
      </c>
      <c r="N166" s="10" t="s">
        <v>60</v>
      </c>
      <c r="O166" s="10" t="s">
        <v>547</v>
      </c>
      <c r="P166" s="11">
        <v>5.9</v>
      </c>
      <c r="Q166" s="10">
        <v>19.899999999999999</v>
      </c>
      <c r="R166" s="10">
        <v>50</v>
      </c>
      <c r="S166" s="10">
        <v>9.3000000000000007</v>
      </c>
      <c r="T166" s="2">
        <f t="shared" si="60"/>
        <v>85.1</v>
      </c>
      <c r="U166" s="10">
        <v>1964</v>
      </c>
      <c r="V166" s="10">
        <v>5715</v>
      </c>
      <c r="W166" s="2" t="str">
        <f t="shared" si="67"/>
        <v>5</v>
      </c>
      <c r="X166" s="2" t="str">
        <f t="shared" si="68"/>
        <v>4</v>
      </c>
      <c r="Y166" s="2" t="str">
        <f t="shared" si="69"/>
        <v>1</v>
      </c>
      <c r="Z166" s="3" t="str">
        <f t="shared" si="70"/>
        <v>1</v>
      </c>
      <c r="AA166" s="10">
        <v>0</v>
      </c>
      <c r="AB166" s="3">
        <f t="shared" si="65"/>
        <v>2.75</v>
      </c>
      <c r="AC166" s="10">
        <v>39</v>
      </c>
      <c r="AD166" s="10">
        <v>15</v>
      </c>
      <c r="AE166" s="10">
        <v>0.02</v>
      </c>
      <c r="AF166" s="10">
        <v>40.1</v>
      </c>
      <c r="AG166" s="2">
        <f t="shared" si="71"/>
        <v>2005</v>
      </c>
      <c r="AH166" s="2" t="str">
        <f t="shared" si="72"/>
        <v>1</v>
      </c>
      <c r="AI166" s="3" t="str">
        <f t="shared" si="73"/>
        <v>1</v>
      </c>
      <c r="AJ166" s="3">
        <f t="shared" si="74"/>
        <v>1</v>
      </c>
      <c r="AK166" s="2">
        <v>153</v>
      </c>
      <c r="AL166" s="2" t="str">
        <f t="shared" si="61"/>
        <v>1</v>
      </c>
      <c r="AM166" s="10">
        <v>70</v>
      </c>
      <c r="AN166" s="10">
        <v>34.299999999999997</v>
      </c>
      <c r="AO166" s="10">
        <v>66.900000000000006</v>
      </c>
      <c r="AP166" s="10">
        <v>32.780999999999999</v>
      </c>
      <c r="AQ166" s="10">
        <v>167.3</v>
      </c>
      <c r="AR166" s="10">
        <v>97.034000000000006</v>
      </c>
      <c r="AS166" s="10">
        <v>49</v>
      </c>
      <c r="AT166" s="2" t="str">
        <f t="shared" si="62"/>
        <v>1</v>
      </c>
      <c r="AU166" s="10">
        <v>1</v>
      </c>
      <c r="AV166" s="10">
        <v>1</v>
      </c>
      <c r="AW166" s="10">
        <v>1</v>
      </c>
      <c r="AX166" s="10">
        <v>1</v>
      </c>
      <c r="AY166" s="2">
        <v>1</v>
      </c>
      <c r="AZ166" s="10">
        <v>1984</v>
      </c>
      <c r="BA166" s="2">
        <f t="shared" si="63"/>
        <v>41</v>
      </c>
      <c r="BB166" s="2" t="str">
        <f t="shared" si="64"/>
        <v>5</v>
      </c>
      <c r="BC166" s="3">
        <v>1</v>
      </c>
      <c r="BD166" s="7">
        <f t="shared" si="75"/>
        <v>1.55</v>
      </c>
      <c r="BE166" s="62" t="s">
        <v>827</v>
      </c>
      <c r="BF166" s="62"/>
      <c r="BG166" s="62"/>
      <c r="BH166" s="2">
        <v>1883</v>
      </c>
      <c r="BI166" s="10"/>
      <c r="BJ166" s="10"/>
      <c r="BK166" s="10"/>
      <c r="BL166" s="10"/>
      <c r="BM166" s="10"/>
      <c r="BN166" s="61" t="s">
        <v>998</v>
      </c>
    </row>
    <row r="167" spans="1:66" ht="64" x14ac:dyDescent="0.2">
      <c r="A167" s="10">
        <v>20017465</v>
      </c>
      <c r="B167" s="10">
        <v>55420119</v>
      </c>
      <c r="C167" s="10">
        <v>8000</v>
      </c>
      <c r="D167" s="10" t="s">
        <v>73</v>
      </c>
      <c r="E167" s="10" t="s">
        <v>545</v>
      </c>
      <c r="F167" s="10" t="s">
        <v>548</v>
      </c>
      <c r="G167" s="10" t="s">
        <v>70</v>
      </c>
      <c r="H167" s="10" t="s">
        <v>70</v>
      </c>
      <c r="I167" s="10" t="s">
        <v>81</v>
      </c>
      <c r="J167" s="10" t="s">
        <v>82</v>
      </c>
      <c r="K167" s="10" t="s">
        <v>48</v>
      </c>
      <c r="L167" s="10">
        <v>66</v>
      </c>
      <c r="M167" s="10" t="s">
        <v>137</v>
      </c>
      <c r="N167" s="10" t="s">
        <v>60</v>
      </c>
      <c r="O167" s="10" t="s">
        <v>547</v>
      </c>
      <c r="P167" s="11">
        <v>6</v>
      </c>
      <c r="Q167" s="10">
        <v>18.399999999999999</v>
      </c>
      <c r="R167" s="10">
        <v>8.1999999999999993</v>
      </c>
      <c r="S167" s="10">
        <v>2.4</v>
      </c>
      <c r="T167" s="2">
        <f t="shared" si="60"/>
        <v>34.999999999999993</v>
      </c>
      <c r="U167" s="10">
        <v>2178</v>
      </c>
      <c r="V167" s="10">
        <v>6304</v>
      </c>
      <c r="W167" s="2" t="str">
        <f t="shared" si="67"/>
        <v>5</v>
      </c>
      <c r="X167" s="2" t="str">
        <f t="shared" si="68"/>
        <v>4</v>
      </c>
      <c r="Y167" s="2" t="str">
        <f t="shared" si="69"/>
        <v>1</v>
      </c>
      <c r="Z167" s="3" t="str">
        <f t="shared" si="70"/>
        <v>1</v>
      </c>
      <c r="AA167" s="10">
        <v>0</v>
      </c>
      <c r="AB167" s="3">
        <f t="shared" si="65"/>
        <v>2.75</v>
      </c>
      <c r="AC167" s="10">
        <v>59</v>
      </c>
      <c r="AD167" s="10">
        <v>9</v>
      </c>
      <c r="AE167" s="10">
        <v>0.02</v>
      </c>
      <c r="AF167" s="10">
        <v>45.2</v>
      </c>
      <c r="AG167" s="2">
        <f t="shared" si="71"/>
        <v>2260</v>
      </c>
      <c r="AH167" s="2" t="str">
        <f t="shared" si="72"/>
        <v>1</v>
      </c>
      <c r="AI167" s="3" t="str">
        <f t="shared" si="73"/>
        <v>1</v>
      </c>
      <c r="AJ167" s="3">
        <f t="shared" si="74"/>
        <v>1</v>
      </c>
      <c r="AK167" s="2">
        <v>14</v>
      </c>
      <c r="AL167" s="2" t="str">
        <f t="shared" si="61"/>
        <v>1</v>
      </c>
      <c r="AM167" s="10">
        <v>66.94</v>
      </c>
      <c r="AN167" s="10">
        <v>32.800599999999996</v>
      </c>
      <c r="AO167" s="10">
        <v>66.94</v>
      </c>
      <c r="AP167" s="10">
        <v>32.800599999999996</v>
      </c>
      <c r="AQ167" s="10">
        <v>167.35</v>
      </c>
      <c r="AR167" s="10">
        <v>97.062999999999988</v>
      </c>
      <c r="AS167" s="10">
        <v>49</v>
      </c>
      <c r="AT167" s="2" t="str">
        <f t="shared" si="62"/>
        <v>1</v>
      </c>
      <c r="AU167" s="10">
        <v>1</v>
      </c>
      <c r="AV167" s="10">
        <v>1</v>
      </c>
      <c r="AW167" s="10">
        <v>1</v>
      </c>
      <c r="AX167" s="10">
        <v>1</v>
      </c>
      <c r="AY167" s="2">
        <v>1</v>
      </c>
      <c r="AZ167" s="10">
        <v>2019</v>
      </c>
      <c r="BA167" s="2">
        <f t="shared" si="63"/>
        <v>6</v>
      </c>
      <c r="BB167" s="2" t="str">
        <f t="shared" si="64"/>
        <v>1</v>
      </c>
      <c r="BC167" s="3">
        <v>1</v>
      </c>
      <c r="BD167" s="7">
        <f t="shared" si="75"/>
        <v>1.35</v>
      </c>
      <c r="BE167" s="100" t="s">
        <v>828</v>
      </c>
      <c r="BF167" s="62"/>
      <c r="BG167" s="62"/>
      <c r="BH167" s="2">
        <v>5921</v>
      </c>
      <c r="BI167" s="10"/>
      <c r="BJ167" s="10"/>
      <c r="BK167" s="10"/>
      <c r="BL167" s="10"/>
      <c r="BM167" s="10"/>
      <c r="BN167" s="61" t="s">
        <v>61</v>
      </c>
    </row>
    <row r="168" spans="1:66" ht="48" x14ac:dyDescent="0.2">
      <c r="A168" s="10">
        <v>20700441</v>
      </c>
      <c r="B168" s="10">
        <v>338077</v>
      </c>
      <c r="C168" s="10">
        <v>6500</v>
      </c>
      <c r="D168" s="10" t="s">
        <v>73</v>
      </c>
      <c r="E168" s="10" t="s">
        <v>549</v>
      </c>
      <c r="F168" s="101" t="s">
        <v>550</v>
      </c>
      <c r="G168" s="10" t="s">
        <v>70</v>
      </c>
      <c r="H168" s="10" t="s">
        <v>70</v>
      </c>
      <c r="I168" s="10" t="s">
        <v>81</v>
      </c>
      <c r="J168" s="10" t="s">
        <v>82</v>
      </c>
      <c r="K168" s="10" t="s">
        <v>66</v>
      </c>
      <c r="L168" s="10" t="s">
        <v>76</v>
      </c>
      <c r="M168" s="10" t="s">
        <v>60</v>
      </c>
      <c r="N168" s="10" t="s">
        <v>61</v>
      </c>
      <c r="O168" s="10" t="s">
        <v>83</v>
      </c>
      <c r="P168" s="11">
        <v>2.2999999999999998</v>
      </c>
      <c r="Q168" s="10">
        <v>32</v>
      </c>
      <c r="R168" s="10">
        <v>9.1999999999999993</v>
      </c>
      <c r="S168" s="10">
        <v>5.7</v>
      </c>
      <c r="T168" s="2">
        <f t="shared" si="60"/>
        <v>49.2</v>
      </c>
      <c r="U168" s="10">
        <v>1693</v>
      </c>
      <c r="V168" s="10">
        <v>15627</v>
      </c>
      <c r="W168" s="2" t="str">
        <f t="shared" si="67"/>
        <v>5</v>
      </c>
      <c r="X168" s="2" t="str">
        <f t="shared" si="68"/>
        <v>5</v>
      </c>
      <c r="Y168" s="2" t="str">
        <f t="shared" si="69"/>
        <v>1</v>
      </c>
      <c r="Z168" s="3" t="str">
        <f t="shared" si="70"/>
        <v>1</v>
      </c>
      <c r="AA168" s="10">
        <v>0</v>
      </c>
      <c r="AB168" s="3">
        <f t="shared" si="65"/>
        <v>3</v>
      </c>
      <c r="AC168" s="10">
        <v>62</v>
      </c>
      <c r="AD168" s="10">
        <v>8</v>
      </c>
      <c r="AE168" s="10">
        <v>0.02</v>
      </c>
      <c r="AF168" s="10">
        <v>33.5</v>
      </c>
      <c r="AG168" s="2">
        <f t="shared" si="71"/>
        <v>1675</v>
      </c>
      <c r="AH168" s="2" t="str">
        <f t="shared" si="72"/>
        <v>1</v>
      </c>
      <c r="AI168" s="3" t="str">
        <f t="shared" si="73"/>
        <v>1</v>
      </c>
      <c r="AJ168" s="3">
        <f t="shared" si="74"/>
        <v>1</v>
      </c>
      <c r="AK168" s="2">
        <v>3987</v>
      </c>
      <c r="AL168" s="2" t="str">
        <f t="shared" si="61"/>
        <v>3</v>
      </c>
      <c r="AM168" s="10">
        <v>108.8</v>
      </c>
      <c r="AN168" s="10">
        <v>112.06399999999999</v>
      </c>
      <c r="AO168" s="10">
        <v>271.89999999999998</v>
      </c>
      <c r="AP168" s="10">
        <v>280.05699999999996</v>
      </c>
      <c r="AQ168" s="10" t="s">
        <v>61</v>
      </c>
      <c r="AR168" s="10" t="s">
        <v>61</v>
      </c>
      <c r="AS168" s="10">
        <v>103</v>
      </c>
      <c r="AT168" s="2" t="str">
        <f t="shared" si="62"/>
        <v>5</v>
      </c>
      <c r="AU168" s="10">
        <v>1</v>
      </c>
      <c r="AV168" s="10">
        <v>1</v>
      </c>
      <c r="AW168" s="10">
        <v>1</v>
      </c>
      <c r="AX168" s="10" t="s">
        <v>61</v>
      </c>
      <c r="AY168" s="2">
        <v>1</v>
      </c>
      <c r="AZ168" s="10">
        <v>2011</v>
      </c>
      <c r="BA168" s="2">
        <f t="shared" si="63"/>
        <v>14</v>
      </c>
      <c r="BB168" s="2" t="str">
        <f t="shared" si="64"/>
        <v>2</v>
      </c>
      <c r="BC168" s="3">
        <v>1</v>
      </c>
      <c r="BD168" s="7">
        <v>4</v>
      </c>
      <c r="BE168" s="10" t="s">
        <v>976</v>
      </c>
      <c r="BF168" s="62"/>
      <c r="BG168" s="8" t="s">
        <v>979</v>
      </c>
      <c r="BH168" s="2">
        <v>9621</v>
      </c>
      <c r="BI168" s="10"/>
      <c r="BJ168" s="10" t="s">
        <v>920</v>
      </c>
      <c r="BK168" s="107">
        <v>46235</v>
      </c>
      <c r="BL168" s="10" t="s">
        <v>972</v>
      </c>
      <c r="BM168" s="10"/>
      <c r="BN168" s="61" t="s">
        <v>997</v>
      </c>
    </row>
    <row r="169" spans="1:66" ht="48" x14ac:dyDescent="0.2">
      <c r="A169" s="10">
        <v>20018390</v>
      </c>
      <c r="B169" s="10">
        <v>147862</v>
      </c>
      <c r="C169" s="10">
        <v>300</v>
      </c>
      <c r="D169" s="10" t="s">
        <v>73</v>
      </c>
      <c r="E169" s="10" t="s">
        <v>553</v>
      </c>
      <c r="F169" s="10" t="s">
        <v>554</v>
      </c>
      <c r="G169" s="10" t="s">
        <v>70</v>
      </c>
      <c r="H169" s="10" t="s">
        <v>70</v>
      </c>
      <c r="I169" s="10" t="s">
        <v>65</v>
      </c>
      <c r="J169" s="10" t="s">
        <v>61</v>
      </c>
      <c r="K169" s="10" t="s">
        <v>66</v>
      </c>
      <c r="L169" s="10" t="s">
        <v>76</v>
      </c>
      <c r="M169" s="10" t="s">
        <v>60</v>
      </c>
      <c r="N169" s="10" t="s">
        <v>61</v>
      </c>
      <c r="O169" s="10" t="s">
        <v>77</v>
      </c>
      <c r="P169" s="11">
        <v>153</v>
      </c>
      <c r="Q169" s="10">
        <v>2647</v>
      </c>
      <c r="R169" s="10">
        <v>5104</v>
      </c>
      <c r="S169" s="10">
        <v>1518</v>
      </c>
      <c r="T169" s="2">
        <f t="shared" si="60"/>
        <v>9422</v>
      </c>
      <c r="U169" s="10">
        <v>549</v>
      </c>
      <c r="V169" s="10">
        <v>8298</v>
      </c>
      <c r="W169" s="2" t="str">
        <f t="shared" si="67"/>
        <v>3</v>
      </c>
      <c r="X169" s="2" t="str">
        <f t="shared" si="68"/>
        <v>5</v>
      </c>
      <c r="Y169" s="2" t="str">
        <f t="shared" si="69"/>
        <v>5</v>
      </c>
      <c r="Z169" s="3" t="str">
        <f t="shared" si="70"/>
        <v>5</v>
      </c>
      <c r="AA169" s="10">
        <v>107</v>
      </c>
      <c r="AB169" s="3">
        <f t="shared" si="65"/>
        <v>4.5</v>
      </c>
      <c r="AC169" s="10">
        <v>12</v>
      </c>
      <c r="AD169" s="10">
        <v>46</v>
      </c>
      <c r="AE169" s="10">
        <v>0.02</v>
      </c>
      <c r="AF169" s="10">
        <v>38.9</v>
      </c>
      <c r="AG169" s="2">
        <f t="shared" si="71"/>
        <v>1945</v>
      </c>
      <c r="AH169" s="2" t="str">
        <f t="shared" si="72"/>
        <v>5</v>
      </c>
      <c r="AI169" s="3" t="str">
        <f t="shared" si="73"/>
        <v>1</v>
      </c>
      <c r="AJ169" s="3">
        <f t="shared" si="74"/>
        <v>4.2</v>
      </c>
      <c r="AK169" s="2">
        <v>247</v>
      </c>
      <c r="AL169" s="2" t="str">
        <f t="shared" si="61"/>
        <v>1</v>
      </c>
      <c r="AM169" s="55">
        <v>5</v>
      </c>
      <c r="AN169" s="55">
        <v>2.15</v>
      </c>
      <c r="AO169" s="55">
        <v>13</v>
      </c>
      <c r="AP169" s="55">
        <v>5.59</v>
      </c>
      <c r="AQ169" s="55" t="s">
        <v>61</v>
      </c>
      <c r="AR169" s="55" t="s">
        <v>61</v>
      </c>
      <c r="AS169" s="55">
        <v>99</v>
      </c>
      <c r="AT169" s="2" t="str">
        <f t="shared" si="62"/>
        <v>5</v>
      </c>
      <c r="AU169" s="55">
        <v>1</v>
      </c>
      <c r="AV169" s="55">
        <v>1</v>
      </c>
      <c r="AW169" s="55">
        <v>5</v>
      </c>
      <c r="AX169" s="55" t="s">
        <v>61</v>
      </c>
      <c r="AY169" s="2">
        <v>5</v>
      </c>
      <c r="AZ169" s="55">
        <v>1991</v>
      </c>
      <c r="BA169" s="57">
        <f t="shared" si="63"/>
        <v>34</v>
      </c>
      <c r="BB169" s="2" t="str">
        <f t="shared" si="64"/>
        <v>5</v>
      </c>
      <c r="BC169" s="3">
        <v>1</v>
      </c>
      <c r="BD169" s="7">
        <v>4</v>
      </c>
      <c r="BE169" s="62" t="s">
        <v>984</v>
      </c>
      <c r="BF169" s="106" t="s">
        <v>905</v>
      </c>
      <c r="BG169" s="62" t="s">
        <v>985</v>
      </c>
      <c r="BH169" s="2">
        <v>283</v>
      </c>
      <c r="BI169" s="10"/>
      <c r="BJ169" s="10" t="s">
        <v>920</v>
      </c>
      <c r="BK169" s="107">
        <v>46169</v>
      </c>
      <c r="BL169" s="10" t="s">
        <v>935</v>
      </c>
      <c r="BM169" s="10"/>
      <c r="BN169" s="61" t="s">
        <v>61</v>
      </c>
    </row>
    <row r="170" spans="1:66" ht="16" x14ac:dyDescent="0.2">
      <c r="A170" s="10">
        <v>20038378</v>
      </c>
      <c r="B170" s="10">
        <v>200025</v>
      </c>
      <c r="C170" s="10">
        <v>30000</v>
      </c>
      <c r="D170" s="10" t="s">
        <v>152</v>
      </c>
      <c r="E170" s="10" t="s">
        <v>557</v>
      </c>
      <c r="F170" s="10" t="s">
        <v>558</v>
      </c>
      <c r="G170" s="10" t="s">
        <v>125</v>
      </c>
      <c r="H170" s="10" t="s">
        <v>148</v>
      </c>
      <c r="I170" s="10" t="s">
        <v>81</v>
      </c>
      <c r="J170" s="10" t="s">
        <v>143</v>
      </c>
      <c r="K170" s="10" t="s">
        <v>48</v>
      </c>
      <c r="L170" s="10">
        <v>110</v>
      </c>
      <c r="M170" s="10" t="s">
        <v>137</v>
      </c>
      <c r="N170" s="10" t="s">
        <v>60</v>
      </c>
      <c r="O170" s="10" t="s">
        <v>243</v>
      </c>
      <c r="P170" s="11">
        <v>3.7</v>
      </c>
      <c r="Q170" s="10">
        <v>5.3</v>
      </c>
      <c r="R170" s="10">
        <v>4.5</v>
      </c>
      <c r="S170" s="10">
        <v>0.9</v>
      </c>
      <c r="T170" s="2">
        <f t="shared" si="60"/>
        <v>14.4</v>
      </c>
      <c r="U170" s="10">
        <v>602</v>
      </c>
      <c r="V170" s="10">
        <v>3318</v>
      </c>
      <c r="W170" s="2" t="str">
        <f t="shared" si="67"/>
        <v>4</v>
      </c>
      <c r="X170" s="2" t="str">
        <f t="shared" si="68"/>
        <v>3</v>
      </c>
      <c r="Y170" s="2" t="str">
        <f t="shared" si="69"/>
        <v>1</v>
      </c>
      <c r="Z170" s="3" t="str">
        <f t="shared" si="70"/>
        <v>1</v>
      </c>
      <c r="AA170" s="10">
        <v>0</v>
      </c>
      <c r="AB170" s="3">
        <f t="shared" si="65"/>
        <v>2.25</v>
      </c>
      <c r="AC170" s="10">
        <v>41</v>
      </c>
      <c r="AD170" s="10">
        <v>10</v>
      </c>
      <c r="AE170" s="10">
        <v>0.02</v>
      </c>
      <c r="AF170" s="10">
        <v>42.7</v>
      </c>
      <c r="AG170" s="2">
        <f t="shared" si="71"/>
        <v>2135</v>
      </c>
      <c r="AH170" s="2" t="str">
        <f t="shared" si="72"/>
        <v>1</v>
      </c>
      <c r="AI170" s="3" t="str">
        <f t="shared" si="73"/>
        <v>1</v>
      </c>
      <c r="AJ170" s="3">
        <f t="shared" si="74"/>
        <v>1</v>
      </c>
      <c r="AK170" s="2">
        <v>3700</v>
      </c>
      <c r="AL170" s="2" t="str">
        <f t="shared" si="61"/>
        <v>3</v>
      </c>
      <c r="AM170" s="10">
        <v>157.5</v>
      </c>
      <c r="AN170" s="10">
        <v>63</v>
      </c>
      <c r="AO170" s="10">
        <v>334.7</v>
      </c>
      <c r="AP170" s="10">
        <v>80.327999999999989</v>
      </c>
      <c r="AQ170" s="10">
        <v>627.6</v>
      </c>
      <c r="AR170" s="10">
        <v>282.42</v>
      </c>
      <c r="AS170" s="10">
        <v>45</v>
      </c>
      <c r="AT170" s="2" t="str">
        <f t="shared" si="62"/>
        <v>1</v>
      </c>
      <c r="AU170" s="10">
        <v>1</v>
      </c>
      <c r="AV170" s="10">
        <v>1</v>
      </c>
      <c r="AW170" s="10">
        <v>1</v>
      </c>
      <c r="AX170" s="10">
        <v>1</v>
      </c>
      <c r="AY170" s="2">
        <v>1</v>
      </c>
      <c r="AZ170" s="10">
        <v>1998</v>
      </c>
      <c r="BA170" s="2">
        <f t="shared" si="63"/>
        <v>27</v>
      </c>
      <c r="BB170" s="2" t="str">
        <f t="shared" si="64"/>
        <v>4</v>
      </c>
      <c r="BC170" s="3">
        <v>1</v>
      </c>
      <c r="BD170" s="7">
        <f t="shared" ref="BD170:BD178" si="76">(AB170*0.2)+(AJ170*0.23)+(AL170*0.05)+(AT170*0.1)+(AY170*0.18)+(BB170*0.05)+(BC170*0.19)</f>
        <v>1.5</v>
      </c>
      <c r="BE170" s="62" t="s">
        <v>105</v>
      </c>
      <c r="BF170" s="62"/>
      <c r="BG170" s="8" t="s">
        <v>815</v>
      </c>
      <c r="BH170" s="2">
        <v>13503</v>
      </c>
      <c r="BI170" s="10"/>
      <c r="BJ170" s="10"/>
      <c r="BK170" s="107">
        <v>46177</v>
      </c>
      <c r="BL170" s="10" t="s">
        <v>957</v>
      </c>
      <c r="BM170" s="10"/>
      <c r="BN170" s="61" t="s">
        <v>998</v>
      </c>
    </row>
    <row r="171" spans="1:66" ht="64" x14ac:dyDescent="0.2">
      <c r="A171" s="10">
        <v>20700342</v>
      </c>
      <c r="B171" s="10">
        <v>291382</v>
      </c>
      <c r="C171" s="10">
        <v>3000</v>
      </c>
      <c r="D171" s="10" t="s">
        <v>73</v>
      </c>
      <c r="E171" s="10" t="s">
        <v>559</v>
      </c>
      <c r="F171" s="101" t="s">
        <v>560</v>
      </c>
      <c r="G171" s="10" t="s">
        <v>58</v>
      </c>
      <c r="H171" s="10" t="s">
        <v>70</v>
      </c>
      <c r="I171" s="10" t="s">
        <v>65</v>
      </c>
      <c r="J171" s="10" t="s">
        <v>61</v>
      </c>
      <c r="K171" s="10" t="s">
        <v>66</v>
      </c>
      <c r="L171" s="10" t="s">
        <v>76</v>
      </c>
      <c r="M171" s="10" t="s">
        <v>60</v>
      </c>
      <c r="N171" s="10" t="s">
        <v>61</v>
      </c>
      <c r="O171" s="10" t="s">
        <v>130</v>
      </c>
      <c r="P171" s="11">
        <v>27</v>
      </c>
      <c r="Q171" s="10">
        <v>10.4</v>
      </c>
      <c r="R171" s="10">
        <v>72</v>
      </c>
      <c r="S171" s="10">
        <v>3.4</v>
      </c>
      <c r="T171" s="2">
        <f t="shared" si="60"/>
        <v>112.80000000000001</v>
      </c>
      <c r="U171" s="10">
        <v>1348</v>
      </c>
      <c r="V171" s="10">
        <v>13627</v>
      </c>
      <c r="W171" s="2" t="str">
        <f t="shared" si="67"/>
        <v>5</v>
      </c>
      <c r="X171" s="2" t="str">
        <f t="shared" si="68"/>
        <v>5</v>
      </c>
      <c r="Y171" s="2" t="str">
        <f t="shared" si="69"/>
        <v>2</v>
      </c>
      <c r="Z171" s="3" t="str">
        <f t="shared" si="70"/>
        <v>1</v>
      </c>
      <c r="AA171" s="10">
        <v>0</v>
      </c>
      <c r="AB171" s="3">
        <f t="shared" si="65"/>
        <v>3.25</v>
      </c>
      <c r="AC171" s="10">
        <v>21</v>
      </c>
      <c r="AD171" s="10">
        <v>31</v>
      </c>
      <c r="AE171" s="10">
        <v>0.04</v>
      </c>
      <c r="AF171" s="10">
        <v>34.700000000000003</v>
      </c>
      <c r="AG171" s="2">
        <f t="shared" si="71"/>
        <v>867.5</v>
      </c>
      <c r="AH171" s="2" t="str">
        <f t="shared" si="72"/>
        <v>3</v>
      </c>
      <c r="AI171" s="3" t="str">
        <f t="shared" si="73"/>
        <v>4</v>
      </c>
      <c r="AJ171" s="3">
        <f t="shared" si="74"/>
        <v>3.2</v>
      </c>
      <c r="AK171" s="2">
        <v>384</v>
      </c>
      <c r="AL171" s="2" t="str">
        <f t="shared" si="61"/>
        <v>1</v>
      </c>
      <c r="AM171" s="10">
        <v>50.2</v>
      </c>
      <c r="AN171" s="10">
        <v>44.678000000000004</v>
      </c>
      <c r="AO171" s="10">
        <v>125.5</v>
      </c>
      <c r="AP171" s="10">
        <v>112.95</v>
      </c>
      <c r="AQ171" s="10" t="s">
        <v>61</v>
      </c>
      <c r="AR171" s="10" t="s">
        <v>61</v>
      </c>
      <c r="AS171" s="10">
        <v>110</v>
      </c>
      <c r="AT171" s="2" t="str">
        <f t="shared" si="62"/>
        <v>5</v>
      </c>
      <c r="AU171" s="10">
        <v>1</v>
      </c>
      <c r="AV171" s="10">
        <v>1</v>
      </c>
      <c r="AW171" s="10">
        <v>1</v>
      </c>
      <c r="AX171" s="10" t="s">
        <v>61</v>
      </c>
      <c r="AY171" s="2">
        <v>1</v>
      </c>
      <c r="AZ171" s="10">
        <v>2008</v>
      </c>
      <c r="BA171" s="2">
        <f t="shared" si="63"/>
        <v>17</v>
      </c>
      <c r="BB171" s="2" t="str">
        <f t="shared" si="64"/>
        <v>2</v>
      </c>
      <c r="BC171" s="3">
        <v>1</v>
      </c>
      <c r="BD171" s="7">
        <v>4</v>
      </c>
      <c r="BE171" s="10" t="s">
        <v>976</v>
      </c>
      <c r="BF171" s="62"/>
      <c r="BG171" s="8" t="s">
        <v>981</v>
      </c>
      <c r="BH171" s="2">
        <v>3930</v>
      </c>
      <c r="BI171" s="10"/>
      <c r="BJ171" s="10" t="s">
        <v>923</v>
      </c>
      <c r="BK171" s="107">
        <v>46036</v>
      </c>
      <c r="BL171" s="10" t="s">
        <v>934</v>
      </c>
      <c r="BM171" s="10"/>
      <c r="BN171" s="61" t="s">
        <v>61</v>
      </c>
    </row>
    <row r="172" spans="1:66" ht="64" x14ac:dyDescent="0.2">
      <c r="A172" s="10">
        <v>20038379</v>
      </c>
      <c r="B172" s="10">
        <v>1079537144</v>
      </c>
      <c r="C172" s="10">
        <v>10000</v>
      </c>
      <c r="D172" s="10" t="s">
        <v>73</v>
      </c>
      <c r="E172" s="10" t="s">
        <v>561</v>
      </c>
      <c r="F172" s="101" t="s">
        <v>562</v>
      </c>
      <c r="G172" s="10" t="s">
        <v>125</v>
      </c>
      <c r="H172" s="10" t="s">
        <v>148</v>
      </c>
      <c r="I172" s="10" t="s">
        <v>81</v>
      </c>
      <c r="J172" s="10" t="s">
        <v>82</v>
      </c>
      <c r="K172" s="10" t="s">
        <v>48</v>
      </c>
      <c r="L172" s="10" t="s">
        <v>76</v>
      </c>
      <c r="M172" s="10" t="s">
        <v>60</v>
      </c>
      <c r="N172" s="10" t="s">
        <v>61</v>
      </c>
      <c r="O172" s="10" t="s">
        <v>83</v>
      </c>
      <c r="P172" s="11">
        <v>5.5</v>
      </c>
      <c r="Q172" s="10">
        <v>7.4</v>
      </c>
      <c r="R172" s="10">
        <v>6.1</v>
      </c>
      <c r="S172" s="10">
        <v>1</v>
      </c>
      <c r="T172" s="2">
        <f t="shared" si="60"/>
        <v>20</v>
      </c>
      <c r="U172" s="10">
        <v>835</v>
      </c>
      <c r="V172" s="10">
        <v>144</v>
      </c>
      <c r="W172" s="2" t="str">
        <f t="shared" si="67"/>
        <v>5</v>
      </c>
      <c r="X172" s="2" t="str">
        <f t="shared" si="68"/>
        <v>1</v>
      </c>
      <c r="Y172" s="2" t="str">
        <f t="shared" si="69"/>
        <v>1</v>
      </c>
      <c r="Z172" s="3" t="str">
        <f t="shared" si="70"/>
        <v>1</v>
      </c>
      <c r="AA172" s="10">
        <v>0</v>
      </c>
      <c r="AB172" s="3">
        <f t="shared" si="65"/>
        <v>2</v>
      </c>
      <c r="AC172" s="10">
        <v>55</v>
      </c>
      <c r="AD172" s="10">
        <v>6</v>
      </c>
      <c r="AE172" s="10">
        <v>0.02</v>
      </c>
      <c r="AF172" s="10">
        <v>44.7</v>
      </c>
      <c r="AG172" s="2">
        <f t="shared" si="71"/>
        <v>2235</v>
      </c>
      <c r="AH172" s="2" t="str">
        <f t="shared" si="72"/>
        <v>1</v>
      </c>
      <c r="AI172" s="3" t="str">
        <f t="shared" si="73"/>
        <v>1</v>
      </c>
      <c r="AJ172" s="3">
        <f t="shared" si="74"/>
        <v>1</v>
      </c>
      <c r="AK172" s="2">
        <v>14</v>
      </c>
      <c r="AL172" s="2" t="str">
        <f t="shared" si="61"/>
        <v>1</v>
      </c>
      <c r="AM172" s="10"/>
      <c r="AN172" s="10"/>
      <c r="AO172" s="10"/>
      <c r="AP172" s="10"/>
      <c r="AQ172" s="10"/>
      <c r="AR172" s="10"/>
      <c r="AS172" s="10">
        <v>70</v>
      </c>
      <c r="AT172" s="2" t="str">
        <f t="shared" si="62"/>
        <v>3</v>
      </c>
      <c r="AU172" s="10"/>
      <c r="AV172" s="10"/>
      <c r="AW172" s="10"/>
      <c r="AX172" s="10"/>
      <c r="AY172" s="2">
        <v>1</v>
      </c>
      <c r="AZ172" s="10">
        <v>2023</v>
      </c>
      <c r="BA172" s="2">
        <f t="shared" si="63"/>
        <v>2</v>
      </c>
      <c r="BB172" s="2" t="str">
        <f t="shared" si="64"/>
        <v>1</v>
      </c>
      <c r="BC172" s="3">
        <v>1</v>
      </c>
      <c r="BD172" s="7">
        <f t="shared" si="76"/>
        <v>1.4000000000000001</v>
      </c>
      <c r="BE172" s="100" t="s">
        <v>828</v>
      </c>
      <c r="BF172" s="62"/>
      <c r="BG172" s="62"/>
      <c r="BH172" s="2">
        <v>11356</v>
      </c>
      <c r="BI172" s="10"/>
      <c r="BJ172" s="10"/>
      <c r="BK172" s="107">
        <v>46275</v>
      </c>
      <c r="BL172" s="10" t="s">
        <v>955</v>
      </c>
      <c r="BM172" s="10"/>
    </row>
    <row r="173" spans="1:66" ht="80" x14ac:dyDescent="0.2">
      <c r="A173" s="10">
        <v>20700472</v>
      </c>
      <c r="B173" s="10">
        <v>78760113</v>
      </c>
      <c r="C173" s="10">
        <v>6500</v>
      </c>
      <c r="D173" s="10" t="s">
        <v>73</v>
      </c>
      <c r="E173" s="10" t="s">
        <v>563</v>
      </c>
      <c r="F173" s="101" t="s">
        <v>564</v>
      </c>
      <c r="G173" s="10" t="s">
        <v>125</v>
      </c>
      <c r="H173" s="10" t="s">
        <v>148</v>
      </c>
      <c r="I173" s="10" t="s">
        <v>81</v>
      </c>
      <c r="J173" s="10" t="s">
        <v>82</v>
      </c>
      <c r="K173" s="10" t="s">
        <v>66</v>
      </c>
      <c r="L173" s="10" t="s">
        <v>76</v>
      </c>
      <c r="M173" s="10" t="s">
        <v>60</v>
      </c>
      <c r="N173" s="10" t="s">
        <v>61</v>
      </c>
      <c r="O173" s="10" t="s">
        <v>83</v>
      </c>
      <c r="P173" s="11">
        <v>3</v>
      </c>
      <c r="Q173" s="10">
        <v>4.3</v>
      </c>
      <c r="R173" s="10">
        <v>4.0999999999999996</v>
      </c>
      <c r="S173" s="10">
        <v>1</v>
      </c>
      <c r="T173" s="2">
        <f t="shared" si="60"/>
        <v>12.399999999999999</v>
      </c>
      <c r="U173" s="10">
        <v>369</v>
      </c>
      <c r="V173" s="10">
        <v>4478</v>
      </c>
      <c r="W173" s="2" t="str">
        <f t="shared" si="67"/>
        <v>3</v>
      </c>
      <c r="X173" s="2" t="str">
        <f t="shared" si="68"/>
        <v>3</v>
      </c>
      <c r="Y173" s="2" t="str">
        <f t="shared" si="69"/>
        <v>1</v>
      </c>
      <c r="Z173" s="3" t="str">
        <f t="shared" si="70"/>
        <v>1</v>
      </c>
      <c r="AA173" s="10">
        <v>0</v>
      </c>
      <c r="AB173" s="3">
        <f t="shared" si="65"/>
        <v>2</v>
      </c>
      <c r="AC173" s="10">
        <v>44</v>
      </c>
      <c r="AD173" s="10">
        <v>14</v>
      </c>
      <c r="AE173" s="10">
        <v>0.02</v>
      </c>
      <c r="AF173" s="10">
        <v>42.2</v>
      </c>
      <c r="AG173" s="2">
        <f t="shared" si="71"/>
        <v>2110</v>
      </c>
      <c r="AH173" s="2" t="str">
        <f t="shared" si="72"/>
        <v>1</v>
      </c>
      <c r="AI173" s="3" t="str">
        <f t="shared" si="73"/>
        <v>1</v>
      </c>
      <c r="AJ173" s="3">
        <f t="shared" si="74"/>
        <v>1</v>
      </c>
      <c r="AK173" s="2">
        <v>41</v>
      </c>
      <c r="AL173" s="2" t="str">
        <f t="shared" si="61"/>
        <v>1</v>
      </c>
      <c r="AM173" s="10">
        <v>108.78</v>
      </c>
      <c r="AN173" s="10">
        <v>84.848399999999998</v>
      </c>
      <c r="AO173" s="10">
        <v>271.94</v>
      </c>
      <c r="AP173" s="10">
        <v>212.11320000000001</v>
      </c>
      <c r="AQ173" s="10" t="s">
        <v>61</v>
      </c>
      <c r="AR173" s="10" t="s">
        <v>61</v>
      </c>
      <c r="AS173" s="10">
        <v>78</v>
      </c>
      <c r="AT173" s="2" t="str">
        <f t="shared" si="62"/>
        <v>4</v>
      </c>
      <c r="AU173" s="10">
        <v>1</v>
      </c>
      <c r="AV173" s="10">
        <v>1</v>
      </c>
      <c r="AW173" s="10">
        <v>1</v>
      </c>
      <c r="AX173" s="10" t="s">
        <v>61</v>
      </c>
      <c r="AY173" s="2">
        <v>1</v>
      </c>
      <c r="AZ173" s="10">
        <v>2014</v>
      </c>
      <c r="BA173" s="2">
        <f t="shared" si="63"/>
        <v>11</v>
      </c>
      <c r="BB173" s="2" t="str">
        <f t="shared" si="64"/>
        <v>2</v>
      </c>
      <c r="BC173" s="3">
        <v>1</v>
      </c>
      <c r="BD173" s="7">
        <f t="shared" si="76"/>
        <v>1.55</v>
      </c>
      <c r="BE173" s="62" t="s">
        <v>827</v>
      </c>
      <c r="BF173" s="62"/>
      <c r="BG173" s="8" t="s">
        <v>815</v>
      </c>
      <c r="BH173" s="2">
        <v>10388</v>
      </c>
      <c r="BI173" s="10"/>
      <c r="BJ173" s="10"/>
      <c r="BK173" s="107">
        <v>46107</v>
      </c>
      <c r="BL173" s="10" t="s">
        <v>937</v>
      </c>
      <c r="BM173" s="10"/>
    </row>
    <row r="174" spans="1:66" ht="64" x14ac:dyDescent="0.2">
      <c r="A174" s="10">
        <v>20058389</v>
      </c>
      <c r="B174" s="10">
        <v>1079537164</v>
      </c>
      <c r="C174" s="10">
        <v>15000</v>
      </c>
      <c r="D174" s="10" t="s">
        <v>73</v>
      </c>
      <c r="E174" s="10" t="s">
        <v>565</v>
      </c>
      <c r="F174" s="101" t="s">
        <v>566</v>
      </c>
      <c r="G174" s="10" t="s">
        <v>125</v>
      </c>
      <c r="H174" s="10" t="s">
        <v>126</v>
      </c>
      <c r="I174" s="10" t="s">
        <v>81</v>
      </c>
      <c r="J174" s="10" t="s">
        <v>82</v>
      </c>
      <c r="K174" s="10" t="s">
        <v>48</v>
      </c>
      <c r="L174" s="10" t="s">
        <v>76</v>
      </c>
      <c r="M174" s="10" t="s">
        <v>60</v>
      </c>
      <c r="N174" s="10" t="s">
        <v>61</v>
      </c>
      <c r="O174" s="10" t="s">
        <v>164</v>
      </c>
      <c r="P174" s="11">
        <v>11.9</v>
      </c>
      <c r="Q174" s="10">
        <v>8.1999999999999993</v>
      </c>
      <c r="R174" s="10">
        <v>2.2999999999999998</v>
      </c>
      <c r="S174" s="10">
        <v>2</v>
      </c>
      <c r="T174" s="2">
        <f t="shared" si="60"/>
        <v>24.400000000000002</v>
      </c>
      <c r="U174" s="10">
        <v>585</v>
      </c>
      <c r="V174" s="10">
        <v>740</v>
      </c>
      <c r="W174" s="2" t="str">
        <f t="shared" si="67"/>
        <v>4</v>
      </c>
      <c r="X174" s="2" t="str">
        <f t="shared" si="68"/>
        <v>1</v>
      </c>
      <c r="Y174" s="2" t="str">
        <f t="shared" si="69"/>
        <v>1</v>
      </c>
      <c r="Z174" s="3" t="str">
        <f t="shared" si="70"/>
        <v>1</v>
      </c>
      <c r="AA174" s="10">
        <v>0</v>
      </c>
      <c r="AB174" s="3">
        <f t="shared" si="65"/>
        <v>1.75</v>
      </c>
      <c r="AC174" s="10">
        <v>60</v>
      </c>
      <c r="AD174" s="10">
        <v>4</v>
      </c>
      <c r="AE174" s="10">
        <v>0.02</v>
      </c>
      <c r="AF174" s="10">
        <v>47.4</v>
      </c>
      <c r="AG174" s="2">
        <f t="shared" si="71"/>
        <v>2370</v>
      </c>
      <c r="AH174" s="2" t="str">
        <f t="shared" si="72"/>
        <v>1</v>
      </c>
      <c r="AI174" s="3" t="str">
        <f t="shared" si="73"/>
        <v>1</v>
      </c>
      <c r="AJ174" s="3">
        <f t="shared" si="74"/>
        <v>1</v>
      </c>
      <c r="AK174" s="2">
        <v>14</v>
      </c>
      <c r="AL174" s="2" t="str">
        <f t="shared" si="61"/>
        <v>1</v>
      </c>
      <c r="AM174" s="10">
        <v>251</v>
      </c>
      <c r="AN174" s="10">
        <v>105.42</v>
      </c>
      <c r="AO174" s="10">
        <v>627.6</v>
      </c>
      <c r="AP174" s="10">
        <v>263.59199999999998</v>
      </c>
      <c r="AQ174" s="10" t="s">
        <v>61</v>
      </c>
      <c r="AR174" s="10" t="s">
        <v>61</v>
      </c>
      <c r="AS174" s="10">
        <v>42</v>
      </c>
      <c r="AT174" s="2" t="str">
        <f t="shared" si="62"/>
        <v>1</v>
      </c>
      <c r="AU174" s="10">
        <v>1</v>
      </c>
      <c r="AV174" s="10">
        <v>1</v>
      </c>
      <c r="AW174" s="10">
        <v>1</v>
      </c>
      <c r="AX174" s="10">
        <v>1</v>
      </c>
      <c r="AY174" s="2">
        <v>1</v>
      </c>
      <c r="AZ174" s="10">
        <v>2023</v>
      </c>
      <c r="BA174" s="2">
        <f t="shared" si="63"/>
        <v>2</v>
      </c>
      <c r="BB174" s="2" t="str">
        <f t="shared" si="64"/>
        <v>1</v>
      </c>
      <c r="BC174" s="3">
        <v>1</v>
      </c>
      <c r="BD174" s="7">
        <f t="shared" si="76"/>
        <v>1.1500000000000001</v>
      </c>
      <c r="BE174" s="100" t="s">
        <v>828</v>
      </c>
      <c r="BF174" s="62"/>
      <c r="BG174" s="62"/>
      <c r="BH174" s="2">
        <v>13067</v>
      </c>
      <c r="BI174" s="10"/>
      <c r="BJ174" s="10"/>
      <c r="BK174" s="107">
        <v>46205</v>
      </c>
      <c r="BL174" s="10" t="s">
        <v>937</v>
      </c>
      <c r="BM174" s="10"/>
    </row>
    <row r="175" spans="1:66" ht="80" x14ac:dyDescent="0.2">
      <c r="A175" s="10">
        <v>20028382</v>
      </c>
      <c r="B175" s="10" t="s">
        <v>567</v>
      </c>
      <c r="C175" s="10">
        <v>1500</v>
      </c>
      <c r="D175" s="10" t="s">
        <v>73</v>
      </c>
      <c r="E175" s="10" t="s">
        <v>568</v>
      </c>
      <c r="F175" s="101" t="s">
        <v>569</v>
      </c>
      <c r="G175" s="10" t="s">
        <v>58</v>
      </c>
      <c r="H175" s="10" t="s">
        <v>59</v>
      </c>
      <c r="I175" s="10" t="s">
        <v>65</v>
      </c>
      <c r="J175" s="10" t="s">
        <v>61</v>
      </c>
      <c r="K175" s="10" t="s">
        <v>66</v>
      </c>
      <c r="L175" s="10" t="s">
        <v>76</v>
      </c>
      <c r="M175" s="10" t="s">
        <v>60</v>
      </c>
      <c r="N175" s="10" t="s">
        <v>61</v>
      </c>
      <c r="O175" s="10" t="s">
        <v>77</v>
      </c>
      <c r="P175" s="11">
        <v>5.3</v>
      </c>
      <c r="Q175" s="10">
        <v>8</v>
      </c>
      <c r="R175" s="10">
        <v>6.8</v>
      </c>
      <c r="S175" s="10">
        <v>2.5</v>
      </c>
      <c r="T175" s="2">
        <f t="shared" si="60"/>
        <v>22.6</v>
      </c>
      <c r="U175" s="10">
        <v>633</v>
      </c>
      <c r="V175" s="10">
        <v>8610</v>
      </c>
      <c r="W175" s="2" t="str">
        <f t="shared" si="67"/>
        <v>4</v>
      </c>
      <c r="X175" s="2" t="str">
        <f t="shared" si="68"/>
        <v>5</v>
      </c>
      <c r="Y175" s="2" t="str">
        <f t="shared" si="69"/>
        <v>1</v>
      </c>
      <c r="Z175" s="3" t="str">
        <f t="shared" si="70"/>
        <v>1</v>
      </c>
      <c r="AA175" s="10">
        <v>0</v>
      </c>
      <c r="AB175" s="3">
        <f t="shared" si="65"/>
        <v>2.75</v>
      </c>
      <c r="AC175" s="10">
        <v>34</v>
      </c>
      <c r="AD175" s="10">
        <v>19</v>
      </c>
      <c r="AE175" s="10">
        <v>0.02</v>
      </c>
      <c r="AF175" s="10">
        <v>36.700000000000003</v>
      </c>
      <c r="AG175" s="2">
        <f t="shared" si="71"/>
        <v>1835</v>
      </c>
      <c r="AH175" s="2" t="str">
        <f t="shared" si="72"/>
        <v>1</v>
      </c>
      <c r="AI175" s="3" t="str">
        <f t="shared" si="73"/>
        <v>1</v>
      </c>
      <c r="AJ175" s="3">
        <f t="shared" si="74"/>
        <v>1</v>
      </c>
      <c r="AK175" s="2">
        <v>46</v>
      </c>
      <c r="AL175" s="2" t="str">
        <f t="shared" si="61"/>
        <v>1</v>
      </c>
      <c r="AM175" s="10">
        <v>25.1</v>
      </c>
      <c r="AN175" s="10">
        <v>17.821000000000002</v>
      </c>
      <c r="AO175" s="10">
        <v>65.61</v>
      </c>
      <c r="AP175" s="10">
        <v>46.583099999999995</v>
      </c>
      <c r="AQ175" s="10" t="s">
        <v>61</v>
      </c>
      <c r="AR175" s="10" t="s">
        <v>61</v>
      </c>
      <c r="AS175" s="10">
        <v>71</v>
      </c>
      <c r="AT175" s="2" t="str">
        <f t="shared" si="62"/>
        <v>3</v>
      </c>
      <c r="AU175" s="10">
        <v>1</v>
      </c>
      <c r="AV175" s="10">
        <v>1</v>
      </c>
      <c r="AW175" s="10">
        <v>1</v>
      </c>
      <c r="AX175" s="10" t="s">
        <v>61</v>
      </c>
      <c r="AY175" s="2">
        <v>1</v>
      </c>
      <c r="AZ175" s="10">
        <v>1997</v>
      </c>
      <c r="BA175" s="2">
        <f t="shared" si="63"/>
        <v>28</v>
      </c>
      <c r="BB175" s="2" t="str">
        <f t="shared" si="64"/>
        <v>4</v>
      </c>
      <c r="BC175" s="3">
        <v>1</v>
      </c>
      <c r="BD175" s="7">
        <f t="shared" si="76"/>
        <v>1.7</v>
      </c>
      <c r="BE175" s="62" t="s">
        <v>827</v>
      </c>
      <c r="BF175" s="62"/>
      <c r="BG175" s="62"/>
      <c r="BH175" s="2">
        <v>1598</v>
      </c>
      <c r="BI175" s="10"/>
      <c r="BJ175" s="10"/>
      <c r="BK175" s="10" t="s">
        <v>964</v>
      </c>
      <c r="BL175" s="10" t="s">
        <v>950</v>
      </c>
      <c r="BM175" s="10"/>
      <c r="BN175" s="61" t="s">
        <v>61</v>
      </c>
    </row>
    <row r="176" spans="1:66" ht="64" x14ac:dyDescent="0.2">
      <c r="A176" s="10">
        <v>20028381</v>
      </c>
      <c r="B176" s="10">
        <v>1079537199</v>
      </c>
      <c r="C176" s="10">
        <v>1000</v>
      </c>
      <c r="D176" s="10" t="s">
        <v>73</v>
      </c>
      <c r="E176" s="10" t="s">
        <v>572</v>
      </c>
      <c r="F176" s="10" t="s">
        <v>573</v>
      </c>
      <c r="G176" s="10" t="s">
        <v>58</v>
      </c>
      <c r="H176" s="10" t="s">
        <v>59</v>
      </c>
      <c r="I176" s="10" t="s">
        <v>65</v>
      </c>
      <c r="J176" s="10" t="s">
        <v>61</v>
      </c>
      <c r="K176" s="10" t="s">
        <v>66</v>
      </c>
      <c r="L176" s="10" t="s">
        <v>76</v>
      </c>
      <c r="M176" s="10" t="s">
        <v>60</v>
      </c>
      <c r="N176" s="10" t="s">
        <v>61</v>
      </c>
      <c r="O176" s="10" t="s">
        <v>77</v>
      </c>
      <c r="P176" s="11">
        <v>24</v>
      </c>
      <c r="Q176" s="10">
        <v>16.600000000000001</v>
      </c>
      <c r="R176" s="10">
        <v>1.7</v>
      </c>
      <c r="S176" s="10">
        <v>2.8</v>
      </c>
      <c r="T176" s="2">
        <f t="shared" si="60"/>
        <v>45.1</v>
      </c>
      <c r="U176" s="10">
        <v>308</v>
      </c>
      <c r="V176" s="10">
        <v>1164</v>
      </c>
      <c r="W176" s="2" t="str">
        <f t="shared" si="67"/>
        <v>3</v>
      </c>
      <c r="X176" s="2" t="str">
        <f t="shared" si="68"/>
        <v>1</v>
      </c>
      <c r="Y176" s="2" t="str">
        <f t="shared" si="69"/>
        <v>1</v>
      </c>
      <c r="Z176" s="3" t="str">
        <f t="shared" si="70"/>
        <v>1</v>
      </c>
      <c r="AA176" s="10">
        <v>0</v>
      </c>
      <c r="AB176" s="3">
        <f t="shared" si="65"/>
        <v>1.5</v>
      </c>
      <c r="AC176" s="10">
        <v>43</v>
      </c>
      <c r="AD176" s="10">
        <v>7</v>
      </c>
      <c r="AE176" s="10">
        <v>0.02</v>
      </c>
      <c r="AF176" s="10">
        <v>39.9</v>
      </c>
      <c r="AG176" s="2">
        <f t="shared" si="71"/>
        <v>1995</v>
      </c>
      <c r="AH176" s="2" t="str">
        <f t="shared" si="72"/>
        <v>1</v>
      </c>
      <c r="AI176" s="3" t="str">
        <f t="shared" si="73"/>
        <v>1</v>
      </c>
      <c r="AJ176" s="3">
        <f t="shared" si="74"/>
        <v>1</v>
      </c>
      <c r="AK176" s="2">
        <v>14</v>
      </c>
      <c r="AL176" s="2" t="str">
        <f t="shared" si="61"/>
        <v>1</v>
      </c>
      <c r="AM176" s="10">
        <v>16.73</v>
      </c>
      <c r="AN176" s="10">
        <v>4.1825000000000001</v>
      </c>
      <c r="AO176" s="10">
        <v>41.84</v>
      </c>
      <c r="AP176" s="10">
        <v>10.46</v>
      </c>
      <c r="AQ176" s="10" t="s">
        <v>61</v>
      </c>
      <c r="AR176" s="10" t="s">
        <v>61</v>
      </c>
      <c r="AS176" s="10">
        <v>25</v>
      </c>
      <c r="AT176" s="2" t="str">
        <f t="shared" si="62"/>
        <v>1</v>
      </c>
      <c r="AU176" s="10">
        <v>1</v>
      </c>
      <c r="AV176" s="10">
        <v>1</v>
      </c>
      <c r="AW176" s="10">
        <v>1</v>
      </c>
      <c r="AX176" s="10" t="s">
        <v>61</v>
      </c>
      <c r="AY176" s="2">
        <v>1</v>
      </c>
      <c r="AZ176" s="10">
        <v>2023</v>
      </c>
      <c r="BA176" s="2">
        <f t="shared" si="63"/>
        <v>2</v>
      </c>
      <c r="BB176" s="2" t="str">
        <f t="shared" si="64"/>
        <v>1</v>
      </c>
      <c r="BC176" s="3">
        <v>1</v>
      </c>
      <c r="BD176" s="7">
        <f t="shared" si="76"/>
        <v>1.1000000000000001</v>
      </c>
      <c r="BE176" s="100" t="s">
        <v>828</v>
      </c>
      <c r="BF176" s="62"/>
      <c r="BG176" s="62"/>
      <c r="BH176" s="2">
        <v>183</v>
      </c>
      <c r="BI176" s="10"/>
      <c r="BJ176" s="10"/>
      <c r="BK176" s="10"/>
      <c r="BL176" s="10"/>
      <c r="BM176" s="10"/>
    </row>
    <row r="177" spans="1:66" ht="80" x14ac:dyDescent="0.2">
      <c r="A177" s="10">
        <v>20700391</v>
      </c>
      <c r="B177" s="10">
        <v>21389</v>
      </c>
      <c r="C177" s="10">
        <v>4000</v>
      </c>
      <c r="D177" s="10" t="s">
        <v>73</v>
      </c>
      <c r="E177" s="10" t="s">
        <v>574</v>
      </c>
      <c r="F177" s="10" t="s">
        <v>575</v>
      </c>
      <c r="G177" s="10" t="s">
        <v>125</v>
      </c>
      <c r="H177" s="10" t="s">
        <v>126</v>
      </c>
      <c r="I177" s="10" t="s">
        <v>65</v>
      </c>
      <c r="J177" s="10" t="s">
        <v>61</v>
      </c>
      <c r="K177" s="10" t="s">
        <v>66</v>
      </c>
      <c r="L177" s="10" t="s">
        <v>76</v>
      </c>
      <c r="M177" s="10" t="s">
        <v>60</v>
      </c>
      <c r="N177" s="10" t="s">
        <v>61</v>
      </c>
      <c r="O177" s="10" t="s">
        <v>130</v>
      </c>
      <c r="P177" s="11">
        <v>8.6</v>
      </c>
      <c r="Q177" s="10">
        <v>2.2999999999999998</v>
      </c>
      <c r="R177" s="10">
        <v>0.7</v>
      </c>
      <c r="S177" s="10">
        <v>0.8</v>
      </c>
      <c r="T177" s="2">
        <f t="shared" si="60"/>
        <v>12.399999999999999</v>
      </c>
      <c r="U177" s="10">
        <v>125</v>
      </c>
      <c r="V177" s="10">
        <v>643</v>
      </c>
      <c r="W177" s="2" t="str">
        <f t="shared" si="67"/>
        <v>2</v>
      </c>
      <c r="X177" s="2" t="str">
        <f t="shared" si="68"/>
        <v>1</v>
      </c>
      <c r="Y177" s="2" t="str">
        <f t="shared" si="69"/>
        <v>1</v>
      </c>
      <c r="Z177" s="3" t="str">
        <f t="shared" si="70"/>
        <v>1</v>
      </c>
      <c r="AA177" s="10">
        <v>0</v>
      </c>
      <c r="AB177" s="3">
        <f t="shared" si="65"/>
        <v>1.25</v>
      </c>
      <c r="AC177" s="10">
        <v>30</v>
      </c>
      <c r="AD177" s="10">
        <v>21</v>
      </c>
      <c r="AE177" s="10">
        <v>0.02</v>
      </c>
      <c r="AF177" s="10">
        <v>44.5</v>
      </c>
      <c r="AG177" s="2">
        <f t="shared" si="71"/>
        <v>2225</v>
      </c>
      <c r="AH177" s="2" t="str">
        <f t="shared" si="72"/>
        <v>2</v>
      </c>
      <c r="AI177" s="3" t="str">
        <f t="shared" si="73"/>
        <v>1</v>
      </c>
      <c r="AJ177" s="3">
        <f t="shared" si="74"/>
        <v>1.8</v>
      </c>
      <c r="AK177" s="2">
        <v>105</v>
      </c>
      <c r="AL177" s="2" t="str">
        <f t="shared" si="61"/>
        <v>1</v>
      </c>
      <c r="AM177" s="10">
        <v>67</v>
      </c>
      <c r="AN177" s="10">
        <v>36.85</v>
      </c>
      <c r="AO177" s="10">
        <v>167.3</v>
      </c>
      <c r="AP177" s="10">
        <v>92.015000000000015</v>
      </c>
      <c r="AQ177" s="10" t="s">
        <v>61</v>
      </c>
      <c r="AR177" s="10" t="s">
        <v>61</v>
      </c>
      <c r="AS177" s="10">
        <v>85</v>
      </c>
      <c r="AT177" s="2" t="str">
        <f t="shared" si="62"/>
        <v>4</v>
      </c>
      <c r="AU177" s="10">
        <v>1</v>
      </c>
      <c r="AV177" s="10">
        <v>1</v>
      </c>
      <c r="AW177" s="10">
        <v>1</v>
      </c>
      <c r="AX177" s="10" t="s">
        <v>61</v>
      </c>
      <c r="AY177" s="2">
        <v>1</v>
      </c>
      <c r="AZ177" s="10">
        <v>1987</v>
      </c>
      <c r="BA177" s="2">
        <f t="shared" si="63"/>
        <v>38</v>
      </c>
      <c r="BB177" s="2" t="str">
        <f t="shared" si="64"/>
        <v>5</v>
      </c>
      <c r="BC177" s="3">
        <v>1</v>
      </c>
      <c r="BD177" s="7">
        <f t="shared" si="76"/>
        <v>1.734</v>
      </c>
      <c r="BE177" s="62" t="s">
        <v>827</v>
      </c>
      <c r="BF177" s="62"/>
      <c r="BG177" s="62"/>
      <c r="BH177" s="2">
        <v>5073</v>
      </c>
      <c r="BI177" s="10"/>
      <c r="BJ177" s="10"/>
      <c r="BK177" s="10"/>
      <c r="BL177" s="10"/>
      <c r="BM177" s="10"/>
    </row>
    <row r="178" spans="1:66" ht="64" x14ac:dyDescent="0.2">
      <c r="A178" s="10">
        <v>20700414</v>
      </c>
      <c r="B178" s="10">
        <v>1079537070</v>
      </c>
      <c r="C178" s="10">
        <v>6500</v>
      </c>
      <c r="D178" s="10" t="s">
        <v>73</v>
      </c>
      <c r="E178" s="10" t="s">
        <v>576</v>
      </c>
      <c r="F178" s="10" t="s">
        <v>577</v>
      </c>
      <c r="G178" s="10" t="s">
        <v>125</v>
      </c>
      <c r="H178" s="10" t="s">
        <v>126</v>
      </c>
      <c r="I178" s="10" t="s">
        <v>81</v>
      </c>
      <c r="J178" s="10" t="s">
        <v>82</v>
      </c>
      <c r="K178" s="10" t="s">
        <v>66</v>
      </c>
      <c r="L178" s="10" t="s">
        <v>76</v>
      </c>
      <c r="M178" s="10" t="s">
        <v>60</v>
      </c>
      <c r="N178" s="10" t="s">
        <v>61</v>
      </c>
      <c r="O178" s="10" t="s">
        <v>83</v>
      </c>
      <c r="P178" s="11">
        <v>7.5</v>
      </c>
      <c r="Q178" s="10">
        <v>13.4</v>
      </c>
      <c r="R178" s="10">
        <v>4.3</v>
      </c>
      <c r="S178" s="10">
        <v>1.5</v>
      </c>
      <c r="T178" s="2">
        <f t="shared" si="60"/>
        <v>26.7</v>
      </c>
      <c r="U178" s="10">
        <v>645</v>
      </c>
      <c r="V178" s="10">
        <v>1322</v>
      </c>
      <c r="W178" s="2" t="str">
        <f t="shared" si="67"/>
        <v>4</v>
      </c>
      <c r="X178" s="2" t="str">
        <f t="shared" si="68"/>
        <v>1</v>
      </c>
      <c r="Y178" s="2" t="str">
        <f t="shared" si="69"/>
        <v>1</v>
      </c>
      <c r="Z178" s="3" t="str">
        <f t="shared" si="70"/>
        <v>1</v>
      </c>
      <c r="AA178" s="10">
        <v>0</v>
      </c>
      <c r="AB178" s="3">
        <f t="shared" si="65"/>
        <v>1.75</v>
      </c>
      <c r="AC178" s="10">
        <v>45</v>
      </c>
      <c r="AD178" s="10">
        <v>11</v>
      </c>
      <c r="AE178" s="10">
        <v>0.02</v>
      </c>
      <c r="AF178" s="10">
        <v>44.8</v>
      </c>
      <c r="AG178" s="2">
        <f t="shared" si="71"/>
        <v>2240</v>
      </c>
      <c r="AH178" s="2" t="str">
        <f t="shared" si="72"/>
        <v>1</v>
      </c>
      <c r="AI178" s="3" t="str">
        <f t="shared" si="73"/>
        <v>1</v>
      </c>
      <c r="AJ178" s="3">
        <f t="shared" si="74"/>
        <v>1</v>
      </c>
      <c r="AK178" s="2">
        <v>14</v>
      </c>
      <c r="AL178" s="2" t="str">
        <f t="shared" si="61"/>
        <v>1</v>
      </c>
      <c r="AM178" s="10">
        <v>108.78</v>
      </c>
      <c r="AN178" s="10">
        <v>73.970400000000012</v>
      </c>
      <c r="AO178" s="10">
        <v>271.94</v>
      </c>
      <c r="AP178" s="10">
        <v>184.91920000000002</v>
      </c>
      <c r="AQ178" s="10" t="s">
        <v>61</v>
      </c>
      <c r="AR178" s="10" t="s">
        <v>61</v>
      </c>
      <c r="AS178" s="10">
        <v>68</v>
      </c>
      <c r="AT178" s="2" t="str">
        <f t="shared" si="62"/>
        <v>3</v>
      </c>
      <c r="AU178" s="10">
        <v>1</v>
      </c>
      <c r="AV178" s="10">
        <v>1</v>
      </c>
      <c r="AW178" s="10">
        <v>1</v>
      </c>
      <c r="AX178" s="10" t="s">
        <v>61</v>
      </c>
      <c r="AY178" s="2">
        <v>1</v>
      </c>
      <c r="AZ178" s="10">
        <v>2023</v>
      </c>
      <c r="BA178" s="2">
        <f t="shared" si="63"/>
        <v>2</v>
      </c>
      <c r="BB178" s="2" t="str">
        <f t="shared" si="64"/>
        <v>1</v>
      </c>
      <c r="BC178" s="3">
        <v>1</v>
      </c>
      <c r="BD178" s="7">
        <f t="shared" si="76"/>
        <v>1.35</v>
      </c>
      <c r="BE178" s="100" t="s">
        <v>828</v>
      </c>
      <c r="BF178" s="62"/>
      <c r="BG178" s="62"/>
      <c r="BH178" s="2">
        <v>4376</v>
      </c>
      <c r="BI178" s="10"/>
      <c r="BJ178" s="10"/>
      <c r="BK178" s="107">
        <v>46165</v>
      </c>
      <c r="BL178" s="10" t="s">
        <v>949</v>
      </c>
      <c r="BM178" s="10"/>
    </row>
    <row r="179" spans="1:66" ht="32" x14ac:dyDescent="0.2">
      <c r="A179" s="10">
        <v>20700458</v>
      </c>
      <c r="B179" s="10">
        <v>78730113</v>
      </c>
      <c r="C179" s="101">
        <v>4000</v>
      </c>
      <c r="D179" s="10" t="s">
        <v>73</v>
      </c>
      <c r="E179" s="101" t="s">
        <v>578</v>
      </c>
      <c r="F179" s="101" t="s">
        <v>579</v>
      </c>
      <c r="G179" s="101" t="s">
        <v>125</v>
      </c>
      <c r="H179" s="101" t="s">
        <v>126</v>
      </c>
      <c r="I179" s="101" t="s">
        <v>65</v>
      </c>
      <c r="J179" s="101" t="s">
        <v>61</v>
      </c>
      <c r="K179" s="10" t="s">
        <v>66</v>
      </c>
      <c r="L179" s="10" t="s">
        <v>76</v>
      </c>
      <c r="M179" s="10" t="s">
        <v>60</v>
      </c>
      <c r="N179" s="10" t="s">
        <v>61</v>
      </c>
      <c r="O179" s="10" t="s">
        <v>130</v>
      </c>
      <c r="P179" s="11">
        <v>9.1</v>
      </c>
      <c r="Q179" s="10">
        <v>26</v>
      </c>
      <c r="R179" s="10">
        <v>22</v>
      </c>
      <c r="S179" s="10">
        <v>4.8</v>
      </c>
      <c r="T179" s="2">
        <f t="shared" si="60"/>
        <v>61.9</v>
      </c>
      <c r="U179" s="10">
        <v>1424</v>
      </c>
      <c r="V179" s="10">
        <v>4438</v>
      </c>
      <c r="W179" s="2" t="str">
        <f t="shared" si="67"/>
        <v>5</v>
      </c>
      <c r="X179" s="2" t="str">
        <f t="shared" si="68"/>
        <v>3</v>
      </c>
      <c r="Y179" s="2" t="str">
        <f t="shared" si="69"/>
        <v>1</v>
      </c>
      <c r="Z179" s="3" t="str">
        <f t="shared" si="70"/>
        <v>5</v>
      </c>
      <c r="AA179" s="10">
        <v>10.199999999999999</v>
      </c>
      <c r="AB179" s="37">
        <f t="shared" si="65"/>
        <v>3.5</v>
      </c>
      <c r="AC179" s="10">
        <v>47</v>
      </c>
      <c r="AD179" s="10">
        <v>10</v>
      </c>
      <c r="AE179" s="10">
        <v>0.02</v>
      </c>
      <c r="AF179" s="10">
        <v>44.8</v>
      </c>
      <c r="AG179" s="2">
        <f t="shared" si="71"/>
        <v>2240</v>
      </c>
      <c r="AH179" s="2" t="str">
        <f t="shared" si="72"/>
        <v>1</v>
      </c>
      <c r="AI179" s="3" t="str">
        <f t="shared" si="73"/>
        <v>1</v>
      </c>
      <c r="AJ179" s="37">
        <f t="shared" si="74"/>
        <v>1</v>
      </c>
      <c r="AK179" s="2">
        <v>14</v>
      </c>
      <c r="AL179" s="9" t="str">
        <f t="shared" si="61"/>
        <v>1</v>
      </c>
      <c r="AM179" s="10">
        <v>66.94</v>
      </c>
      <c r="AN179" s="10">
        <v>36.817</v>
      </c>
      <c r="AO179" s="10">
        <v>167.35</v>
      </c>
      <c r="AP179" s="10">
        <v>92.042500000000004</v>
      </c>
      <c r="AQ179" s="10" t="s">
        <v>61</v>
      </c>
      <c r="AR179" s="10" t="s">
        <v>61</v>
      </c>
      <c r="AS179" s="10">
        <v>55</v>
      </c>
      <c r="AT179" s="9" t="str">
        <f t="shared" si="62"/>
        <v>1</v>
      </c>
      <c r="AU179" s="10">
        <v>1</v>
      </c>
      <c r="AV179" s="10">
        <v>1</v>
      </c>
      <c r="AW179" s="10">
        <v>1</v>
      </c>
      <c r="AX179" s="10" t="s">
        <v>61</v>
      </c>
      <c r="AY179" s="9">
        <v>2</v>
      </c>
      <c r="AZ179" s="10">
        <v>2014</v>
      </c>
      <c r="BA179" s="2">
        <f t="shared" si="63"/>
        <v>11</v>
      </c>
      <c r="BB179" s="9" t="str">
        <f t="shared" si="64"/>
        <v>2</v>
      </c>
      <c r="BC179" s="37">
        <v>1</v>
      </c>
      <c r="BD179" s="7">
        <f>(AB179*0.2)+(AJ179*0.23)+(AL179*0.05)+(AT179*0.1)+(AY179*0.18)+(BB179*0.05)+(BC179*0.19)</f>
        <v>1.73</v>
      </c>
      <c r="BE179" s="62" t="s">
        <v>849</v>
      </c>
      <c r="BF179" s="62" t="s">
        <v>803</v>
      </c>
      <c r="BG179" s="62"/>
      <c r="BH179" s="2">
        <v>2066</v>
      </c>
      <c r="BI179" s="10"/>
      <c r="BJ179" s="10"/>
      <c r="BK179" s="10"/>
      <c r="BL179" s="10"/>
      <c r="BM179" s="10"/>
    </row>
    <row r="180" spans="1:66" ht="80" x14ac:dyDescent="0.2">
      <c r="A180" s="10">
        <v>20700338</v>
      </c>
      <c r="B180" s="10">
        <v>32710117</v>
      </c>
      <c r="C180" s="101">
        <v>6500</v>
      </c>
      <c r="D180" s="101" t="s">
        <v>73</v>
      </c>
      <c r="E180" s="101" t="s">
        <v>580</v>
      </c>
      <c r="F180" s="101" t="s">
        <v>581</v>
      </c>
      <c r="G180" s="101" t="s">
        <v>70</v>
      </c>
      <c r="H180" s="101" t="s">
        <v>70</v>
      </c>
      <c r="I180" s="101" t="s">
        <v>81</v>
      </c>
      <c r="J180" s="101" t="s">
        <v>82</v>
      </c>
      <c r="K180" s="101" t="s">
        <v>66</v>
      </c>
      <c r="L180" s="101" t="s">
        <v>76</v>
      </c>
      <c r="M180" s="101" t="s">
        <v>60</v>
      </c>
      <c r="N180" s="101" t="s">
        <v>61</v>
      </c>
      <c r="O180" s="101" t="s">
        <v>83</v>
      </c>
      <c r="P180" s="116">
        <v>6.5</v>
      </c>
      <c r="Q180" s="101">
        <v>6.7</v>
      </c>
      <c r="R180" s="101">
        <v>10.1</v>
      </c>
      <c r="S180" s="101">
        <v>1.5</v>
      </c>
      <c r="T180" s="9">
        <f t="shared" si="60"/>
        <v>24.799999999999997</v>
      </c>
      <c r="U180" s="101">
        <v>767</v>
      </c>
      <c r="V180" s="101">
        <v>5110</v>
      </c>
      <c r="W180" s="9" t="str">
        <f t="shared" si="67"/>
        <v>5</v>
      </c>
      <c r="X180" s="9" t="str">
        <f t="shared" si="68"/>
        <v>4</v>
      </c>
      <c r="Y180" s="9" t="str">
        <f t="shared" si="69"/>
        <v>1</v>
      </c>
      <c r="Z180" s="37" t="str">
        <f t="shared" si="70"/>
        <v>1</v>
      </c>
      <c r="AA180" s="101">
        <v>0.1</v>
      </c>
      <c r="AB180" s="37">
        <f t="shared" si="65"/>
        <v>2.75</v>
      </c>
      <c r="AC180" s="101">
        <v>70</v>
      </c>
      <c r="AD180" s="101">
        <v>8</v>
      </c>
      <c r="AE180" s="101">
        <v>0.02</v>
      </c>
      <c r="AF180" s="101">
        <v>38.5</v>
      </c>
      <c r="AG180" s="9">
        <f t="shared" si="71"/>
        <v>1925</v>
      </c>
      <c r="AH180" s="9" t="str">
        <f t="shared" si="72"/>
        <v>1</v>
      </c>
      <c r="AI180" s="37" t="str">
        <f t="shared" si="73"/>
        <v>1</v>
      </c>
      <c r="AJ180" s="37">
        <f t="shared" si="74"/>
        <v>1</v>
      </c>
      <c r="AK180" s="9">
        <v>22</v>
      </c>
      <c r="AL180" s="9" t="str">
        <f t="shared" si="61"/>
        <v>1</v>
      </c>
      <c r="AM180" s="101">
        <v>125.09</v>
      </c>
      <c r="AN180" s="101">
        <v>108.8283</v>
      </c>
      <c r="AO180" s="101">
        <v>271.94</v>
      </c>
      <c r="AP180" s="101">
        <v>236.58779999999999</v>
      </c>
      <c r="AQ180" s="101" t="s">
        <v>61</v>
      </c>
      <c r="AR180" s="101" t="s">
        <v>61</v>
      </c>
      <c r="AS180" s="101">
        <v>87</v>
      </c>
      <c r="AT180" s="9" t="str">
        <f t="shared" si="62"/>
        <v>4</v>
      </c>
      <c r="AU180" s="55">
        <v>1</v>
      </c>
      <c r="AV180" s="55">
        <v>1</v>
      </c>
      <c r="AW180" s="55">
        <v>1</v>
      </c>
      <c r="AX180" s="55" t="s">
        <v>61</v>
      </c>
      <c r="AY180" s="2">
        <v>1</v>
      </c>
      <c r="AZ180" s="55">
        <v>2017</v>
      </c>
      <c r="BA180" s="57">
        <f t="shared" si="63"/>
        <v>8</v>
      </c>
      <c r="BB180" s="9" t="str">
        <f t="shared" si="64"/>
        <v>2</v>
      </c>
      <c r="BC180" s="37">
        <v>1</v>
      </c>
      <c r="BD180" s="7">
        <f>(AB180*0.2)+(AJ180*0.23)+(AL180*0.05)+(AT180*0.1)+(AY180*0.18)+(BB180*0.05)+(BC180*0.19)</f>
        <v>1.7</v>
      </c>
      <c r="BE180" s="62" t="s">
        <v>827</v>
      </c>
      <c r="BF180" s="106"/>
      <c r="BG180" s="8" t="s">
        <v>815</v>
      </c>
      <c r="BH180" s="2">
        <v>7116</v>
      </c>
      <c r="BI180" s="10"/>
      <c r="BJ180" s="10"/>
      <c r="BK180" s="10"/>
      <c r="BL180" s="10"/>
      <c r="BM180" s="10"/>
      <c r="BN180" s="61" t="s">
        <v>61</v>
      </c>
    </row>
    <row r="181" spans="1:66" ht="32" x14ac:dyDescent="0.2">
      <c r="A181" s="10">
        <v>20028384</v>
      </c>
      <c r="B181" s="101">
        <v>64993953</v>
      </c>
      <c r="C181" s="101">
        <v>2000</v>
      </c>
      <c r="D181" s="101" t="s">
        <v>73</v>
      </c>
      <c r="E181" s="101" t="s">
        <v>583</v>
      </c>
      <c r="F181" s="101" t="s">
        <v>584</v>
      </c>
      <c r="G181" s="101" t="s">
        <v>58</v>
      </c>
      <c r="H181" s="101" t="s">
        <v>59</v>
      </c>
      <c r="I181" s="101" t="s">
        <v>65</v>
      </c>
      <c r="J181" s="101" t="s">
        <v>61</v>
      </c>
      <c r="K181" s="101" t="s">
        <v>66</v>
      </c>
      <c r="L181" s="55" t="s">
        <v>76</v>
      </c>
      <c r="M181" s="55" t="s">
        <v>60</v>
      </c>
      <c r="N181" s="55" t="s">
        <v>61</v>
      </c>
      <c r="O181" s="55" t="s">
        <v>77</v>
      </c>
      <c r="P181" s="56">
        <v>26130</v>
      </c>
      <c r="Q181" s="55">
        <v>10284</v>
      </c>
      <c r="R181" s="55">
        <v>19.399999999999999</v>
      </c>
      <c r="S181" s="55">
        <v>4470</v>
      </c>
      <c r="T181" s="57">
        <f t="shared" si="60"/>
        <v>40903.4</v>
      </c>
      <c r="U181" s="55">
        <v>958</v>
      </c>
      <c r="V181" s="55">
        <v>6548</v>
      </c>
      <c r="W181" s="57" t="str">
        <f t="shared" si="67"/>
        <v>5</v>
      </c>
      <c r="X181" s="57" t="str">
        <f t="shared" si="68"/>
        <v>4</v>
      </c>
      <c r="Y181" s="57" t="str">
        <f t="shared" si="69"/>
        <v>5</v>
      </c>
      <c r="Z181" s="58" t="str">
        <f t="shared" si="70"/>
        <v>1</v>
      </c>
      <c r="AA181" s="55">
        <v>0</v>
      </c>
      <c r="AB181" s="37">
        <f t="shared" si="65"/>
        <v>3.75</v>
      </c>
      <c r="AC181" s="55">
        <v>18</v>
      </c>
      <c r="AD181" s="55">
        <v>37</v>
      </c>
      <c r="AE181" s="55">
        <v>0.04</v>
      </c>
      <c r="AF181" s="55">
        <v>27.1</v>
      </c>
      <c r="AG181" s="57">
        <f t="shared" si="71"/>
        <v>677.5</v>
      </c>
      <c r="AH181" s="57" t="str">
        <f t="shared" si="72"/>
        <v>4</v>
      </c>
      <c r="AI181" s="58" t="str">
        <f t="shared" si="73"/>
        <v>5</v>
      </c>
      <c r="AJ181" s="37">
        <f t="shared" si="74"/>
        <v>4.2</v>
      </c>
      <c r="AK181" s="9">
        <v>5200</v>
      </c>
      <c r="AL181" s="9" t="str">
        <f t="shared" si="61"/>
        <v>4</v>
      </c>
      <c r="AM181" s="55">
        <v>33.5</v>
      </c>
      <c r="AN181" s="55">
        <v>21.44</v>
      </c>
      <c r="AO181" s="55">
        <v>833.7</v>
      </c>
      <c r="AP181" s="55">
        <v>533.56799999999998</v>
      </c>
      <c r="AQ181" s="55" t="s">
        <v>61</v>
      </c>
      <c r="AR181" s="55" t="s">
        <v>61</v>
      </c>
      <c r="AS181" s="55">
        <v>75</v>
      </c>
      <c r="AT181" s="9" t="str">
        <f t="shared" si="62"/>
        <v>3</v>
      </c>
      <c r="AU181" s="55">
        <v>1</v>
      </c>
      <c r="AV181" s="55">
        <v>1</v>
      </c>
      <c r="AW181" s="55">
        <v>5</v>
      </c>
      <c r="AX181" s="55" t="s">
        <v>61</v>
      </c>
      <c r="AY181" s="9">
        <v>1</v>
      </c>
      <c r="AZ181" s="55">
        <v>1983</v>
      </c>
      <c r="BA181" s="57">
        <f t="shared" si="63"/>
        <v>42</v>
      </c>
      <c r="BB181" s="9" t="str">
        <f t="shared" si="64"/>
        <v>5</v>
      </c>
      <c r="BC181" s="37">
        <v>1</v>
      </c>
      <c r="BD181" s="7">
        <f>(AB181*0.2)+(AJ181*0.23)+(AL181*0.05)+(AT181*0.1)+(AY181*0.18)+(BB181*0.05)+(BC181*0.19)</f>
        <v>2.8360000000000003</v>
      </c>
      <c r="BE181" s="62" t="s">
        <v>982</v>
      </c>
      <c r="BF181" s="106"/>
      <c r="BG181" s="62" t="s">
        <v>826</v>
      </c>
      <c r="BH181" s="2">
        <v>1462</v>
      </c>
      <c r="BI181" s="10"/>
      <c r="BJ181" s="10" t="s">
        <v>924</v>
      </c>
      <c r="BK181" s="10"/>
      <c r="BL181" s="10"/>
      <c r="BM181" s="10"/>
      <c r="BN181" s="61" t="s">
        <v>61</v>
      </c>
    </row>
    <row r="182" spans="1:66" ht="96" x14ac:dyDescent="0.2">
      <c r="A182" s="10">
        <v>20058383</v>
      </c>
      <c r="B182" s="10">
        <v>224023</v>
      </c>
      <c r="C182" s="10">
        <v>3000</v>
      </c>
      <c r="D182" s="10" t="s">
        <v>73</v>
      </c>
      <c r="E182" s="10" t="s">
        <v>586</v>
      </c>
      <c r="F182" s="10" t="s">
        <v>587</v>
      </c>
      <c r="G182" s="10" t="s">
        <v>125</v>
      </c>
      <c r="H182" s="10" t="s">
        <v>126</v>
      </c>
      <c r="I182" s="10" t="s">
        <v>65</v>
      </c>
      <c r="J182" s="10" t="s">
        <v>61</v>
      </c>
      <c r="K182" s="10" t="s">
        <v>66</v>
      </c>
      <c r="L182" s="10" t="s">
        <v>76</v>
      </c>
      <c r="M182" s="10" t="s">
        <v>60</v>
      </c>
      <c r="N182" s="10" t="s">
        <v>61</v>
      </c>
      <c r="O182" s="10" t="s">
        <v>130</v>
      </c>
      <c r="P182" s="11">
        <v>4.5999999999999996</v>
      </c>
      <c r="Q182" s="10">
        <v>5.3</v>
      </c>
      <c r="R182" s="10">
        <v>2.5</v>
      </c>
      <c r="S182" s="10">
        <v>0.9</v>
      </c>
      <c r="T182" s="2">
        <f t="shared" si="60"/>
        <v>13.299999999999999</v>
      </c>
      <c r="U182" s="10">
        <v>464</v>
      </c>
      <c r="V182" s="10">
        <v>4513</v>
      </c>
      <c r="W182" s="2" t="str">
        <f t="shared" si="67"/>
        <v>3</v>
      </c>
      <c r="X182" s="2" t="str">
        <f t="shared" si="68"/>
        <v>3</v>
      </c>
      <c r="Y182" s="2" t="str">
        <f t="shared" si="69"/>
        <v>1</v>
      </c>
      <c r="Z182" s="3" t="str">
        <f t="shared" si="70"/>
        <v>1</v>
      </c>
      <c r="AA182" s="10">
        <v>0</v>
      </c>
      <c r="AB182" s="3">
        <f t="shared" si="65"/>
        <v>2</v>
      </c>
      <c r="AC182" s="10">
        <v>20</v>
      </c>
      <c r="AD182" s="10">
        <v>31</v>
      </c>
      <c r="AE182" s="10">
        <v>0.02</v>
      </c>
      <c r="AF182" s="10">
        <v>43.5</v>
      </c>
      <c r="AG182" s="2">
        <f t="shared" si="71"/>
        <v>2175</v>
      </c>
      <c r="AH182" s="2" t="str">
        <f t="shared" si="72"/>
        <v>4</v>
      </c>
      <c r="AI182" s="3" t="str">
        <f t="shared" si="73"/>
        <v>1</v>
      </c>
      <c r="AJ182" s="3">
        <f t="shared" si="74"/>
        <v>3.4000000000000004</v>
      </c>
      <c r="AK182" s="2">
        <v>147</v>
      </c>
      <c r="AL182" s="2" t="str">
        <f t="shared" si="61"/>
        <v>1</v>
      </c>
      <c r="AM182" s="10">
        <v>50.2</v>
      </c>
      <c r="AN182" s="10">
        <v>41.665999999999997</v>
      </c>
      <c r="AO182" s="10">
        <v>125.51</v>
      </c>
      <c r="AP182" s="10">
        <v>104.1733</v>
      </c>
      <c r="AQ182" s="10" t="s">
        <v>61</v>
      </c>
      <c r="AR182" s="10" t="s">
        <v>61</v>
      </c>
      <c r="AS182" s="10">
        <v>83</v>
      </c>
      <c r="AT182" s="2" t="str">
        <f t="shared" si="62"/>
        <v>4</v>
      </c>
      <c r="AU182" s="10">
        <v>1</v>
      </c>
      <c r="AV182" s="10">
        <v>1</v>
      </c>
      <c r="AW182" s="10">
        <v>1</v>
      </c>
      <c r="AX182" s="10" t="s">
        <v>61</v>
      </c>
      <c r="AY182" s="2">
        <v>1</v>
      </c>
      <c r="AZ182" s="10">
        <v>2011</v>
      </c>
      <c r="BA182" s="2">
        <f t="shared" si="63"/>
        <v>14</v>
      </c>
      <c r="BB182" s="9" t="str">
        <f t="shared" si="64"/>
        <v>2</v>
      </c>
      <c r="BC182" s="37">
        <v>1</v>
      </c>
      <c r="BD182" s="7">
        <f t="shared" ref="BD182:BD196" si="77">(AB182*0.2)+(AJ182*0.23)+(AL182*0.05)+(AT182*0.1)+(AY182*0.18)+(BB182*0.05)+(BC182*0.19)</f>
        <v>2.1020000000000003</v>
      </c>
      <c r="BE182" s="62" t="s">
        <v>839</v>
      </c>
      <c r="BF182" s="106"/>
      <c r="BG182" s="62" t="s">
        <v>818</v>
      </c>
      <c r="BH182" s="2">
        <v>3418</v>
      </c>
      <c r="BI182" s="10"/>
      <c r="BJ182" s="10"/>
      <c r="BK182" s="10"/>
      <c r="BL182" s="10"/>
      <c r="BM182" s="10"/>
    </row>
    <row r="183" spans="1:66" ht="96" x14ac:dyDescent="0.2">
      <c r="A183" s="10">
        <v>20038370</v>
      </c>
      <c r="B183" s="10" t="s">
        <v>588</v>
      </c>
      <c r="C183" s="10">
        <v>60000</v>
      </c>
      <c r="D183" s="10" t="s">
        <v>134</v>
      </c>
      <c r="E183" s="10" t="s">
        <v>589</v>
      </c>
      <c r="F183" s="10" t="s">
        <v>590</v>
      </c>
      <c r="G183" s="10" t="s">
        <v>125</v>
      </c>
      <c r="H183" s="10" t="s">
        <v>148</v>
      </c>
      <c r="I183" s="10" t="s">
        <v>81</v>
      </c>
      <c r="J183" s="10" t="s">
        <v>143</v>
      </c>
      <c r="K183" s="10" t="s">
        <v>48</v>
      </c>
      <c r="L183" s="10">
        <v>110</v>
      </c>
      <c r="M183" s="10" t="s">
        <v>137</v>
      </c>
      <c r="N183" s="10" t="s">
        <v>60</v>
      </c>
      <c r="O183" s="10" t="s">
        <v>138</v>
      </c>
      <c r="P183" s="11">
        <v>5.7</v>
      </c>
      <c r="Q183" s="10">
        <v>45</v>
      </c>
      <c r="R183" s="10">
        <v>66</v>
      </c>
      <c r="S183" s="10">
        <v>14.9</v>
      </c>
      <c r="T183" s="2">
        <f t="shared" si="60"/>
        <v>131.6</v>
      </c>
      <c r="U183" s="10">
        <v>1039</v>
      </c>
      <c r="V183" s="10">
        <v>4992</v>
      </c>
      <c r="W183" s="2" t="str">
        <f t="shared" si="67"/>
        <v>5</v>
      </c>
      <c r="X183" s="2" t="str">
        <f t="shared" si="68"/>
        <v>3</v>
      </c>
      <c r="Y183" s="2" t="str">
        <f t="shared" si="69"/>
        <v>2</v>
      </c>
      <c r="Z183" s="3" t="str">
        <f t="shared" si="70"/>
        <v>1</v>
      </c>
      <c r="AA183" s="10">
        <v>0</v>
      </c>
      <c r="AB183" s="3">
        <f t="shared" si="65"/>
        <v>2.75</v>
      </c>
      <c r="AC183" s="10">
        <v>45</v>
      </c>
      <c r="AD183" s="10">
        <v>34.1</v>
      </c>
      <c r="AE183" s="10">
        <v>0.02</v>
      </c>
      <c r="AF183" s="10">
        <v>34.1</v>
      </c>
      <c r="AG183" s="2">
        <f t="shared" si="71"/>
        <v>1705</v>
      </c>
      <c r="AH183" s="2" t="str">
        <f t="shared" si="72"/>
        <v>1</v>
      </c>
      <c r="AI183" s="3" t="str">
        <f t="shared" si="73"/>
        <v>1</v>
      </c>
      <c r="AJ183" s="3">
        <f t="shared" si="74"/>
        <v>1</v>
      </c>
      <c r="AK183" s="2">
        <v>103</v>
      </c>
      <c r="AL183" s="2" t="str">
        <f t="shared" si="61"/>
        <v>1</v>
      </c>
      <c r="AM183" s="10">
        <v>315</v>
      </c>
      <c r="AN183" s="10">
        <v>170.10000000000002</v>
      </c>
      <c r="AO183" s="10">
        <v>502</v>
      </c>
      <c r="AP183" s="10">
        <v>281.12</v>
      </c>
      <c r="AQ183" s="10">
        <v>1255.2</v>
      </c>
      <c r="AR183" s="10">
        <v>665.25600000000009</v>
      </c>
      <c r="AS183" s="10">
        <v>56</v>
      </c>
      <c r="AT183" s="2" t="str">
        <f t="shared" si="62"/>
        <v>1</v>
      </c>
      <c r="AU183" s="10">
        <v>1</v>
      </c>
      <c r="AV183" s="10">
        <v>1</v>
      </c>
      <c r="AW183" s="10">
        <v>1</v>
      </c>
      <c r="AX183" s="10">
        <v>1</v>
      </c>
      <c r="AY183" s="2">
        <v>3</v>
      </c>
      <c r="AZ183" s="10">
        <v>1990</v>
      </c>
      <c r="BA183" s="2">
        <f t="shared" si="63"/>
        <v>35</v>
      </c>
      <c r="BB183" s="9" t="str">
        <f t="shared" si="64"/>
        <v>5</v>
      </c>
      <c r="BC183" s="37">
        <v>1</v>
      </c>
      <c r="BD183" s="7">
        <f t="shared" si="77"/>
        <v>1.9100000000000001</v>
      </c>
      <c r="BE183" s="62" t="s">
        <v>835</v>
      </c>
      <c r="BF183" s="106" t="s">
        <v>906</v>
      </c>
      <c r="BG183" s="8" t="s">
        <v>886</v>
      </c>
      <c r="BH183" s="2">
        <v>31437</v>
      </c>
      <c r="BI183" s="10"/>
      <c r="BJ183" s="10"/>
      <c r="BK183" s="107">
        <v>46054</v>
      </c>
      <c r="BL183" s="10" t="s">
        <v>934</v>
      </c>
      <c r="BM183" s="10"/>
      <c r="BN183" s="61" t="s">
        <v>998</v>
      </c>
    </row>
    <row r="184" spans="1:66" ht="80" x14ac:dyDescent="0.2">
      <c r="A184" s="10">
        <v>20700079</v>
      </c>
      <c r="B184" s="10" t="s">
        <v>592</v>
      </c>
      <c r="C184" s="101">
        <v>2500</v>
      </c>
      <c r="D184" s="101" t="s">
        <v>73</v>
      </c>
      <c r="E184" s="101" t="s">
        <v>593</v>
      </c>
      <c r="F184" s="101" t="s">
        <v>594</v>
      </c>
      <c r="G184" s="101" t="s">
        <v>58</v>
      </c>
      <c r="H184" s="101" t="s">
        <v>59</v>
      </c>
      <c r="I184" s="101" t="s">
        <v>65</v>
      </c>
      <c r="J184" s="101" t="s">
        <v>61</v>
      </c>
      <c r="K184" s="101" t="s">
        <v>66</v>
      </c>
      <c r="L184" s="101" t="s">
        <v>76</v>
      </c>
      <c r="M184" s="101" t="s">
        <v>60</v>
      </c>
      <c r="N184" s="101" t="s">
        <v>61</v>
      </c>
      <c r="O184" s="101" t="s">
        <v>77</v>
      </c>
      <c r="P184" s="104">
        <v>6.1</v>
      </c>
      <c r="Q184" s="101">
        <v>12.3</v>
      </c>
      <c r="R184" s="101">
        <v>3.1</v>
      </c>
      <c r="S184" s="101">
        <v>1.9</v>
      </c>
      <c r="T184" s="9">
        <f t="shared" si="60"/>
        <v>23.4</v>
      </c>
      <c r="U184" s="101">
        <v>1300</v>
      </c>
      <c r="V184" s="101">
        <v>3522</v>
      </c>
      <c r="W184" s="9" t="str">
        <f t="shared" si="67"/>
        <v>5</v>
      </c>
      <c r="X184" s="9" t="str">
        <f t="shared" si="68"/>
        <v>3</v>
      </c>
      <c r="Y184" s="9" t="str">
        <f t="shared" si="69"/>
        <v>1</v>
      </c>
      <c r="Z184" s="37" t="str">
        <f t="shared" si="70"/>
        <v>1</v>
      </c>
      <c r="AA184" s="101">
        <v>0.2</v>
      </c>
      <c r="AB184" s="37">
        <f t="shared" si="65"/>
        <v>2.5</v>
      </c>
      <c r="AC184" s="101">
        <v>45</v>
      </c>
      <c r="AD184" s="101">
        <v>10</v>
      </c>
      <c r="AE184" s="101">
        <v>0.02</v>
      </c>
      <c r="AF184" s="101">
        <v>32.700000000000003</v>
      </c>
      <c r="AG184" s="9">
        <f t="shared" si="71"/>
        <v>1635</v>
      </c>
      <c r="AH184" s="9" t="str">
        <f t="shared" si="72"/>
        <v>1</v>
      </c>
      <c r="AI184" s="37" t="str">
        <f t="shared" si="73"/>
        <v>1</v>
      </c>
      <c r="AJ184" s="37">
        <f t="shared" si="74"/>
        <v>1</v>
      </c>
      <c r="AK184" s="9">
        <v>1</v>
      </c>
      <c r="AL184" s="9" t="str">
        <f t="shared" si="61"/>
        <v>1</v>
      </c>
      <c r="AM184" s="101">
        <v>41.84</v>
      </c>
      <c r="AN184" s="101">
        <v>28.451200000000004</v>
      </c>
      <c r="AO184" s="101">
        <v>104.6</v>
      </c>
      <c r="AP184" s="101">
        <v>71.128</v>
      </c>
      <c r="AQ184" s="101" t="s">
        <v>61</v>
      </c>
      <c r="AR184" s="101" t="s">
        <v>61</v>
      </c>
      <c r="AS184" s="101">
        <v>65</v>
      </c>
      <c r="AT184" s="9" t="str">
        <f t="shared" si="62"/>
        <v>2</v>
      </c>
      <c r="AU184" s="10">
        <v>1</v>
      </c>
      <c r="AV184" s="10">
        <v>1</v>
      </c>
      <c r="AW184" s="10">
        <v>1</v>
      </c>
      <c r="AX184" s="10" t="s">
        <v>61</v>
      </c>
      <c r="AY184" s="2">
        <v>1</v>
      </c>
      <c r="AZ184" s="10">
        <v>2022</v>
      </c>
      <c r="BA184" s="2">
        <f t="shared" si="63"/>
        <v>3</v>
      </c>
      <c r="BB184" s="9" t="str">
        <f t="shared" si="64"/>
        <v>1</v>
      </c>
      <c r="BC184" s="37">
        <v>1</v>
      </c>
      <c r="BD184" s="7">
        <f t="shared" si="77"/>
        <v>1.4</v>
      </c>
      <c r="BE184" s="62" t="s">
        <v>827</v>
      </c>
      <c r="BF184" s="106"/>
      <c r="BG184" s="62"/>
      <c r="BH184" s="2">
        <v>2218</v>
      </c>
      <c r="BI184" s="10"/>
      <c r="BJ184" s="10"/>
      <c r="BK184" s="107">
        <v>46089</v>
      </c>
      <c r="BL184" s="10" t="s">
        <v>938</v>
      </c>
      <c r="BM184" s="10"/>
    </row>
    <row r="185" spans="1:66" ht="64" x14ac:dyDescent="0.2">
      <c r="A185" s="10">
        <v>20700518</v>
      </c>
      <c r="B185" s="10">
        <v>200102</v>
      </c>
      <c r="C185" s="101">
        <v>6500</v>
      </c>
      <c r="D185" s="101" t="s">
        <v>73</v>
      </c>
      <c r="E185" s="101" t="s">
        <v>595</v>
      </c>
      <c r="F185" s="101" t="s">
        <v>596</v>
      </c>
      <c r="G185" s="101" t="s">
        <v>70</v>
      </c>
      <c r="H185" s="101" t="s">
        <v>70</v>
      </c>
      <c r="I185" s="101" t="s">
        <v>81</v>
      </c>
      <c r="J185" s="101" t="s">
        <v>143</v>
      </c>
      <c r="K185" s="101" t="s">
        <v>66</v>
      </c>
      <c r="L185" s="101" t="s">
        <v>76</v>
      </c>
      <c r="M185" s="101" t="s">
        <v>60</v>
      </c>
      <c r="N185" s="101" t="s">
        <v>61</v>
      </c>
      <c r="O185" s="101" t="s">
        <v>83</v>
      </c>
      <c r="P185" s="116">
        <v>5.5</v>
      </c>
      <c r="Q185" s="101">
        <v>24</v>
      </c>
      <c r="R185" s="101">
        <v>38</v>
      </c>
      <c r="S185" s="101">
        <v>4.0999999999999996</v>
      </c>
      <c r="T185" s="9">
        <f t="shared" si="60"/>
        <v>71.599999999999994</v>
      </c>
      <c r="U185" s="101">
        <v>1021</v>
      </c>
      <c r="V185" s="101">
        <v>4735</v>
      </c>
      <c r="W185" s="9" t="str">
        <f t="shared" si="67"/>
        <v>5</v>
      </c>
      <c r="X185" s="9" t="str">
        <f t="shared" si="68"/>
        <v>3</v>
      </c>
      <c r="Y185" s="9" t="str">
        <f t="shared" si="69"/>
        <v>1</v>
      </c>
      <c r="Z185" s="37" t="str">
        <f t="shared" si="70"/>
        <v>1</v>
      </c>
      <c r="AA185" s="101">
        <v>0</v>
      </c>
      <c r="AB185" s="37">
        <f t="shared" si="65"/>
        <v>2.5</v>
      </c>
      <c r="AC185" s="101">
        <v>17</v>
      </c>
      <c r="AD185" s="101">
        <v>36</v>
      </c>
      <c r="AE185" s="101">
        <v>0.05</v>
      </c>
      <c r="AF185" s="101">
        <v>30.8</v>
      </c>
      <c r="AG185" s="9">
        <f t="shared" si="71"/>
        <v>616</v>
      </c>
      <c r="AH185" s="9" t="str">
        <f t="shared" si="72"/>
        <v>4</v>
      </c>
      <c r="AI185" s="37" t="str">
        <f t="shared" si="73"/>
        <v>5</v>
      </c>
      <c r="AJ185" s="37">
        <f t="shared" si="74"/>
        <v>4.2</v>
      </c>
      <c r="AK185" s="9">
        <v>439</v>
      </c>
      <c r="AL185" s="9" t="str">
        <f t="shared" si="61"/>
        <v>1</v>
      </c>
      <c r="AM185" s="101">
        <v>108.7</v>
      </c>
      <c r="AN185" s="101">
        <v>52.176000000000002</v>
      </c>
      <c r="AO185" s="101">
        <v>271.89999999999998</v>
      </c>
      <c r="AP185" s="101">
        <v>130.51199999999997</v>
      </c>
      <c r="AQ185" s="101" t="s">
        <v>61</v>
      </c>
      <c r="AR185" s="101" t="s">
        <v>61</v>
      </c>
      <c r="AS185" s="101">
        <v>48</v>
      </c>
      <c r="AT185" s="9" t="str">
        <f t="shared" si="62"/>
        <v>1</v>
      </c>
      <c r="AU185" s="55">
        <v>1</v>
      </c>
      <c r="AV185" s="55">
        <v>1</v>
      </c>
      <c r="AW185" s="55">
        <v>1</v>
      </c>
      <c r="AX185" s="55" t="s">
        <v>61</v>
      </c>
      <c r="AY185" s="2">
        <v>1</v>
      </c>
      <c r="AZ185" s="55">
        <v>1999</v>
      </c>
      <c r="BA185" s="57">
        <f t="shared" si="63"/>
        <v>26</v>
      </c>
      <c r="BB185" s="9" t="str">
        <f t="shared" si="64"/>
        <v>4</v>
      </c>
      <c r="BC185" s="37">
        <v>1</v>
      </c>
      <c r="BD185" s="7">
        <f t="shared" si="77"/>
        <v>2.1860000000000004</v>
      </c>
      <c r="BE185" s="62" t="s">
        <v>825</v>
      </c>
      <c r="BF185" s="106"/>
      <c r="BG185" s="8" t="s">
        <v>983</v>
      </c>
      <c r="BH185" s="2">
        <v>5909</v>
      </c>
      <c r="BI185" s="10"/>
      <c r="BJ185" s="10"/>
      <c r="BK185" s="10"/>
      <c r="BL185" s="10"/>
      <c r="BM185" s="10"/>
      <c r="BN185" s="61" t="s">
        <v>998</v>
      </c>
    </row>
    <row r="186" spans="1:66" ht="96" x14ac:dyDescent="0.2">
      <c r="A186" s="10">
        <v>20038367</v>
      </c>
      <c r="B186" s="10">
        <v>200026</v>
      </c>
      <c r="C186" s="10">
        <v>30000</v>
      </c>
      <c r="D186" s="10" t="s">
        <v>152</v>
      </c>
      <c r="E186" s="10" t="s">
        <v>597</v>
      </c>
      <c r="F186" s="10" t="s">
        <v>598</v>
      </c>
      <c r="G186" s="10" t="s">
        <v>125</v>
      </c>
      <c r="H186" s="10" t="s">
        <v>148</v>
      </c>
      <c r="I186" s="10" t="s">
        <v>81</v>
      </c>
      <c r="J186" s="10" t="s">
        <v>143</v>
      </c>
      <c r="K186" s="10" t="s">
        <v>48</v>
      </c>
      <c r="L186" s="10">
        <v>110</v>
      </c>
      <c r="M186" s="10" t="s">
        <v>137</v>
      </c>
      <c r="N186" s="10" t="s">
        <v>60</v>
      </c>
      <c r="O186" s="10" t="s">
        <v>243</v>
      </c>
      <c r="P186" s="11">
        <v>4.2</v>
      </c>
      <c r="Q186" s="10">
        <v>7</v>
      </c>
      <c r="R186" s="10">
        <v>4.7</v>
      </c>
      <c r="S186" s="10">
        <v>1.3</v>
      </c>
      <c r="T186" s="2">
        <f t="shared" si="60"/>
        <v>17.2</v>
      </c>
      <c r="U186" s="10">
        <v>226</v>
      </c>
      <c r="V186" s="10">
        <v>1624</v>
      </c>
      <c r="W186" s="2" t="str">
        <f t="shared" ref="W186:W207" si="78">IF(U186&gt;=750,"5",IF(U186&gt;=550,"4",IF(U186&gt;=300,"3",IF(U186&gt;=100,"2","1"))))</f>
        <v>2</v>
      </c>
      <c r="X186" s="2" t="str">
        <f t="shared" ref="X186:X207" si="79">IF(V186&gt;=7001,"5",IF(V186&gt;=5000,"4",IF(V186&gt;=3000,"3",IF(V186&gt;=1500,"2","1"))))</f>
        <v>2</v>
      </c>
      <c r="Y186" s="2" t="str">
        <f t="shared" ref="Y186:Y207" si="80">IF(T186&gt;=401,"5",IF(T186&gt;=301,"4",IF(T186&gt;=201,"3",IF(T186&gt;=95,"2","1"))))</f>
        <v>1</v>
      </c>
      <c r="Z186" s="3" t="str">
        <f t="shared" ref="Z186:Z207" si="81">IF(AA186&gt;=7,"5",IF(AA186&gt;=6,"4",IF(AA186&gt;=5,"3",IF(AA186&gt;=2,"2","1"))))</f>
        <v>1</v>
      </c>
      <c r="AA186" s="10">
        <v>0</v>
      </c>
      <c r="AB186" s="3">
        <f t="shared" si="65"/>
        <v>1.5</v>
      </c>
      <c r="AC186" s="10">
        <v>51</v>
      </c>
      <c r="AD186" s="10">
        <v>9</v>
      </c>
      <c r="AE186" s="10">
        <v>0.02</v>
      </c>
      <c r="AF186" s="10">
        <v>40.200000000000003</v>
      </c>
      <c r="AG186" s="2">
        <f t="shared" ref="AG186:AG207" si="82">AF186/AE186</f>
        <v>2010</v>
      </c>
      <c r="AH186" s="2" t="str">
        <f t="shared" ref="AH186:AH207" si="83">IF(AC186&lt;=16,"5",IF(AC186&lt;=20,"4",IF(AC186&lt;=25,"3",IF(AC186&lt;=33,"2","1"))))</f>
        <v>1</v>
      </c>
      <c r="AI186" s="3" t="str">
        <f t="shared" ref="AI186:AI207" si="84">IF(AG186&lt;=713,"5",IF(AG186&lt;=999,"4",IF(AG186&lt;=1130,"3",IF(AG186&lt;=1499,"2","1"))))</f>
        <v>1</v>
      </c>
      <c r="AJ186" s="3">
        <f t="shared" ref="AJ186:AJ207" si="85">AH186*0.8+AI186*0.2</f>
        <v>1</v>
      </c>
      <c r="AK186" s="2">
        <v>2760</v>
      </c>
      <c r="AL186" s="2" t="str">
        <f t="shared" si="61"/>
        <v>2</v>
      </c>
      <c r="AM186" s="10">
        <v>157.5</v>
      </c>
      <c r="AN186" s="10">
        <v>86.625</v>
      </c>
      <c r="AO186" s="10">
        <v>334.7</v>
      </c>
      <c r="AP186" s="10">
        <v>174.04400000000001</v>
      </c>
      <c r="AQ186" s="10">
        <v>627.6</v>
      </c>
      <c r="AR186" s="10">
        <v>263.59199999999998</v>
      </c>
      <c r="AS186" s="10">
        <v>55</v>
      </c>
      <c r="AT186" s="2" t="str">
        <f t="shared" si="62"/>
        <v>1</v>
      </c>
      <c r="AU186" s="10">
        <v>1</v>
      </c>
      <c r="AV186" s="10">
        <v>1</v>
      </c>
      <c r="AW186" s="10">
        <v>1</v>
      </c>
      <c r="AX186" s="10">
        <v>1</v>
      </c>
      <c r="AY186" s="2">
        <v>2</v>
      </c>
      <c r="AZ186" s="10">
        <v>1998</v>
      </c>
      <c r="BA186" s="2">
        <f t="shared" si="63"/>
        <v>27</v>
      </c>
      <c r="BB186" s="2" t="str">
        <f t="shared" si="64"/>
        <v>4</v>
      </c>
      <c r="BC186" s="3">
        <v>1</v>
      </c>
      <c r="BD186" s="7">
        <f t="shared" si="77"/>
        <v>1.4799999999999998</v>
      </c>
      <c r="BE186" s="62" t="s">
        <v>851</v>
      </c>
      <c r="BF186" s="62" t="s">
        <v>907</v>
      </c>
      <c r="BG186" s="8" t="s">
        <v>815</v>
      </c>
      <c r="BH186" s="2">
        <v>14374</v>
      </c>
      <c r="BI186" s="10"/>
      <c r="BJ186" s="10"/>
      <c r="BK186" s="10"/>
      <c r="BL186" s="10"/>
      <c r="BM186" s="10"/>
      <c r="BN186" s="61" t="s">
        <v>998</v>
      </c>
    </row>
    <row r="187" spans="1:66" ht="64" x14ac:dyDescent="0.2">
      <c r="A187" s="10">
        <v>20038380</v>
      </c>
      <c r="B187" s="10">
        <v>200727</v>
      </c>
      <c r="C187" s="10">
        <v>15000</v>
      </c>
      <c r="D187" s="10" t="s">
        <v>73</v>
      </c>
      <c r="E187" s="10" t="s">
        <v>599</v>
      </c>
      <c r="F187" s="10" t="s">
        <v>600</v>
      </c>
      <c r="G187" s="10" t="s">
        <v>125</v>
      </c>
      <c r="H187" s="10" t="s">
        <v>148</v>
      </c>
      <c r="I187" s="10" t="s">
        <v>81</v>
      </c>
      <c r="J187" s="10" t="s">
        <v>82</v>
      </c>
      <c r="K187" s="10" t="s">
        <v>48</v>
      </c>
      <c r="L187" s="10" t="s">
        <v>76</v>
      </c>
      <c r="M187" s="10" t="s">
        <v>60</v>
      </c>
      <c r="N187" s="10" t="s">
        <v>61</v>
      </c>
      <c r="O187" s="10" t="s">
        <v>164</v>
      </c>
      <c r="P187" s="11">
        <v>22</v>
      </c>
      <c r="Q187" s="10">
        <v>5.5</v>
      </c>
      <c r="R187" s="10">
        <v>0.7</v>
      </c>
      <c r="S187" s="10">
        <v>1.5</v>
      </c>
      <c r="T187" s="2">
        <f t="shared" si="60"/>
        <v>29.7</v>
      </c>
      <c r="U187" s="10">
        <v>160</v>
      </c>
      <c r="V187" s="10">
        <v>1296</v>
      </c>
      <c r="W187" s="2" t="str">
        <f t="shared" si="78"/>
        <v>2</v>
      </c>
      <c r="X187" s="2" t="str">
        <f t="shared" si="79"/>
        <v>1</v>
      </c>
      <c r="Y187" s="2" t="str">
        <f t="shared" si="80"/>
        <v>1</v>
      </c>
      <c r="Z187" s="3" t="str">
        <f t="shared" si="81"/>
        <v>1</v>
      </c>
      <c r="AA187" s="10">
        <v>0.5</v>
      </c>
      <c r="AB187" s="3">
        <f t="shared" si="65"/>
        <v>1.25</v>
      </c>
      <c r="AC187" s="10">
        <v>44</v>
      </c>
      <c r="AD187" s="10">
        <v>8</v>
      </c>
      <c r="AE187" s="10">
        <v>0.02</v>
      </c>
      <c r="AF187" s="10">
        <v>42.2</v>
      </c>
      <c r="AG187" s="2">
        <f t="shared" si="82"/>
        <v>2110</v>
      </c>
      <c r="AH187" s="2" t="str">
        <f t="shared" si="83"/>
        <v>1</v>
      </c>
      <c r="AI187" s="3" t="str">
        <f t="shared" si="84"/>
        <v>1</v>
      </c>
      <c r="AJ187" s="3">
        <f t="shared" si="85"/>
        <v>1</v>
      </c>
      <c r="AK187" s="2">
        <v>3100</v>
      </c>
      <c r="AL187" s="2" t="str">
        <f t="shared" si="61"/>
        <v>2</v>
      </c>
      <c r="AM187" s="10">
        <v>251</v>
      </c>
      <c r="AN187" s="10">
        <v>210.84</v>
      </c>
      <c r="AO187" s="10">
        <v>627.6</v>
      </c>
      <c r="AP187" s="10">
        <v>527.18399999999997</v>
      </c>
      <c r="AQ187" s="10" t="s">
        <v>61</v>
      </c>
      <c r="AR187" s="10" t="s">
        <v>61</v>
      </c>
      <c r="AS187" s="10">
        <v>84</v>
      </c>
      <c r="AT187" s="2" t="str">
        <f t="shared" si="62"/>
        <v>4</v>
      </c>
      <c r="AU187" s="10">
        <v>1</v>
      </c>
      <c r="AV187" s="10">
        <v>1</v>
      </c>
      <c r="AW187" s="10">
        <v>1</v>
      </c>
      <c r="AX187" s="10">
        <v>1</v>
      </c>
      <c r="AY187" s="2">
        <v>1</v>
      </c>
      <c r="AZ187" s="10">
        <v>2009</v>
      </c>
      <c r="BA187" s="2">
        <f t="shared" si="63"/>
        <v>16</v>
      </c>
      <c r="BB187" s="2" t="str">
        <f t="shared" si="64"/>
        <v>2</v>
      </c>
      <c r="BC187" s="3">
        <v>1</v>
      </c>
      <c r="BD187" s="7">
        <f t="shared" si="77"/>
        <v>1.45</v>
      </c>
      <c r="BE187" s="62" t="s">
        <v>828</v>
      </c>
      <c r="BF187" s="62"/>
      <c r="BG187" s="8" t="s">
        <v>856</v>
      </c>
      <c r="BH187" s="2">
        <v>10132</v>
      </c>
      <c r="BI187" s="10"/>
      <c r="BJ187" s="10"/>
      <c r="BK187" s="10"/>
      <c r="BL187" s="10"/>
      <c r="BM187" s="10"/>
      <c r="BN187" s="61" t="s">
        <v>997</v>
      </c>
    </row>
    <row r="188" spans="1:66" ht="64" x14ac:dyDescent="0.2">
      <c r="A188" s="10">
        <v>20038385</v>
      </c>
      <c r="B188" s="10">
        <v>78710113</v>
      </c>
      <c r="C188" s="10">
        <v>4000</v>
      </c>
      <c r="D188" s="10" t="s">
        <v>73</v>
      </c>
      <c r="E188" s="10" t="s">
        <v>148</v>
      </c>
      <c r="F188" s="10" t="s">
        <v>603</v>
      </c>
      <c r="G188" s="10" t="s">
        <v>125</v>
      </c>
      <c r="H188" s="10" t="s">
        <v>148</v>
      </c>
      <c r="I188" s="10" t="s">
        <v>65</v>
      </c>
      <c r="J188" s="10" t="s">
        <v>82</v>
      </c>
      <c r="K188" s="10" t="s">
        <v>66</v>
      </c>
      <c r="L188" s="10">
        <v>30</v>
      </c>
      <c r="M188" s="10" t="s">
        <v>60</v>
      </c>
      <c r="N188" s="10" t="s">
        <v>61</v>
      </c>
      <c r="O188" s="10" t="s">
        <v>130</v>
      </c>
      <c r="P188" s="11">
        <v>1.7</v>
      </c>
      <c r="Q188" s="10">
        <v>2.5</v>
      </c>
      <c r="R188" s="10">
        <v>5.4</v>
      </c>
      <c r="S188" s="10">
        <v>0.6</v>
      </c>
      <c r="T188" s="2">
        <f t="shared" si="60"/>
        <v>10.200000000000001</v>
      </c>
      <c r="U188" s="10">
        <v>148</v>
      </c>
      <c r="V188" s="10">
        <v>1761</v>
      </c>
      <c r="W188" s="2" t="str">
        <f t="shared" si="78"/>
        <v>2</v>
      </c>
      <c r="X188" s="2" t="str">
        <f t="shared" si="79"/>
        <v>2</v>
      </c>
      <c r="Y188" s="2" t="str">
        <f t="shared" si="80"/>
        <v>1</v>
      </c>
      <c r="Z188" s="3" t="str">
        <f t="shared" si="81"/>
        <v>1</v>
      </c>
      <c r="AA188" s="10">
        <v>0</v>
      </c>
      <c r="AB188" s="3">
        <f t="shared" si="65"/>
        <v>1.5</v>
      </c>
      <c r="AC188" s="10">
        <v>44</v>
      </c>
      <c r="AD188" s="10">
        <v>9</v>
      </c>
      <c r="AE188" s="10">
        <v>0.02</v>
      </c>
      <c r="AF188" s="10">
        <v>41.5</v>
      </c>
      <c r="AG188" s="2">
        <f t="shared" si="82"/>
        <v>2075</v>
      </c>
      <c r="AH188" s="2" t="str">
        <f t="shared" si="83"/>
        <v>1</v>
      </c>
      <c r="AI188" s="3" t="str">
        <f t="shared" si="84"/>
        <v>1</v>
      </c>
      <c r="AJ188" s="3">
        <f t="shared" si="85"/>
        <v>1</v>
      </c>
      <c r="AK188" s="2">
        <v>23</v>
      </c>
      <c r="AL188" s="2" t="str">
        <f t="shared" si="61"/>
        <v>1</v>
      </c>
      <c r="AM188" s="10">
        <v>76.98</v>
      </c>
      <c r="AN188" s="10">
        <v>63.8934</v>
      </c>
      <c r="AO188" s="10">
        <v>167.35</v>
      </c>
      <c r="AP188" s="10">
        <v>138.90049999999999</v>
      </c>
      <c r="AQ188" s="10" t="s">
        <v>61</v>
      </c>
      <c r="AR188" s="10" t="s">
        <v>61</v>
      </c>
      <c r="AS188" s="10">
        <v>83</v>
      </c>
      <c r="AT188" s="2" t="str">
        <f t="shared" si="62"/>
        <v>4</v>
      </c>
      <c r="AU188" s="10">
        <v>1</v>
      </c>
      <c r="AV188" s="10">
        <v>1</v>
      </c>
      <c r="AW188" s="10">
        <v>1</v>
      </c>
      <c r="AX188" s="10" t="s">
        <v>61</v>
      </c>
      <c r="AY188" s="2">
        <v>1</v>
      </c>
      <c r="AZ188" s="10">
        <v>2014</v>
      </c>
      <c r="BA188" s="2">
        <f t="shared" si="63"/>
        <v>11</v>
      </c>
      <c r="BB188" s="2" t="str">
        <f t="shared" si="64"/>
        <v>2</v>
      </c>
      <c r="BC188" s="3">
        <v>1</v>
      </c>
      <c r="BD188" s="7">
        <f t="shared" si="77"/>
        <v>1.4500000000000002</v>
      </c>
      <c r="BE188" s="100" t="s">
        <v>828</v>
      </c>
      <c r="BF188" s="62"/>
      <c r="BG188" s="62"/>
      <c r="BH188" s="2">
        <v>6828</v>
      </c>
      <c r="BI188" s="10"/>
      <c r="BJ188" s="10"/>
      <c r="BK188" s="10"/>
      <c r="BL188" s="10"/>
      <c r="BM188" s="10"/>
    </row>
    <row r="189" spans="1:66" ht="64" x14ac:dyDescent="0.2">
      <c r="A189" s="10">
        <v>20700354</v>
      </c>
      <c r="B189" s="10">
        <v>200715</v>
      </c>
      <c r="C189" s="10">
        <v>6500</v>
      </c>
      <c r="D189" s="10" t="s">
        <v>73</v>
      </c>
      <c r="E189" s="10" t="s">
        <v>605</v>
      </c>
      <c r="F189" s="10" t="s">
        <v>607</v>
      </c>
      <c r="G189" s="10" t="s">
        <v>70</v>
      </c>
      <c r="H189" s="10" t="s">
        <v>70</v>
      </c>
      <c r="I189" s="10" t="s">
        <v>81</v>
      </c>
      <c r="J189" s="10" t="s">
        <v>82</v>
      </c>
      <c r="K189" s="10" t="s">
        <v>66</v>
      </c>
      <c r="L189" s="10" t="s">
        <v>76</v>
      </c>
      <c r="M189" s="10" t="s">
        <v>60</v>
      </c>
      <c r="N189" s="10" t="s">
        <v>61</v>
      </c>
      <c r="O189" s="10" t="s">
        <v>83</v>
      </c>
      <c r="P189" s="11">
        <v>7.9</v>
      </c>
      <c r="Q189" s="10">
        <v>6.3</v>
      </c>
      <c r="R189" s="10">
        <v>55</v>
      </c>
      <c r="S189" s="10">
        <v>3.4</v>
      </c>
      <c r="T189" s="2">
        <f t="shared" si="60"/>
        <v>72.600000000000009</v>
      </c>
      <c r="U189" s="10">
        <v>497</v>
      </c>
      <c r="V189" s="10">
        <v>3541</v>
      </c>
      <c r="W189" s="2" t="str">
        <f t="shared" si="78"/>
        <v>3</v>
      </c>
      <c r="X189" s="2" t="str">
        <f t="shared" si="79"/>
        <v>3</v>
      </c>
      <c r="Y189" s="2" t="str">
        <f t="shared" si="80"/>
        <v>1</v>
      </c>
      <c r="Z189" s="3" t="str">
        <f t="shared" si="81"/>
        <v>1</v>
      </c>
      <c r="AA189" s="10">
        <v>0</v>
      </c>
      <c r="AB189" s="3">
        <f t="shared" si="65"/>
        <v>2</v>
      </c>
      <c r="AC189" s="10">
        <v>36</v>
      </c>
      <c r="AD189" s="10">
        <v>10</v>
      </c>
      <c r="AE189" s="10">
        <v>0.02</v>
      </c>
      <c r="AF189" s="10">
        <v>32.6</v>
      </c>
      <c r="AG189" s="2">
        <f t="shared" si="82"/>
        <v>1630</v>
      </c>
      <c r="AH189" s="2" t="str">
        <f t="shared" si="83"/>
        <v>1</v>
      </c>
      <c r="AI189" s="3" t="str">
        <f t="shared" si="84"/>
        <v>1</v>
      </c>
      <c r="AJ189" s="3">
        <f t="shared" si="85"/>
        <v>1</v>
      </c>
      <c r="AK189" s="2">
        <v>78</v>
      </c>
      <c r="AL189" s="2" t="str">
        <f t="shared" si="61"/>
        <v>1</v>
      </c>
      <c r="AM189" s="10">
        <v>108.8</v>
      </c>
      <c r="AN189" s="10">
        <v>58.752000000000002</v>
      </c>
      <c r="AO189" s="10">
        <v>271.89999999999998</v>
      </c>
      <c r="AP189" s="10">
        <v>146.82599999999999</v>
      </c>
      <c r="AQ189" s="10" t="s">
        <v>61</v>
      </c>
      <c r="AR189" s="10" t="s">
        <v>61</v>
      </c>
      <c r="AS189" s="10">
        <v>54</v>
      </c>
      <c r="AT189" s="2" t="str">
        <f t="shared" si="62"/>
        <v>1</v>
      </c>
      <c r="AU189" s="10">
        <v>1</v>
      </c>
      <c r="AV189" s="10">
        <v>1</v>
      </c>
      <c r="AW189" s="10">
        <v>1</v>
      </c>
      <c r="AX189" s="10" t="s">
        <v>61</v>
      </c>
      <c r="AY189" s="2">
        <v>1</v>
      </c>
      <c r="AZ189" s="10">
        <v>2009</v>
      </c>
      <c r="BA189" s="2">
        <f t="shared" si="63"/>
        <v>16</v>
      </c>
      <c r="BB189" s="2" t="str">
        <f t="shared" si="64"/>
        <v>2</v>
      </c>
      <c r="BC189" s="3">
        <v>1</v>
      </c>
      <c r="BD189" s="7">
        <f t="shared" si="77"/>
        <v>1.25</v>
      </c>
      <c r="BE189" s="100" t="s">
        <v>828</v>
      </c>
      <c r="BF189" s="62"/>
      <c r="BG189" s="8" t="s">
        <v>887</v>
      </c>
      <c r="BH189" s="2">
        <v>7541</v>
      </c>
      <c r="BI189" s="10"/>
      <c r="BJ189" s="10"/>
      <c r="BK189" s="10"/>
      <c r="BL189" s="10"/>
      <c r="BM189" s="10"/>
    </row>
    <row r="190" spans="1:66" ht="96" x14ac:dyDescent="0.2">
      <c r="A190" s="10">
        <v>20700354</v>
      </c>
      <c r="B190" s="10" t="s">
        <v>604</v>
      </c>
      <c r="C190" s="10">
        <v>6500</v>
      </c>
      <c r="D190" s="10" t="s">
        <v>73</v>
      </c>
      <c r="E190" s="10" t="s">
        <v>605</v>
      </c>
      <c r="F190" s="10" t="s">
        <v>606</v>
      </c>
      <c r="G190" s="10" t="s">
        <v>70</v>
      </c>
      <c r="H190" s="10" t="s">
        <v>70</v>
      </c>
      <c r="I190" s="10" t="s">
        <v>81</v>
      </c>
      <c r="J190" s="10" t="s">
        <v>82</v>
      </c>
      <c r="K190" s="10" t="s">
        <v>66</v>
      </c>
      <c r="L190" s="10" t="s">
        <v>76</v>
      </c>
      <c r="M190" s="10" t="s">
        <v>60</v>
      </c>
      <c r="N190" s="10" t="s">
        <v>61</v>
      </c>
      <c r="O190" s="10" t="s">
        <v>83</v>
      </c>
      <c r="P190" s="11">
        <v>4.2</v>
      </c>
      <c r="Q190" s="10">
        <v>13.8</v>
      </c>
      <c r="R190" s="10">
        <v>2.5</v>
      </c>
      <c r="S190" s="10">
        <v>1.4</v>
      </c>
      <c r="T190" s="2">
        <f t="shared" si="60"/>
        <v>21.9</v>
      </c>
      <c r="U190" s="10">
        <v>1627</v>
      </c>
      <c r="V190" s="10">
        <v>3329</v>
      </c>
      <c r="W190" s="2" t="str">
        <f t="shared" si="78"/>
        <v>5</v>
      </c>
      <c r="X190" s="2" t="str">
        <f t="shared" si="79"/>
        <v>3</v>
      </c>
      <c r="Y190" s="2" t="str">
        <f t="shared" si="80"/>
        <v>1</v>
      </c>
      <c r="Z190" s="3" t="str">
        <f t="shared" si="81"/>
        <v>1</v>
      </c>
      <c r="AA190" s="10">
        <v>0.1</v>
      </c>
      <c r="AB190" s="3">
        <f t="shared" si="65"/>
        <v>2.5</v>
      </c>
      <c r="AC190" s="10">
        <v>41</v>
      </c>
      <c r="AD190" s="10">
        <v>10</v>
      </c>
      <c r="AE190" s="10">
        <v>0.02</v>
      </c>
      <c r="AF190" s="10">
        <v>42.1</v>
      </c>
      <c r="AG190" s="2">
        <f t="shared" si="82"/>
        <v>2105</v>
      </c>
      <c r="AH190" s="2" t="str">
        <f t="shared" si="83"/>
        <v>1</v>
      </c>
      <c r="AI190" s="3" t="str">
        <f t="shared" si="84"/>
        <v>1</v>
      </c>
      <c r="AJ190" s="3">
        <f t="shared" si="85"/>
        <v>1</v>
      </c>
      <c r="AK190" s="2">
        <v>14</v>
      </c>
      <c r="AL190" s="2" t="str">
        <f t="shared" si="61"/>
        <v>1</v>
      </c>
      <c r="AM190" s="10">
        <v>108.78</v>
      </c>
      <c r="AN190" s="10">
        <v>58.741200000000006</v>
      </c>
      <c r="AO190" s="10">
        <v>271.89999999999998</v>
      </c>
      <c r="AP190" s="10">
        <v>146.82599999999999</v>
      </c>
      <c r="AQ190" s="10" t="s">
        <v>61</v>
      </c>
      <c r="AR190" s="10" t="s">
        <v>61</v>
      </c>
      <c r="AS190" s="10">
        <v>54</v>
      </c>
      <c r="AT190" s="2" t="str">
        <f t="shared" si="62"/>
        <v>1</v>
      </c>
      <c r="AU190" s="10">
        <v>1</v>
      </c>
      <c r="AV190" s="10">
        <v>1</v>
      </c>
      <c r="AW190" s="10">
        <v>1</v>
      </c>
      <c r="AX190" s="10" t="s">
        <v>61</v>
      </c>
      <c r="AY190" s="2">
        <v>5</v>
      </c>
      <c r="AZ190" s="10">
        <v>2022</v>
      </c>
      <c r="BA190" s="2">
        <f t="shared" si="63"/>
        <v>3</v>
      </c>
      <c r="BB190" s="2" t="str">
        <f t="shared" si="64"/>
        <v>1</v>
      </c>
      <c r="BC190" s="3">
        <v>1</v>
      </c>
      <c r="BD190" s="7">
        <f t="shared" si="77"/>
        <v>2.02</v>
      </c>
      <c r="BE190" s="99" t="s">
        <v>835</v>
      </c>
      <c r="BF190" s="62"/>
      <c r="BG190" s="62"/>
      <c r="BH190" s="2">
        <v>6394</v>
      </c>
      <c r="BI190" s="10"/>
      <c r="BJ190" s="10"/>
      <c r="BK190" s="10"/>
      <c r="BL190" s="10"/>
      <c r="BM190" s="10"/>
    </row>
    <row r="191" spans="1:66" ht="64" x14ac:dyDescent="0.2">
      <c r="A191" s="10">
        <v>20028481</v>
      </c>
      <c r="B191" s="10">
        <v>1072462800</v>
      </c>
      <c r="C191" s="10">
        <v>6500</v>
      </c>
      <c r="D191" s="10" t="s">
        <v>73</v>
      </c>
      <c r="E191" s="10" t="s">
        <v>608</v>
      </c>
      <c r="F191" s="10" t="s">
        <v>609</v>
      </c>
      <c r="G191" s="10" t="s">
        <v>58</v>
      </c>
      <c r="H191" s="10" t="s">
        <v>59</v>
      </c>
      <c r="I191" s="10" t="s">
        <v>81</v>
      </c>
      <c r="J191" s="10" t="s">
        <v>61</v>
      </c>
      <c r="K191" s="10" t="s">
        <v>66</v>
      </c>
      <c r="L191" s="10" t="s">
        <v>76</v>
      </c>
      <c r="M191" s="10" t="s">
        <v>60</v>
      </c>
      <c r="N191" s="10" t="s">
        <v>61</v>
      </c>
      <c r="O191" s="10" t="s">
        <v>83</v>
      </c>
      <c r="P191" s="11">
        <v>7.5</v>
      </c>
      <c r="Q191" s="10">
        <v>22</v>
      </c>
      <c r="R191" s="10">
        <v>3.4</v>
      </c>
      <c r="S191" s="10">
        <v>3.3</v>
      </c>
      <c r="T191" s="2">
        <f t="shared" si="60"/>
        <v>36.199999999999996</v>
      </c>
      <c r="U191" s="10">
        <v>661</v>
      </c>
      <c r="V191" s="10">
        <v>1285</v>
      </c>
      <c r="W191" s="2" t="str">
        <f t="shared" si="78"/>
        <v>4</v>
      </c>
      <c r="X191" s="2" t="str">
        <f t="shared" si="79"/>
        <v>1</v>
      </c>
      <c r="Y191" s="2" t="str">
        <f t="shared" si="80"/>
        <v>1</v>
      </c>
      <c r="Z191" s="3" t="str">
        <f t="shared" si="81"/>
        <v>1</v>
      </c>
      <c r="AA191" s="10">
        <v>0</v>
      </c>
      <c r="AB191" s="3">
        <f t="shared" si="65"/>
        <v>1.75</v>
      </c>
      <c r="AC191" s="10">
        <v>54</v>
      </c>
      <c r="AD191" s="10">
        <v>5</v>
      </c>
      <c r="AE191" s="10">
        <v>0.02</v>
      </c>
      <c r="AF191" s="10">
        <v>41.7</v>
      </c>
      <c r="AG191" s="2">
        <f t="shared" si="82"/>
        <v>2085</v>
      </c>
      <c r="AH191" s="2" t="str">
        <f t="shared" si="83"/>
        <v>1</v>
      </c>
      <c r="AI191" s="3" t="str">
        <f t="shared" si="84"/>
        <v>1</v>
      </c>
      <c r="AJ191" s="3">
        <f t="shared" si="85"/>
        <v>1</v>
      </c>
      <c r="AK191" s="2">
        <v>14</v>
      </c>
      <c r="AL191" s="2" t="str">
        <f t="shared" si="61"/>
        <v>1</v>
      </c>
      <c r="AM191" s="10">
        <v>108.78</v>
      </c>
      <c r="AN191" s="10">
        <v>54.39</v>
      </c>
      <c r="AO191" s="10">
        <v>271.94</v>
      </c>
      <c r="AP191" s="10">
        <v>135.97</v>
      </c>
      <c r="AQ191" s="10" t="s">
        <v>61</v>
      </c>
      <c r="AR191" s="10" t="s">
        <v>61</v>
      </c>
      <c r="AS191" s="10">
        <v>50</v>
      </c>
      <c r="AT191" s="2" t="str">
        <f t="shared" si="62"/>
        <v>1</v>
      </c>
      <c r="AU191" s="10">
        <v>1</v>
      </c>
      <c r="AV191" s="10">
        <v>1</v>
      </c>
      <c r="AW191" s="10">
        <v>1</v>
      </c>
      <c r="AX191" s="10" t="s">
        <v>61</v>
      </c>
      <c r="AY191" s="2">
        <v>1</v>
      </c>
      <c r="AZ191" s="10">
        <v>2023</v>
      </c>
      <c r="BA191" s="2">
        <f t="shared" si="63"/>
        <v>2</v>
      </c>
      <c r="BB191" s="2" t="str">
        <f t="shared" si="64"/>
        <v>1</v>
      </c>
      <c r="BC191" s="3">
        <v>1</v>
      </c>
      <c r="BD191" s="7">
        <f t="shared" si="77"/>
        <v>1.1500000000000001</v>
      </c>
      <c r="BE191" s="100" t="s">
        <v>828</v>
      </c>
      <c r="BF191" s="62"/>
      <c r="BG191" s="62"/>
      <c r="BH191" s="2">
        <v>3167</v>
      </c>
      <c r="BI191" s="10"/>
      <c r="BJ191" s="10"/>
      <c r="BK191" s="107">
        <v>46208</v>
      </c>
      <c r="BL191" s="10" t="s">
        <v>950</v>
      </c>
      <c r="BM191" s="10"/>
    </row>
    <row r="192" spans="1:66" ht="32" x14ac:dyDescent="0.2">
      <c r="A192" s="10">
        <v>20018465</v>
      </c>
      <c r="B192" s="10" t="s">
        <v>610</v>
      </c>
      <c r="C192" s="101">
        <v>45000</v>
      </c>
      <c r="D192" s="101" t="s">
        <v>134</v>
      </c>
      <c r="E192" s="12" t="s">
        <v>611</v>
      </c>
      <c r="F192" s="101" t="s">
        <v>612</v>
      </c>
      <c r="G192" s="101" t="s">
        <v>70</v>
      </c>
      <c r="H192" s="101" t="s">
        <v>70</v>
      </c>
      <c r="I192" s="101" t="s">
        <v>81</v>
      </c>
      <c r="J192" s="101" t="s">
        <v>82</v>
      </c>
      <c r="K192" s="101" t="s">
        <v>48</v>
      </c>
      <c r="L192" s="101">
        <v>66</v>
      </c>
      <c r="M192" s="101" t="s">
        <v>60</v>
      </c>
      <c r="N192" s="101" t="s">
        <v>61</v>
      </c>
      <c r="O192" s="101" t="s">
        <v>219</v>
      </c>
      <c r="P192" s="104">
        <v>3</v>
      </c>
      <c r="Q192" s="101">
        <v>224</v>
      </c>
      <c r="R192" s="101">
        <v>56</v>
      </c>
      <c r="S192" s="101">
        <v>231</v>
      </c>
      <c r="T192" s="9">
        <f t="shared" si="60"/>
        <v>514</v>
      </c>
      <c r="U192" s="101">
        <v>437</v>
      </c>
      <c r="V192" s="101">
        <v>3904</v>
      </c>
      <c r="W192" s="9" t="str">
        <f t="shared" si="78"/>
        <v>3</v>
      </c>
      <c r="X192" s="9" t="str">
        <f t="shared" si="79"/>
        <v>3</v>
      </c>
      <c r="Y192" s="9" t="str">
        <f t="shared" si="80"/>
        <v>5</v>
      </c>
      <c r="Z192" s="37" t="str">
        <f t="shared" si="81"/>
        <v>1</v>
      </c>
      <c r="AA192" s="101">
        <v>0</v>
      </c>
      <c r="AB192" s="37">
        <f t="shared" si="65"/>
        <v>3</v>
      </c>
      <c r="AC192" s="101">
        <v>24</v>
      </c>
      <c r="AD192" s="101">
        <v>18</v>
      </c>
      <c r="AE192" s="101">
        <v>0.02</v>
      </c>
      <c r="AF192" s="101">
        <v>36.700000000000003</v>
      </c>
      <c r="AG192" s="9">
        <f t="shared" si="82"/>
        <v>1835</v>
      </c>
      <c r="AH192" s="9" t="str">
        <f t="shared" si="83"/>
        <v>3</v>
      </c>
      <c r="AI192" s="37" t="str">
        <f t="shared" si="84"/>
        <v>1</v>
      </c>
      <c r="AJ192" s="37">
        <f t="shared" si="85"/>
        <v>2.6000000000000005</v>
      </c>
      <c r="AK192" s="9">
        <v>2987</v>
      </c>
      <c r="AL192" s="9" t="str">
        <f t="shared" si="61"/>
        <v>2</v>
      </c>
      <c r="AM192" s="101">
        <v>394</v>
      </c>
      <c r="AN192" s="101">
        <v>334.9</v>
      </c>
      <c r="AO192" s="101">
        <v>1883</v>
      </c>
      <c r="AP192" s="101">
        <v>1600.55</v>
      </c>
      <c r="AQ192" s="101" t="s">
        <v>61</v>
      </c>
      <c r="AR192" s="101" t="s">
        <v>61</v>
      </c>
      <c r="AS192" s="101">
        <v>85</v>
      </c>
      <c r="AT192" s="9" t="str">
        <f t="shared" si="62"/>
        <v>4</v>
      </c>
      <c r="AU192" s="55">
        <v>1</v>
      </c>
      <c r="AV192" s="55">
        <v>1</v>
      </c>
      <c r="AW192" s="55">
        <v>1</v>
      </c>
      <c r="AX192" s="55">
        <v>1</v>
      </c>
      <c r="AY192" s="2">
        <v>1</v>
      </c>
      <c r="AZ192" s="55">
        <v>1998</v>
      </c>
      <c r="BA192" s="57">
        <f t="shared" si="63"/>
        <v>27</v>
      </c>
      <c r="BB192" s="9" t="str">
        <f t="shared" si="64"/>
        <v>4</v>
      </c>
      <c r="BC192" s="37">
        <v>1</v>
      </c>
      <c r="BD192" s="7">
        <f t="shared" si="77"/>
        <v>2.2680000000000002</v>
      </c>
      <c r="BE192" s="62" t="s">
        <v>825</v>
      </c>
      <c r="BF192" s="106"/>
      <c r="BG192" s="62" t="s">
        <v>818</v>
      </c>
      <c r="BH192" s="2">
        <v>43020</v>
      </c>
      <c r="BI192" s="10" t="s">
        <v>910</v>
      </c>
      <c r="BJ192" s="10"/>
      <c r="BK192" s="10"/>
      <c r="BL192" s="10"/>
      <c r="BM192" s="109">
        <v>175000000</v>
      </c>
    </row>
    <row r="193" spans="1:66" ht="80" x14ac:dyDescent="0.2">
      <c r="A193" s="10">
        <v>20058482</v>
      </c>
      <c r="B193" s="10">
        <v>200031</v>
      </c>
      <c r="C193" s="10">
        <v>30000</v>
      </c>
      <c r="D193" s="10" t="s">
        <v>152</v>
      </c>
      <c r="E193" s="10" t="s">
        <v>615</v>
      </c>
      <c r="F193" s="10" t="s">
        <v>616</v>
      </c>
      <c r="G193" s="10" t="s">
        <v>125</v>
      </c>
      <c r="H193" s="10" t="s">
        <v>126</v>
      </c>
      <c r="I193" s="10" t="s">
        <v>81</v>
      </c>
      <c r="J193" s="10" t="s">
        <v>82</v>
      </c>
      <c r="K193" s="10" t="s">
        <v>48</v>
      </c>
      <c r="L193" s="10">
        <v>110</v>
      </c>
      <c r="M193" s="10" t="s">
        <v>137</v>
      </c>
      <c r="N193" s="10" t="s">
        <v>60</v>
      </c>
      <c r="O193" s="10" t="s">
        <v>243</v>
      </c>
      <c r="P193" s="11">
        <v>7.5</v>
      </c>
      <c r="Q193" s="10">
        <v>10.199999999999999</v>
      </c>
      <c r="R193" s="10">
        <v>10</v>
      </c>
      <c r="S193" s="10">
        <v>1.3</v>
      </c>
      <c r="T193" s="2">
        <f t="shared" ref="T193:T207" si="86">SUM(P193:S193)</f>
        <v>29</v>
      </c>
      <c r="U193" s="10">
        <v>321</v>
      </c>
      <c r="V193" s="10">
        <v>2320</v>
      </c>
      <c r="W193" s="2" t="str">
        <f t="shared" si="78"/>
        <v>3</v>
      </c>
      <c r="X193" s="2" t="str">
        <f t="shared" si="79"/>
        <v>2</v>
      </c>
      <c r="Y193" s="2" t="str">
        <f t="shared" si="80"/>
        <v>1</v>
      </c>
      <c r="Z193" s="3" t="str">
        <f t="shared" si="81"/>
        <v>1</v>
      </c>
      <c r="AA193" s="10">
        <v>0</v>
      </c>
      <c r="AB193" s="3">
        <f t="shared" si="65"/>
        <v>1.75</v>
      </c>
      <c r="AC193" s="10">
        <v>58</v>
      </c>
      <c r="AD193" s="10">
        <v>10</v>
      </c>
      <c r="AE193" s="10">
        <v>0.02</v>
      </c>
      <c r="AF193" s="10">
        <v>40.299999999999997</v>
      </c>
      <c r="AG193" s="2">
        <f t="shared" si="82"/>
        <v>2014.9999999999998</v>
      </c>
      <c r="AH193" s="2" t="str">
        <f t="shared" si="83"/>
        <v>1</v>
      </c>
      <c r="AI193" s="3" t="str">
        <f t="shared" si="84"/>
        <v>1</v>
      </c>
      <c r="AJ193" s="3">
        <f t="shared" si="85"/>
        <v>1</v>
      </c>
      <c r="AK193" s="2">
        <v>29</v>
      </c>
      <c r="AL193" s="2" t="str">
        <f t="shared" ref="AL193:AL207" si="87">IF(AK193&gt;=5500,"5",IF(AK193&gt;=4800,"4",IF(AK193&gt;=3600,"3",IF(AK193&gt;=2400,"2","1"))))</f>
        <v>1</v>
      </c>
      <c r="AM193" s="10">
        <v>157.5</v>
      </c>
      <c r="AN193" s="10">
        <v>92.924999999999997</v>
      </c>
      <c r="AO193" s="10">
        <v>334.7</v>
      </c>
      <c r="AP193" s="10">
        <v>76.980999999999995</v>
      </c>
      <c r="AQ193" s="10">
        <v>627.6</v>
      </c>
      <c r="AR193" s="10">
        <v>577.39200000000005</v>
      </c>
      <c r="AS193" s="10">
        <v>92</v>
      </c>
      <c r="AT193" s="2" t="str">
        <f t="shared" ref="AT193:AT207" si="88">IF(AS193&lt;60,"1",IF(AS193&lt;=65,"2",IF(AS193&lt;=75,"3",IF(AS193&lt;=95,"4","5"))))</f>
        <v>4</v>
      </c>
      <c r="AU193" s="10">
        <v>1</v>
      </c>
      <c r="AV193" s="10">
        <v>1</v>
      </c>
      <c r="AW193" s="10">
        <v>1</v>
      </c>
      <c r="AX193" s="10">
        <v>1</v>
      </c>
      <c r="AY193" s="2">
        <v>1</v>
      </c>
      <c r="AZ193" s="10">
        <v>1998</v>
      </c>
      <c r="BA193" s="2">
        <f t="shared" ref="BA193:BA207" si="89">2025-AZ193</f>
        <v>27</v>
      </c>
      <c r="BB193" s="2" t="str">
        <f t="shared" ref="BB193:BB207" si="90">IF(BA193&gt;=30,"5",IF(BA193&gt;=26,"4",IF(BA193&gt;=19,"3",IF(BA193&gt;=7,"2","1"))))</f>
        <v>4</v>
      </c>
      <c r="BC193" s="3">
        <v>1</v>
      </c>
      <c r="BD193" s="7">
        <f t="shared" si="77"/>
        <v>1.6</v>
      </c>
      <c r="BE193" s="62" t="s">
        <v>827</v>
      </c>
      <c r="BF193" s="62"/>
      <c r="BG193" s="62"/>
      <c r="BH193" s="2">
        <v>21739</v>
      </c>
      <c r="BI193" s="10"/>
      <c r="BJ193" s="10"/>
      <c r="BK193" s="10" t="s">
        <v>953</v>
      </c>
      <c r="BL193" s="10" t="s">
        <v>938</v>
      </c>
      <c r="BM193" s="10"/>
      <c r="BN193" s="61" t="s">
        <v>997</v>
      </c>
    </row>
    <row r="194" spans="1:66" ht="80" x14ac:dyDescent="0.2">
      <c r="A194" s="10">
        <v>20038479</v>
      </c>
      <c r="B194" s="10" t="s">
        <v>618</v>
      </c>
      <c r="C194" s="10">
        <v>25000</v>
      </c>
      <c r="D194" s="10" t="s">
        <v>152</v>
      </c>
      <c r="E194" s="10" t="s">
        <v>619</v>
      </c>
      <c r="F194" s="10" t="s">
        <v>620</v>
      </c>
      <c r="G194" s="10" t="s">
        <v>125</v>
      </c>
      <c r="H194" s="10" t="s">
        <v>148</v>
      </c>
      <c r="I194" s="10" t="s">
        <v>81</v>
      </c>
      <c r="J194" s="10" t="s">
        <v>143</v>
      </c>
      <c r="K194" s="10" t="s">
        <v>48</v>
      </c>
      <c r="L194" s="10" t="s">
        <v>137</v>
      </c>
      <c r="M194" s="10" t="s">
        <v>60</v>
      </c>
      <c r="N194" s="10" t="s">
        <v>61</v>
      </c>
      <c r="O194" s="10" t="s">
        <v>295</v>
      </c>
      <c r="P194" s="11">
        <v>4.9000000000000004</v>
      </c>
      <c r="Q194" s="10">
        <v>17.3</v>
      </c>
      <c r="R194" s="10">
        <v>85</v>
      </c>
      <c r="S194" s="10">
        <v>2.7</v>
      </c>
      <c r="T194" s="2">
        <f t="shared" si="86"/>
        <v>109.9</v>
      </c>
      <c r="U194" s="10">
        <v>1131</v>
      </c>
      <c r="V194" s="10">
        <v>4809</v>
      </c>
      <c r="W194" s="2" t="str">
        <f t="shared" si="78"/>
        <v>5</v>
      </c>
      <c r="X194" s="2" t="str">
        <f t="shared" si="79"/>
        <v>3</v>
      </c>
      <c r="Y194" s="2" t="str">
        <f t="shared" si="80"/>
        <v>2</v>
      </c>
      <c r="Z194" s="3" t="str">
        <f t="shared" si="81"/>
        <v>1</v>
      </c>
      <c r="AA194" s="10">
        <v>0</v>
      </c>
      <c r="AB194" s="3">
        <f t="shared" ref="AB194:AB207" si="91">(W194+X194+Y194+Z194)/4</f>
        <v>2.75</v>
      </c>
      <c r="AC194" s="10">
        <v>44</v>
      </c>
      <c r="AD194" s="10">
        <v>10</v>
      </c>
      <c r="AE194" s="10">
        <v>0.02</v>
      </c>
      <c r="AF194" s="10">
        <v>46.3</v>
      </c>
      <c r="AG194" s="2">
        <f t="shared" si="82"/>
        <v>2315</v>
      </c>
      <c r="AH194" s="2" t="str">
        <f t="shared" si="83"/>
        <v>1</v>
      </c>
      <c r="AI194" s="3" t="str">
        <f t="shared" si="84"/>
        <v>1</v>
      </c>
      <c r="AJ194" s="3">
        <f t="shared" si="85"/>
        <v>1</v>
      </c>
      <c r="AK194" s="2">
        <v>45</v>
      </c>
      <c r="AL194" s="2" t="str">
        <f t="shared" si="87"/>
        <v>1</v>
      </c>
      <c r="AM194" s="10">
        <v>418.4</v>
      </c>
      <c r="AN194" s="10">
        <v>259.40799999999996</v>
      </c>
      <c r="AO194" s="10">
        <v>1045.9000000000001</v>
      </c>
      <c r="AP194" s="10">
        <v>648.45800000000008</v>
      </c>
      <c r="AQ194" s="10" t="s">
        <v>61</v>
      </c>
      <c r="AR194" s="10" t="s">
        <v>61</v>
      </c>
      <c r="AS194" s="10">
        <v>62</v>
      </c>
      <c r="AT194" s="2" t="str">
        <f t="shared" si="88"/>
        <v>2</v>
      </c>
      <c r="AU194" s="10">
        <v>1</v>
      </c>
      <c r="AV194" s="10">
        <v>1</v>
      </c>
      <c r="AW194" s="10">
        <v>1</v>
      </c>
      <c r="AX194" s="10">
        <v>1</v>
      </c>
      <c r="AY194" s="2">
        <v>1</v>
      </c>
      <c r="AZ194" s="10">
        <v>1995</v>
      </c>
      <c r="BA194" s="2">
        <f t="shared" si="89"/>
        <v>30</v>
      </c>
      <c r="BB194" s="2" t="str">
        <f t="shared" si="90"/>
        <v>5</v>
      </c>
      <c r="BC194" s="3">
        <v>1</v>
      </c>
      <c r="BD194" s="7">
        <f t="shared" si="77"/>
        <v>1.65</v>
      </c>
      <c r="BE194" s="62" t="s">
        <v>827</v>
      </c>
      <c r="BF194" s="62"/>
      <c r="BG194" s="8" t="s">
        <v>868</v>
      </c>
      <c r="BH194" s="2">
        <v>10667</v>
      </c>
      <c r="BI194" s="10"/>
      <c r="BJ194" s="10"/>
      <c r="BK194" s="107">
        <v>46086</v>
      </c>
      <c r="BL194" s="10" t="s">
        <v>934</v>
      </c>
      <c r="BM194" s="10"/>
      <c r="BN194" s="61" t="s">
        <v>997</v>
      </c>
    </row>
    <row r="195" spans="1:66" ht="64" x14ac:dyDescent="0.2">
      <c r="A195" s="10">
        <v>20038486</v>
      </c>
      <c r="B195" s="10" t="s">
        <v>621</v>
      </c>
      <c r="C195" s="10">
        <v>60000</v>
      </c>
      <c r="D195" s="10" t="s">
        <v>134</v>
      </c>
      <c r="E195" s="12" t="s">
        <v>622</v>
      </c>
      <c r="F195" s="10" t="s">
        <v>623</v>
      </c>
      <c r="G195" s="10" t="s">
        <v>125</v>
      </c>
      <c r="H195" s="10" t="s">
        <v>148</v>
      </c>
      <c r="I195" s="10" t="s">
        <v>81</v>
      </c>
      <c r="J195" s="10" t="s">
        <v>82</v>
      </c>
      <c r="K195" s="10" t="s">
        <v>48</v>
      </c>
      <c r="L195" s="10">
        <v>110</v>
      </c>
      <c r="M195" s="10" t="s">
        <v>137</v>
      </c>
      <c r="N195" s="10" t="s">
        <v>60</v>
      </c>
      <c r="O195" s="10" t="s">
        <v>138</v>
      </c>
      <c r="P195" s="11">
        <v>10.7</v>
      </c>
      <c r="Q195" s="10">
        <v>4.5999999999999996</v>
      </c>
      <c r="R195" s="10">
        <v>8.8000000000000007</v>
      </c>
      <c r="S195" s="10">
        <v>1.4</v>
      </c>
      <c r="T195" s="2">
        <f t="shared" si="86"/>
        <v>25.5</v>
      </c>
      <c r="U195" s="2">
        <v>319</v>
      </c>
      <c r="V195" s="2">
        <v>2720</v>
      </c>
      <c r="W195" s="2" t="str">
        <f t="shared" si="78"/>
        <v>3</v>
      </c>
      <c r="X195" s="2" t="str">
        <f t="shared" si="79"/>
        <v>2</v>
      </c>
      <c r="Y195" s="2" t="str">
        <f t="shared" si="80"/>
        <v>1</v>
      </c>
      <c r="Z195" s="3" t="str">
        <f t="shared" si="81"/>
        <v>1</v>
      </c>
      <c r="AA195" s="10">
        <v>0.1</v>
      </c>
      <c r="AB195" s="3">
        <f t="shared" si="91"/>
        <v>1.75</v>
      </c>
      <c r="AC195" s="10">
        <v>19</v>
      </c>
      <c r="AD195" s="10">
        <v>22</v>
      </c>
      <c r="AE195" s="10">
        <v>0.02</v>
      </c>
      <c r="AF195" s="10">
        <v>36.299999999999997</v>
      </c>
      <c r="AG195" s="2">
        <f t="shared" si="82"/>
        <v>1814.9999999999998</v>
      </c>
      <c r="AH195" s="2" t="str">
        <f t="shared" si="83"/>
        <v>4</v>
      </c>
      <c r="AI195" s="3" t="str">
        <f t="shared" si="84"/>
        <v>1</v>
      </c>
      <c r="AJ195" s="3">
        <f t="shared" si="85"/>
        <v>3.4000000000000004</v>
      </c>
      <c r="AK195" s="2">
        <v>995</v>
      </c>
      <c r="AL195" s="2" t="str">
        <f t="shared" si="87"/>
        <v>1</v>
      </c>
      <c r="AM195" s="10">
        <v>315</v>
      </c>
      <c r="AN195" s="10">
        <v>170.10000000000002</v>
      </c>
      <c r="AO195" s="10">
        <v>837</v>
      </c>
      <c r="AP195" s="10">
        <v>418.5</v>
      </c>
      <c r="AQ195" s="10">
        <v>418</v>
      </c>
      <c r="AR195" s="10">
        <v>326.04000000000002</v>
      </c>
      <c r="AS195" s="10">
        <v>68</v>
      </c>
      <c r="AT195" s="2" t="str">
        <f t="shared" si="88"/>
        <v>3</v>
      </c>
      <c r="AU195" s="10">
        <v>1</v>
      </c>
      <c r="AV195" s="10">
        <v>1</v>
      </c>
      <c r="AW195" s="10">
        <v>1</v>
      </c>
      <c r="AX195" s="10">
        <v>1</v>
      </c>
      <c r="AY195" s="2">
        <v>2</v>
      </c>
      <c r="AZ195" s="10">
        <v>1977</v>
      </c>
      <c r="BA195" s="2">
        <f t="shared" si="89"/>
        <v>48</v>
      </c>
      <c r="BB195" s="2" t="str">
        <f t="shared" si="90"/>
        <v>5</v>
      </c>
      <c r="BC195" s="3">
        <v>1</v>
      </c>
      <c r="BD195" s="7">
        <f t="shared" si="77"/>
        <v>2.282</v>
      </c>
      <c r="BE195" s="62" t="s">
        <v>852</v>
      </c>
      <c r="BF195" s="62" t="s">
        <v>896</v>
      </c>
      <c r="BG195" s="62" t="s">
        <v>888</v>
      </c>
      <c r="BH195" s="2">
        <v>14244</v>
      </c>
      <c r="BI195" s="10" t="s">
        <v>910</v>
      </c>
      <c r="BJ195" s="10"/>
      <c r="BK195" s="107">
        <v>46086</v>
      </c>
      <c r="BL195" s="10" t="s">
        <v>934</v>
      </c>
      <c r="BM195" s="109">
        <v>160000000</v>
      </c>
      <c r="BN195" s="61" t="s">
        <v>997</v>
      </c>
    </row>
    <row r="196" spans="1:66" ht="64" x14ac:dyDescent="0.2">
      <c r="A196" s="10">
        <v>20700072</v>
      </c>
      <c r="B196" s="10" t="s">
        <v>625</v>
      </c>
      <c r="C196" s="10">
        <v>2300</v>
      </c>
      <c r="D196" s="10" t="s">
        <v>73</v>
      </c>
      <c r="E196" s="10" t="s">
        <v>626</v>
      </c>
      <c r="F196" s="10" t="s">
        <v>627</v>
      </c>
      <c r="G196" s="10" t="s">
        <v>58</v>
      </c>
      <c r="H196" s="10" t="s">
        <v>64</v>
      </c>
      <c r="I196" s="10" t="s">
        <v>65</v>
      </c>
      <c r="J196" s="10" t="s">
        <v>61</v>
      </c>
      <c r="K196" s="10" t="s">
        <v>66</v>
      </c>
      <c r="L196" s="10" t="s">
        <v>76</v>
      </c>
      <c r="M196" s="10" t="s">
        <v>60</v>
      </c>
      <c r="N196" s="10" t="s">
        <v>61</v>
      </c>
      <c r="O196" s="10" t="s">
        <v>77</v>
      </c>
      <c r="P196" s="11">
        <v>150</v>
      </c>
      <c r="Q196" s="10">
        <v>29</v>
      </c>
      <c r="R196" s="10">
        <v>3.9</v>
      </c>
      <c r="S196" s="10">
        <v>8.9</v>
      </c>
      <c r="T196" s="2">
        <f t="shared" si="86"/>
        <v>191.8</v>
      </c>
      <c r="U196" s="10">
        <v>419</v>
      </c>
      <c r="V196" s="10">
        <v>1687</v>
      </c>
      <c r="W196" s="2" t="str">
        <f t="shared" si="78"/>
        <v>3</v>
      </c>
      <c r="X196" s="2" t="str">
        <f t="shared" si="79"/>
        <v>2</v>
      </c>
      <c r="Y196" s="2" t="str">
        <f t="shared" si="80"/>
        <v>2</v>
      </c>
      <c r="Z196" s="3" t="str">
        <f t="shared" si="81"/>
        <v>1</v>
      </c>
      <c r="AA196" s="10">
        <v>0</v>
      </c>
      <c r="AB196" s="3">
        <f t="shared" si="91"/>
        <v>2</v>
      </c>
      <c r="AC196" s="10">
        <v>50</v>
      </c>
      <c r="AD196" s="10">
        <v>6</v>
      </c>
      <c r="AE196" s="10">
        <v>0.02</v>
      </c>
      <c r="AF196" s="10">
        <v>30.3</v>
      </c>
      <c r="AG196" s="2">
        <f t="shared" si="82"/>
        <v>1515</v>
      </c>
      <c r="AH196" s="2" t="str">
        <f t="shared" si="83"/>
        <v>1</v>
      </c>
      <c r="AI196" s="3" t="str">
        <f t="shared" si="84"/>
        <v>1</v>
      </c>
      <c r="AJ196" s="3">
        <f t="shared" si="85"/>
        <v>1</v>
      </c>
      <c r="AK196" s="2">
        <v>14</v>
      </c>
      <c r="AL196" s="2" t="str">
        <f t="shared" si="87"/>
        <v>1</v>
      </c>
      <c r="AM196" s="10">
        <v>38.49</v>
      </c>
      <c r="AN196" s="10">
        <v>18.090299999999999</v>
      </c>
      <c r="AO196" s="10">
        <v>96.2</v>
      </c>
      <c r="AP196" s="10">
        <v>45.213999999999999</v>
      </c>
      <c r="AQ196" s="10" t="s">
        <v>61</v>
      </c>
      <c r="AR196" s="10" t="s">
        <v>61</v>
      </c>
      <c r="AS196" s="10">
        <v>47</v>
      </c>
      <c r="AT196" s="2" t="str">
        <f t="shared" si="88"/>
        <v>1</v>
      </c>
      <c r="AU196" s="10">
        <v>1</v>
      </c>
      <c r="AV196" s="10">
        <v>1</v>
      </c>
      <c r="AW196" s="10">
        <v>1</v>
      </c>
      <c r="AX196" s="10" t="s">
        <v>61</v>
      </c>
      <c r="AY196" s="2">
        <v>1</v>
      </c>
      <c r="AZ196" s="10">
        <v>2020</v>
      </c>
      <c r="BA196" s="2">
        <f t="shared" si="89"/>
        <v>5</v>
      </c>
      <c r="BB196" s="2" t="str">
        <f t="shared" si="90"/>
        <v>1</v>
      </c>
      <c r="BC196" s="3">
        <v>1</v>
      </c>
      <c r="BD196" s="7">
        <f t="shared" si="77"/>
        <v>1.2</v>
      </c>
      <c r="BE196" s="100" t="s">
        <v>828</v>
      </c>
      <c r="BF196" s="62"/>
      <c r="BG196" s="62"/>
      <c r="BH196" s="2">
        <v>359</v>
      </c>
      <c r="BI196" s="10"/>
      <c r="BJ196" s="10"/>
      <c r="BK196" s="107">
        <v>46075</v>
      </c>
      <c r="BL196" s="10" t="s">
        <v>935</v>
      </c>
      <c r="BM196" s="10"/>
    </row>
    <row r="197" spans="1:66" ht="32" x14ac:dyDescent="0.2">
      <c r="A197" s="10">
        <v>20058480</v>
      </c>
      <c r="B197" s="10">
        <v>148234</v>
      </c>
      <c r="C197" s="10">
        <v>250</v>
      </c>
      <c r="D197" s="10" t="s">
        <v>73</v>
      </c>
      <c r="E197" s="10" t="s">
        <v>628</v>
      </c>
      <c r="F197" s="101" t="s">
        <v>629</v>
      </c>
      <c r="G197" s="10" t="s">
        <v>125</v>
      </c>
      <c r="H197" s="10" t="s">
        <v>126</v>
      </c>
      <c r="I197" s="10" t="s">
        <v>65</v>
      </c>
      <c r="J197" s="10" t="s">
        <v>61</v>
      </c>
      <c r="K197" s="10" t="s">
        <v>66</v>
      </c>
      <c r="L197" s="10" t="s">
        <v>76</v>
      </c>
      <c r="M197" s="10" t="s">
        <v>60</v>
      </c>
      <c r="N197" s="10" t="s">
        <v>61</v>
      </c>
      <c r="O197" s="10" t="s">
        <v>77</v>
      </c>
      <c r="P197" s="11">
        <v>22713</v>
      </c>
      <c r="Q197" s="10">
        <v>9631</v>
      </c>
      <c r="R197" s="10">
        <v>10.9</v>
      </c>
      <c r="S197" s="10">
        <v>4348</v>
      </c>
      <c r="T197" s="2">
        <f t="shared" si="86"/>
        <v>36702.9</v>
      </c>
      <c r="U197" s="2">
        <v>195</v>
      </c>
      <c r="V197" s="2">
        <v>1230</v>
      </c>
      <c r="W197" s="2" t="str">
        <f t="shared" si="78"/>
        <v>2</v>
      </c>
      <c r="X197" s="2" t="str">
        <f t="shared" si="79"/>
        <v>1</v>
      </c>
      <c r="Y197" s="2" t="str">
        <f t="shared" si="80"/>
        <v>5</v>
      </c>
      <c r="Z197" s="3" t="str">
        <f t="shared" si="81"/>
        <v>5</v>
      </c>
      <c r="AA197" s="10">
        <v>17.7</v>
      </c>
      <c r="AB197" s="3">
        <f t="shared" si="91"/>
        <v>3.25</v>
      </c>
      <c r="AC197" s="10">
        <v>23</v>
      </c>
      <c r="AD197" s="10">
        <v>30</v>
      </c>
      <c r="AE197" s="10">
        <v>0.02</v>
      </c>
      <c r="AF197" s="10">
        <v>27</v>
      </c>
      <c r="AG197" s="2">
        <f t="shared" si="82"/>
        <v>1350</v>
      </c>
      <c r="AH197" s="2" t="str">
        <f t="shared" si="83"/>
        <v>3</v>
      </c>
      <c r="AI197" s="3" t="str">
        <f t="shared" si="84"/>
        <v>2</v>
      </c>
      <c r="AJ197" s="3">
        <f t="shared" si="85"/>
        <v>2.8000000000000003</v>
      </c>
      <c r="AK197" s="2">
        <v>3456</v>
      </c>
      <c r="AL197" s="2" t="str">
        <f t="shared" si="87"/>
        <v>2</v>
      </c>
      <c r="AM197" s="10">
        <v>7.24</v>
      </c>
      <c r="AN197" s="10">
        <v>2.5339999999999998</v>
      </c>
      <c r="AO197" s="10">
        <v>31.37</v>
      </c>
      <c r="AP197" s="10">
        <v>10.9795</v>
      </c>
      <c r="AQ197" s="10" t="s">
        <v>61</v>
      </c>
      <c r="AR197" s="10" t="s">
        <v>61</v>
      </c>
      <c r="AS197" s="10">
        <v>55</v>
      </c>
      <c r="AT197" s="2" t="str">
        <f t="shared" si="88"/>
        <v>1</v>
      </c>
      <c r="AU197" s="10">
        <v>1</v>
      </c>
      <c r="AV197" s="10">
        <v>1</v>
      </c>
      <c r="AW197" s="10">
        <v>1</v>
      </c>
      <c r="AX197" s="10" t="s">
        <v>61</v>
      </c>
      <c r="AY197" s="2">
        <v>1</v>
      </c>
      <c r="AZ197" s="10">
        <v>2000</v>
      </c>
      <c r="BA197" s="2">
        <f t="shared" si="89"/>
        <v>25</v>
      </c>
      <c r="BB197" s="2" t="str">
        <f t="shared" si="90"/>
        <v>3</v>
      </c>
      <c r="BC197" s="3">
        <v>1</v>
      </c>
      <c r="BD197" s="7">
        <v>4</v>
      </c>
      <c r="BE197" s="117" t="s">
        <v>976</v>
      </c>
      <c r="BF197" s="62"/>
      <c r="BG197" s="62" t="s">
        <v>819</v>
      </c>
      <c r="BH197" s="2">
        <v>100</v>
      </c>
      <c r="BI197" s="10"/>
      <c r="BJ197" s="10" t="s">
        <v>921</v>
      </c>
      <c r="BK197" s="107">
        <v>46228</v>
      </c>
      <c r="BL197" s="10" t="s">
        <v>949</v>
      </c>
      <c r="BM197" s="10"/>
    </row>
    <row r="198" spans="1:66" ht="32" x14ac:dyDescent="0.2">
      <c r="A198" s="10">
        <v>20058480</v>
      </c>
      <c r="B198" s="10">
        <v>148232</v>
      </c>
      <c r="C198" s="10">
        <v>250</v>
      </c>
      <c r="D198" s="10" t="s">
        <v>73</v>
      </c>
      <c r="E198" s="10" t="s">
        <v>628</v>
      </c>
      <c r="F198" s="101" t="s">
        <v>630</v>
      </c>
      <c r="G198" s="10" t="s">
        <v>125</v>
      </c>
      <c r="H198" s="10" t="s">
        <v>126</v>
      </c>
      <c r="I198" s="10" t="s">
        <v>65</v>
      </c>
      <c r="J198" s="10" t="s">
        <v>61</v>
      </c>
      <c r="K198" s="10" t="s">
        <v>66</v>
      </c>
      <c r="L198" s="10" t="s">
        <v>76</v>
      </c>
      <c r="M198" s="10" t="s">
        <v>60</v>
      </c>
      <c r="N198" s="10" t="s">
        <v>61</v>
      </c>
      <c r="O198" s="10" t="s">
        <v>77</v>
      </c>
      <c r="P198" s="11">
        <v>33996</v>
      </c>
      <c r="Q198" s="10">
        <v>12701</v>
      </c>
      <c r="R198" s="10">
        <v>3.3</v>
      </c>
      <c r="S198" s="10">
        <v>4778</v>
      </c>
      <c r="T198" s="2">
        <f t="shared" si="86"/>
        <v>51478.3</v>
      </c>
      <c r="U198" s="2">
        <v>164</v>
      </c>
      <c r="V198" s="2">
        <v>522</v>
      </c>
      <c r="W198" s="2" t="str">
        <f t="shared" si="78"/>
        <v>2</v>
      </c>
      <c r="X198" s="2" t="str">
        <f t="shared" si="79"/>
        <v>1</v>
      </c>
      <c r="Y198" s="2" t="str">
        <f t="shared" si="80"/>
        <v>5</v>
      </c>
      <c r="Z198" s="3" t="str">
        <f t="shared" si="81"/>
        <v>3</v>
      </c>
      <c r="AA198" s="10">
        <v>5.2</v>
      </c>
      <c r="AB198" s="3">
        <f t="shared" si="91"/>
        <v>2.75</v>
      </c>
      <c r="AC198" s="10">
        <v>37</v>
      </c>
      <c r="AD198" s="10">
        <v>15</v>
      </c>
      <c r="AE198" s="10">
        <v>0.02</v>
      </c>
      <c r="AF198" s="10">
        <v>36.5</v>
      </c>
      <c r="AG198" s="2">
        <f t="shared" si="82"/>
        <v>1825</v>
      </c>
      <c r="AH198" s="2" t="str">
        <f t="shared" si="83"/>
        <v>1</v>
      </c>
      <c r="AI198" s="3" t="str">
        <f t="shared" si="84"/>
        <v>1</v>
      </c>
      <c r="AJ198" s="3">
        <f t="shared" si="85"/>
        <v>1</v>
      </c>
      <c r="AK198" s="2">
        <v>3675</v>
      </c>
      <c r="AL198" s="2" t="str">
        <f t="shared" si="87"/>
        <v>3</v>
      </c>
      <c r="AM198" s="10">
        <v>7.24</v>
      </c>
      <c r="AN198" s="10">
        <v>2.5339999999999998</v>
      </c>
      <c r="AO198" s="10">
        <v>31.37</v>
      </c>
      <c r="AP198" s="10">
        <v>10.9795</v>
      </c>
      <c r="AQ198" s="10" t="s">
        <v>61</v>
      </c>
      <c r="AR198" s="10" t="s">
        <v>61</v>
      </c>
      <c r="AS198" s="10">
        <v>55</v>
      </c>
      <c r="AT198" s="2" t="str">
        <f t="shared" si="88"/>
        <v>1</v>
      </c>
      <c r="AU198" s="10">
        <v>1</v>
      </c>
      <c r="AV198" s="10">
        <v>1</v>
      </c>
      <c r="AW198" s="10">
        <v>1</v>
      </c>
      <c r="AX198" s="10" t="s">
        <v>61</v>
      </c>
      <c r="AY198" s="2">
        <v>1</v>
      </c>
      <c r="AZ198" s="10">
        <v>2000</v>
      </c>
      <c r="BA198" s="2">
        <f t="shared" si="89"/>
        <v>25</v>
      </c>
      <c r="BB198" s="2" t="str">
        <f t="shared" si="90"/>
        <v>3</v>
      </c>
      <c r="BC198" s="3">
        <v>1</v>
      </c>
      <c r="BD198" s="7">
        <v>4</v>
      </c>
      <c r="BE198" s="117" t="s">
        <v>976</v>
      </c>
      <c r="BF198" s="62"/>
      <c r="BG198" s="62" t="s">
        <v>819</v>
      </c>
      <c r="BH198" s="2">
        <v>110</v>
      </c>
      <c r="BI198" s="10"/>
      <c r="BJ198" s="10" t="s">
        <v>921</v>
      </c>
      <c r="BK198" s="10"/>
      <c r="BL198" s="10"/>
      <c r="BM198" s="10"/>
    </row>
    <row r="199" spans="1:66" ht="32" x14ac:dyDescent="0.2">
      <c r="A199" s="10">
        <v>20058480</v>
      </c>
      <c r="B199" s="10">
        <v>112268</v>
      </c>
      <c r="C199" s="10">
        <v>250</v>
      </c>
      <c r="D199" s="10" t="s">
        <v>73</v>
      </c>
      <c r="E199" s="10" t="s">
        <v>628</v>
      </c>
      <c r="F199" s="101" t="s">
        <v>631</v>
      </c>
      <c r="G199" s="10" t="s">
        <v>125</v>
      </c>
      <c r="H199" s="10" t="s">
        <v>126</v>
      </c>
      <c r="I199" s="10" t="s">
        <v>65</v>
      </c>
      <c r="J199" s="10" t="s">
        <v>61</v>
      </c>
      <c r="K199" s="10" t="s">
        <v>66</v>
      </c>
      <c r="L199" s="10" t="s">
        <v>76</v>
      </c>
      <c r="M199" s="10" t="s">
        <v>60</v>
      </c>
      <c r="N199" s="10" t="s">
        <v>61</v>
      </c>
      <c r="O199" s="10" t="s">
        <v>77</v>
      </c>
      <c r="P199" s="11">
        <v>3248</v>
      </c>
      <c r="Q199" s="10">
        <v>529</v>
      </c>
      <c r="R199" s="10">
        <v>0.3</v>
      </c>
      <c r="S199" s="10">
        <v>52</v>
      </c>
      <c r="T199" s="2">
        <f t="shared" si="86"/>
        <v>3829.3</v>
      </c>
      <c r="U199" s="2">
        <v>1139</v>
      </c>
      <c r="V199" s="2">
        <v>17929</v>
      </c>
      <c r="W199" s="2" t="str">
        <f t="shared" si="78"/>
        <v>5</v>
      </c>
      <c r="X199" s="2" t="str">
        <f t="shared" si="79"/>
        <v>5</v>
      </c>
      <c r="Y199" s="2" t="str">
        <f t="shared" si="80"/>
        <v>5</v>
      </c>
      <c r="Z199" s="3" t="str">
        <f t="shared" si="81"/>
        <v>1</v>
      </c>
      <c r="AA199" s="10">
        <v>0.9</v>
      </c>
      <c r="AB199" s="3">
        <f t="shared" si="91"/>
        <v>4</v>
      </c>
      <c r="AC199" s="10">
        <v>25</v>
      </c>
      <c r="AD199" s="10">
        <v>20</v>
      </c>
      <c r="AE199" s="10">
        <v>0.02</v>
      </c>
      <c r="AF199" s="10">
        <v>40.4</v>
      </c>
      <c r="AG199" s="2">
        <f t="shared" si="82"/>
        <v>2020</v>
      </c>
      <c r="AH199" s="2" t="str">
        <f t="shared" si="83"/>
        <v>3</v>
      </c>
      <c r="AI199" s="3" t="str">
        <f t="shared" si="84"/>
        <v>1</v>
      </c>
      <c r="AJ199" s="3">
        <f t="shared" si="85"/>
        <v>2.6000000000000005</v>
      </c>
      <c r="AK199" s="2">
        <v>3800</v>
      </c>
      <c r="AL199" s="2" t="str">
        <f t="shared" si="87"/>
        <v>3</v>
      </c>
      <c r="AM199" s="10">
        <v>7.24</v>
      </c>
      <c r="AN199" s="10">
        <v>2.5339999999999998</v>
      </c>
      <c r="AO199" s="10">
        <v>31.37</v>
      </c>
      <c r="AP199" s="10">
        <v>10.9795</v>
      </c>
      <c r="AQ199" s="10" t="s">
        <v>61</v>
      </c>
      <c r="AR199" s="10" t="s">
        <v>61</v>
      </c>
      <c r="AS199" s="10">
        <v>55</v>
      </c>
      <c r="AT199" s="2" t="str">
        <f t="shared" si="88"/>
        <v>1</v>
      </c>
      <c r="AU199" s="10">
        <v>1</v>
      </c>
      <c r="AV199" s="10">
        <v>1</v>
      </c>
      <c r="AW199" s="10">
        <v>1</v>
      </c>
      <c r="AX199" s="10" t="s">
        <v>61</v>
      </c>
      <c r="AY199" s="2">
        <v>1</v>
      </c>
      <c r="AZ199" s="10">
        <v>2008</v>
      </c>
      <c r="BA199" s="2">
        <f t="shared" si="89"/>
        <v>17</v>
      </c>
      <c r="BB199" s="2" t="str">
        <f t="shared" si="90"/>
        <v>2</v>
      </c>
      <c r="BC199" s="3">
        <v>1</v>
      </c>
      <c r="BD199" s="7">
        <v>4</v>
      </c>
      <c r="BE199" s="117" t="s">
        <v>976</v>
      </c>
      <c r="BF199" s="62"/>
      <c r="BG199" s="62" t="s">
        <v>819</v>
      </c>
      <c r="BH199" s="2">
        <v>113</v>
      </c>
      <c r="BI199" s="10"/>
      <c r="BJ199" s="10" t="s">
        <v>921</v>
      </c>
      <c r="BK199" s="10"/>
      <c r="BL199" s="10"/>
      <c r="BM199" s="10"/>
      <c r="BN199" s="61" t="s">
        <v>61</v>
      </c>
    </row>
    <row r="200" spans="1:66" ht="80" x14ac:dyDescent="0.2">
      <c r="A200" s="10">
        <v>20028665</v>
      </c>
      <c r="B200" s="10">
        <v>1079537104</v>
      </c>
      <c r="C200" s="10">
        <v>6500</v>
      </c>
      <c r="D200" s="10" t="s">
        <v>73</v>
      </c>
      <c r="E200" s="10" t="s">
        <v>632</v>
      </c>
      <c r="F200" s="101" t="s">
        <v>635</v>
      </c>
      <c r="G200" s="10" t="s">
        <v>58</v>
      </c>
      <c r="H200" s="10" t="s">
        <v>59</v>
      </c>
      <c r="I200" s="10" t="s">
        <v>81</v>
      </c>
      <c r="J200" s="10" t="s">
        <v>82</v>
      </c>
      <c r="K200" s="10" t="s">
        <v>66</v>
      </c>
      <c r="L200" s="10" t="s">
        <v>76</v>
      </c>
      <c r="M200" s="10" t="s">
        <v>60</v>
      </c>
      <c r="N200" s="10" t="s">
        <v>61</v>
      </c>
      <c r="O200" s="10" t="s">
        <v>83</v>
      </c>
      <c r="P200" s="11">
        <v>9.6999999999999993</v>
      </c>
      <c r="Q200" s="10">
        <v>11.5</v>
      </c>
      <c r="R200" s="10">
        <v>6</v>
      </c>
      <c r="S200" s="10">
        <v>2</v>
      </c>
      <c r="T200" s="2">
        <f t="shared" si="86"/>
        <v>29.2</v>
      </c>
      <c r="U200" s="10">
        <v>562</v>
      </c>
      <c r="V200" s="10">
        <v>1593</v>
      </c>
      <c r="W200" s="2" t="str">
        <f t="shared" si="78"/>
        <v>4</v>
      </c>
      <c r="X200" s="2" t="str">
        <f t="shared" si="79"/>
        <v>2</v>
      </c>
      <c r="Y200" s="2" t="str">
        <f t="shared" si="80"/>
        <v>1</v>
      </c>
      <c r="Z200" s="3" t="str">
        <f t="shared" si="81"/>
        <v>1</v>
      </c>
      <c r="AA200" s="10">
        <v>0</v>
      </c>
      <c r="AB200" s="3">
        <f t="shared" si="91"/>
        <v>2</v>
      </c>
      <c r="AC200" s="10">
        <v>47</v>
      </c>
      <c r="AD200" s="10">
        <v>8</v>
      </c>
      <c r="AE200" s="10">
        <v>0.02</v>
      </c>
      <c r="AF200" s="10">
        <v>43</v>
      </c>
      <c r="AG200" s="2">
        <f t="shared" si="82"/>
        <v>2150</v>
      </c>
      <c r="AH200" s="2" t="str">
        <f t="shared" si="83"/>
        <v>1</v>
      </c>
      <c r="AI200" s="3" t="str">
        <f t="shared" si="84"/>
        <v>1</v>
      </c>
      <c r="AJ200" s="3">
        <f t="shared" si="85"/>
        <v>1</v>
      </c>
      <c r="AK200" s="2">
        <v>14</v>
      </c>
      <c r="AL200" s="2" t="str">
        <f t="shared" si="87"/>
        <v>1</v>
      </c>
      <c r="AM200" s="10">
        <v>108.78</v>
      </c>
      <c r="AN200" s="10">
        <v>82.672799999999995</v>
      </c>
      <c r="AO200" s="10">
        <v>271.94</v>
      </c>
      <c r="AP200" s="10">
        <v>206.67439999999999</v>
      </c>
      <c r="AQ200" s="10" t="s">
        <v>61</v>
      </c>
      <c r="AR200" s="10" t="s">
        <v>490</v>
      </c>
      <c r="AS200" s="10">
        <v>76</v>
      </c>
      <c r="AT200" s="2" t="str">
        <f t="shared" si="88"/>
        <v>4</v>
      </c>
      <c r="AU200" s="10">
        <v>1</v>
      </c>
      <c r="AV200" s="10">
        <v>1</v>
      </c>
      <c r="AW200" s="10">
        <v>1</v>
      </c>
      <c r="AX200" s="10" t="s">
        <v>61</v>
      </c>
      <c r="AY200" s="2">
        <v>1</v>
      </c>
      <c r="AZ200" s="10">
        <v>2023</v>
      </c>
      <c r="BA200" s="2">
        <f t="shared" si="89"/>
        <v>2</v>
      </c>
      <c r="BB200" s="2" t="str">
        <f t="shared" si="90"/>
        <v>1</v>
      </c>
      <c r="BC200" s="3">
        <v>1</v>
      </c>
      <c r="BD200" s="7">
        <f>(AB200*0.2)+(AJ200*0.23)+(AL200*0.05)+(AT200*0.1)+(AY200*0.18)+(BB200*0.05)+(BC200*0.19)</f>
        <v>1.5</v>
      </c>
      <c r="BE200" s="62" t="s">
        <v>827</v>
      </c>
      <c r="BF200" s="62"/>
      <c r="BG200" s="62"/>
      <c r="BH200" s="2">
        <v>5126</v>
      </c>
      <c r="BI200" s="10"/>
      <c r="BJ200" s="10"/>
      <c r="BK200" s="10"/>
      <c r="BL200" s="10"/>
      <c r="BM200" s="10"/>
    </row>
    <row r="201" spans="1:66" ht="32" x14ac:dyDescent="0.2">
      <c r="A201" s="10">
        <v>20700406</v>
      </c>
      <c r="B201" s="10">
        <v>24380109</v>
      </c>
      <c r="C201" s="10">
        <v>5000</v>
      </c>
      <c r="D201" s="10" t="s">
        <v>73</v>
      </c>
      <c r="E201" s="10" t="s">
        <v>632</v>
      </c>
      <c r="F201" s="101" t="s">
        <v>633</v>
      </c>
      <c r="G201" s="10" t="s">
        <v>125</v>
      </c>
      <c r="H201" s="10" t="s">
        <v>126</v>
      </c>
      <c r="I201" s="10" t="s">
        <v>65</v>
      </c>
      <c r="J201" s="10" t="s">
        <v>82</v>
      </c>
      <c r="K201" s="10" t="s">
        <v>66</v>
      </c>
      <c r="L201" s="10" t="s">
        <v>76</v>
      </c>
      <c r="M201" s="10" t="s">
        <v>60</v>
      </c>
      <c r="N201" s="10" t="s">
        <v>61</v>
      </c>
      <c r="O201" s="10" t="s">
        <v>130</v>
      </c>
      <c r="P201" s="11">
        <v>7.7</v>
      </c>
      <c r="Q201" s="10">
        <v>32</v>
      </c>
      <c r="R201" s="10">
        <v>16.399999999999999</v>
      </c>
      <c r="S201" s="10">
        <v>7.1</v>
      </c>
      <c r="T201" s="2">
        <f t="shared" si="86"/>
        <v>63.2</v>
      </c>
      <c r="U201" s="2">
        <v>2139</v>
      </c>
      <c r="V201" s="2">
        <v>11001</v>
      </c>
      <c r="W201" s="2" t="str">
        <f t="shared" si="78"/>
        <v>5</v>
      </c>
      <c r="X201" s="2" t="str">
        <f t="shared" si="79"/>
        <v>5</v>
      </c>
      <c r="Y201" s="2" t="str">
        <f t="shared" si="80"/>
        <v>1</v>
      </c>
      <c r="Z201" s="3" t="str">
        <f t="shared" si="81"/>
        <v>1</v>
      </c>
      <c r="AA201" s="10">
        <v>0</v>
      </c>
      <c r="AB201" s="3">
        <f t="shared" si="91"/>
        <v>3</v>
      </c>
      <c r="AC201" s="10">
        <v>48</v>
      </c>
      <c r="AD201" s="10">
        <v>15</v>
      </c>
      <c r="AE201" s="10">
        <v>0.02</v>
      </c>
      <c r="AF201" s="10">
        <v>40.299999999999997</v>
      </c>
      <c r="AG201" s="2">
        <f t="shared" si="82"/>
        <v>2014.9999999999998</v>
      </c>
      <c r="AH201" s="2" t="str">
        <f t="shared" si="83"/>
        <v>1</v>
      </c>
      <c r="AI201" s="3" t="str">
        <f t="shared" si="84"/>
        <v>1</v>
      </c>
      <c r="AJ201" s="3">
        <f t="shared" si="85"/>
        <v>1</v>
      </c>
      <c r="AK201" s="2">
        <v>88</v>
      </c>
      <c r="AL201" s="2" t="str">
        <f t="shared" si="87"/>
        <v>1</v>
      </c>
      <c r="AM201" s="10">
        <v>83.7</v>
      </c>
      <c r="AN201" s="10">
        <v>85.374000000000009</v>
      </c>
      <c r="AO201" s="10">
        <v>209.2</v>
      </c>
      <c r="AP201" s="10">
        <v>213.38399999999999</v>
      </c>
      <c r="AQ201" s="10" t="s">
        <v>61</v>
      </c>
      <c r="AR201" s="10" t="s">
        <v>61</v>
      </c>
      <c r="AS201" s="10">
        <v>102</v>
      </c>
      <c r="AT201" s="2" t="str">
        <f t="shared" si="88"/>
        <v>5</v>
      </c>
      <c r="AU201" s="10">
        <v>1</v>
      </c>
      <c r="AV201" s="10">
        <v>1</v>
      </c>
      <c r="AW201" s="10">
        <v>1</v>
      </c>
      <c r="AX201" s="10" t="s">
        <v>61</v>
      </c>
      <c r="AY201" s="2">
        <v>1</v>
      </c>
      <c r="AZ201" s="10">
        <v>2009</v>
      </c>
      <c r="BA201" s="2">
        <f t="shared" si="89"/>
        <v>16</v>
      </c>
      <c r="BB201" s="2" t="str">
        <f t="shared" si="90"/>
        <v>2</v>
      </c>
      <c r="BC201" s="3">
        <v>1</v>
      </c>
      <c r="BD201" s="7">
        <v>4</v>
      </c>
      <c r="BE201" s="117" t="s">
        <v>976</v>
      </c>
      <c r="BF201" s="62"/>
      <c r="BG201" s="62" t="s">
        <v>819</v>
      </c>
      <c r="BH201" s="2">
        <v>7275</v>
      </c>
      <c r="BI201" s="10"/>
      <c r="BJ201" s="10" t="s">
        <v>920</v>
      </c>
      <c r="BK201" s="107">
        <v>46096</v>
      </c>
      <c r="BL201" s="10" t="s">
        <v>933</v>
      </c>
      <c r="BM201" s="10"/>
      <c r="BN201" s="61" t="s">
        <v>997</v>
      </c>
    </row>
    <row r="202" spans="1:66" ht="64" x14ac:dyDescent="0.2">
      <c r="A202" s="10">
        <v>20700275</v>
      </c>
      <c r="B202" s="10">
        <v>1081030760</v>
      </c>
      <c r="C202" s="10">
        <v>50000</v>
      </c>
      <c r="D202" s="10" t="s">
        <v>134</v>
      </c>
      <c r="E202" s="10" t="s">
        <v>636</v>
      </c>
      <c r="F202" s="101" t="s">
        <v>637</v>
      </c>
      <c r="G202" s="10" t="s">
        <v>70</v>
      </c>
      <c r="H202" s="10" t="s">
        <v>70</v>
      </c>
      <c r="I202" s="10" t="s">
        <v>81</v>
      </c>
      <c r="J202" s="10" t="s">
        <v>82</v>
      </c>
      <c r="K202" s="10" t="s">
        <v>48</v>
      </c>
      <c r="L202" s="10">
        <v>66</v>
      </c>
      <c r="M202" s="10" t="s">
        <v>60</v>
      </c>
      <c r="N202" s="10" t="s">
        <v>61</v>
      </c>
      <c r="O202" s="10" t="s">
        <v>219</v>
      </c>
      <c r="P202" s="11">
        <v>12.9</v>
      </c>
      <c r="Q202" s="10">
        <v>4.9000000000000004</v>
      </c>
      <c r="R202" s="10">
        <v>0.8</v>
      </c>
      <c r="S202" s="10">
        <v>0.4</v>
      </c>
      <c r="T202" s="2">
        <f t="shared" si="86"/>
        <v>19</v>
      </c>
      <c r="U202" s="10">
        <v>492</v>
      </c>
      <c r="V202" s="10">
        <v>1177</v>
      </c>
      <c r="W202" s="2" t="str">
        <f t="shared" si="78"/>
        <v>3</v>
      </c>
      <c r="X202" s="2" t="str">
        <f t="shared" si="79"/>
        <v>1</v>
      </c>
      <c r="Y202" s="2" t="str">
        <f t="shared" si="80"/>
        <v>1</v>
      </c>
      <c r="Z202" s="3" t="str">
        <f t="shared" si="81"/>
        <v>1</v>
      </c>
      <c r="AA202" s="10">
        <v>0</v>
      </c>
      <c r="AB202" s="3">
        <f t="shared" si="91"/>
        <v>1.5</v>
      </c>
      <c r="AC202" s="10">
        <v>52</v>
      </c>
      <c r="AD202" s="10">
        <v>6</v>
      </c>
      <c r="AE202" s="10">
        <v>0.02</v>
      </c>
      <c r="AF202" s="10">
        <v>44.1</v>
      </c>
      <c r="AG202" s="2">
        <f t="shared" si="82"/>
        <v>2205</v>
      </c>
      <c r="AH202" s="2" t="str">
        <f t="shared" si="83"/>
        <v>1</v>
      </c>
      <c r="AI202" s="3" t="str">
        <f t="shared" si="84"/>
        <v>1</v>
      </c>
      <c r="AJ202" s="3">
        <f t="shared" si="85"/>
        <v>1</v>
      </c>
      <c r="AK202" s="2">
        <v>14</v>
      </c>
      <c r="AL202" s="2" t="str">
        <f t="shared" si="87"/>
        <v>1</v>
      </c>
      <c r="AM202" s="10">
        <v>437.4</v>
      </c>
      <c r="AN202" s="10">
        <v>271.18799999999999</v>
      </c>
      <c r="AO202" s="10">
        <v>2091.8000000000002</v>
      </c>
      <c r="AP202" s="10">
        <v>1296.9160000000002</v>
      </c>
      <c r="AQ202" s="10">
        <v>0</v>
      </c>
      <c r="AR202" s="10">
        <v>0</v>
      </c>
      <c r="AS202" s="10">
        <v>62</v>
      </c>
      <c r="AT202" s="2" t="str">
        <f t="shared" si="88"/>
        <v>2</v>
      </c>
      <c r="AU202" s="10">
        <v>1</v>
      </c>
      <c r="AV202" s="10">
        <v>1</v>
      </c>
      <c r="AW202" s="10">
        <v>1</v>
      </c>
      <c r="AX202" s="10">
        <v>1</v>
      </c>
      <c r="AY202" s="2">
        <v>1</v>
      </c>
      <c r="AZ202" s="10">
        <v>2023</v>
      </c>
      <c r="BA202" s="2">
        <f t="shared" si="89"/>
        <v>2</v>
      </c>
      <c r="BB202" s="2" t="str">
        <f t="shared" si="90"/>
        <v>1</v>
      </c>
      <c r="BC202" s="3">
        <v>1</v>
      </c>
      <c r="BD202" s="7">
        <f t="shared" ref="BD202:BD207" si="92">(AB202*0.2)+(AJ202*0.23)+(AL202*0.05)+(AT202*0.1)+(AY202*0.18)+(BB202*0.05)+(BC202*0.19)</f>
        <v>1.2</v>
      </c>
      <c r="BE202" s="100" t="s">
        <v>828</v>
      </c>
      <c r="BF202" s="62"/>
      <c r="BG202" s="62"/>
      <c r="BH202" s="2">
        <v>48312</v>
      </c>
      <c r="BI202" s="10"/>
      <c r="BJ202" s="10"/>
      <c r="BK202" s="10"/>
      <c r="BL202" s="10"/>
      <c r="BM202" s="10"/>
    </row>
    <row r="203" spans="1:66" ht="112" x14ac:dyDescent="0.2">
      <c r="A203" s="10">
        <v>20019077</v>
      </c>
      <c r="B203" s="10" t="s">
        <v>638</v>
      </c>
      <c r="C203" s="10">
        <v>48000</v>
      </c>
      <c r="D203" s="10" t="s">
        <v>134</v>
      </c>
      <c r="E203" s="10" t="s">
        <v>639</v>
      </c>
      <c r="F203" s="10" t="s">
        <v>640</v>
      </c>
      <c r="G203" s="10" t="s">
        <v>70</v>
      </c>
      <c r="H203" s="10" t="s">
        <v>70</v>
      </c>
      <c r="I203" s="10" t="s">
        <v>81</v>
      </c>
      <c r="J203" s="10" t="s">
        <v>82</v>
      </c>
      <c r="K203" s="10" t="s">
        <v>66</v>
      </c>
      <c r="L203" s="10">
        <v>66</v>
      </c>
      <c r="M203" s="10" t="s">
        <v>137</v>
      </c>
      <c r="N203" s="10" t="s">
        <v>60</v>
      </c>
      <c r="O203" s="10" t="s">
        <v>311</v>
      </c>
      <c r="P203" s="11">
        <v>3.1</v>
      </c>
      <c r="Q203" s="10">
        <v>3.4</v>
      </c>
      <c r="R203" s="10">
        <v>79</v>
      </c>
      <c r="S203" s="10">
        <v>1</v>
      </c>
      <c r="T203" s="2">
        <f t="shared" si="86"/>
        <v>86.5</v>
      </c>
      <c r="U203" s="10">
        <v>439</v>
      </c>
      <c r="V203" s="10">
        <v>2447</v>
      </c>
      <c r="W203" s="2" t="str">
        <f t="shared" si="78"/>
        <v>3</v>
      </c>
      <c r="X203" s="2" t="str">
        <f t="shared" si="79"/>
        <v>2</v>
      </c>
      <c r="Y203" s="2" t="str">
        <f t="shared" si="80"/>
        <v>1</v>
      </c>
      <c r="Z203" s="3" t="str">
        <f t="shared" si="81"/>
        <v>1</v>
      </c>
      <c r="AA203" s="10">
        <v>0</v>
      </c>
      <c r="AB203" s="3">
        <f t="shared" si="91"/>
        <v>1.75</v>
      </c>
      <c r="AC203" s="10">
        <v>37</v>
      </c>
      <c r="AD203" s="10">
        <v>20</v>
      </c>
      <c r="AE203" s="10">
        <v>0.02</v>
      </c>
      <c r="AF203" s="10">
        <v>37.799999999999997</v>
      </c>
      <c r="AG203" s="2">
        <f t="shared" si="82"/>
        <v>1889.9999999999998</v>
      </c>
      <c r="AH203" s="2" t="str">
        <f t="shared" si="83"/>
        <v>1</v>
      </c>
      <c r="AI203" s="3" t="str">
        <f t="shared" si="84"/>
        <v>1</v>
      </c>
      <c r="AJ203" s="3">
        <f t="shared" si="85"/>
        <v>1</v>
      </c>
      <c r="AK203" s="2">
        <v>289</v>
      </c>
      <c r="AL203" s="2" t="str">
        <f t="shared" si="87"/>
        <v>1</v>
      </c>
      <c r="AM203" s="10">
        <v>419.9</v>
      </c>
      <c r="AN203" s="10">
        <v>130.16899999999998</v>
      </c>
      <c r="AO203" s="10">
        <v>401.6</v>
      </c>
      <c r="AP203" s="10">
        <v>333.32799999999997</v>
      </c>
      <c r="AQ203" s="10">
        <v>1004.1</v>
      </c>
      <c r="AR203" s="10">
        <v>0</v>
      </c>
      <c r="AS203" s="10">
        <v>95</v>
      </c>
      <c r="AT203" s="2" t="str">
        <f t="shared" si="88"/>
        <v>4</v>
      </c>
      <c r="AU203" s="10">
        <v>1</v>
      </c>
      <c r="AV203" s="10">
        <v>1</v>
      </c>
      <c r="AW203" s="10">
        <v>1</v>
      </c>
      <c r="AX203" s="10">
        <v>1</v>
      </c>
      <c r="AY203" s="2">
        <v>2</v>
      </c>
      <c r="AZ203" s="10">
        <v>1996</v>
      </c>
      <c r="BA203" s="2">
        <f t="shared" si="89"/>
        <v>29</v>
      </c>
      <c r="BB203" s="2" t="str">
        <f t="shared" si="90"/>
        <v>4</v>
      </c>
      <c r="BC203" s="3">
        <v>1</v>
      </c>
      <c r="BD203" s="7">
        <f t="shared" si="92"/>
        <v>1.78</v>
      </c>
      <c r="BE203" s="62" t="s">
        <v>853</v>
      </c>
      <c r="BF203" s="62" t="s">
        <v>902</v>
      </c>
      <c r="BG203" s="8" t="s">
        <v>889</v>
      </c>
      <c r="BH203" s="2">
        <v>13503</v>
      </c>
      <c r="BI203" s="10"/>
      <c r="BJ203" s="10"/>
      <c r="BK203" s="10"/>
      <c r="BL203" s="10"/>
      <c r="BM203" s="10"/>
    </row>
    <row r="204" spans="1:66" ht="32" x14ac:dyDescent="0.2">
      <c r="A204" s="10">
        <v>20019077</v>
      </c>
      <c r="B204" s="10" t="s">
        <v>642</v>
      </c>
      <c r="C204" s="10">
        <v>6000</v>
      </c>
      <c r="D204" s="10" t="s">
        <v>73</v>
      </c>
      <c r="E204" s="10" t="s">
        <v>639</v>
      </c>
      <c r="F204" s="10" t="s">
        <v>643</v>
      </c>
      <c r="G204" s="10" t="s">
        <v>70</v>
      </c>
      <c r="H204" s="10" t="s">
        <v>70</v>
      </c>
      <c r="I204" s="10" t="s">
        <v>65</v>
      </c>
      <c r="J204" s="10" t="s">
        <v>61</v>
      </c>
      <c r="K204" s="10" t="s">
        <v>66</v>
      </c>
      <c r="L204" s="10">
        <v>66</v>
      </c>
      <c r="M204" s="10" t="s">
        <v>60</v>
      </c>
      <c r="N204" s="10" t="s">
        <v>61</v>
      </c>
      <c r="O204" s="10" t="s">
        <v>644</v>
      </c>
      <c r="P204" s="11">
        <v>6.4</v>
      </c>
      <c r="Q204" s="10">
        <v>2.2000000000000002</v>
      </c>
      <c r="R204" s="10">
        <v>5</v>
      </c>
      <c r="S204" s="10">
        <v>0.3</v>
      </c>
      <c r="T204" s="2">
        <f t="shared" si="86"/>
        <v>13.900000000000002</v>
      </c>
      <c r="U204" s="10">
        <v>264</v>
      </c>
      <c r="V204" s="10">
        <v>2085</v>
      </c>
      <c r="W204" s="2" t="str">
        <f t="shared" si="78"/>
        <v>2</v>
      </c>
      <c r="X204" s="2" t="str">
        <f t="shared" si="79"/>
        <v>2</v>
      </c>
      <c r="Y204" s="2" t="str">
        <f t="shared" si="80"/>
        <v>1</v>
      </c>
      <c r="Z204" s="3" t="str">
        <f t="shared" si="81"/>
        <v>1</v>
      </c>
      <c r="AA204" s="10">
        <v>0</v>
      </c>
      <c r="AB204" s="3">
        <f t="shared" si="91"/>
        <v>1.5</v>
      </c>
      <c r="AC204" s="10">
        <v>23</v>
      </c>
      <c r="AD204" s="10">
        <v>22</v>
      </c>
      <c r="AE204" s="10">
        <v>0.02</v>
      </c>
      <c r="AF204" s="10">
        <v>37.200000000000003</v>
      </c>
      <c r="AG204" s="2">
        <f t="shared" si="82"/>
        <v>1860</v>
      </c>
      <c r="AH204" s="2" t="str">
        <f t="shared" si="83"/>
        <v>3</v>
      </c>
      <c r="AI204" s="3" t="str">
        <f t="shared" si="84"/>
        <v>1</v>
      </c>
      <c r="AJ204" s="3">
        <f t="shared" si="85"/>
        <v>2.6000000000000005</v>
      </c>
      <c r="AK204" s="2">
        <v>1123</v>
      </c>
      <c r="AL204" s="2" t="str">
        <f t="shared" si="87"/>
        <v>1</v>
      </c>
      <c r="AM204" s="10">
        <v>52</v>
      </c>
      <c r="AN204" s="10">
        <v>36.4</v>
      </c>
      <c r="AO204" s="10">
        <v>248</v>
      </c>
      <c r="AP204" s="10">
        <v>173.6</v>
      </c>
      <c r="AQ204" s="10">
        <v>0</v>
      </c>
      <c r="AR204" s="10">
        <v>0</v>
      </c>
      <c r="AS204" s="10">
        <v>70</v>
      </c>
      <c r="AT204" s="2" t="str">
        <f t="shared" si="88"/>
        <v>3</v>
      </c>
      <c r="AU204" s="10">
        <v>1</v>
      </c>
      <c r="AV204" s="10">
        <v>1</v>
      </c>
      <c r="AW204" s="10">
        <v>1</v>
      </c>
      <c r="AX204" s="10" t="s">
        <v>61</v>
      </c>
      <c r="AY204" s="2">
        <v>1</v>
      </c>
      <c r="AZ204" s="10">
        <v>1971</v>
      </c>
      <c r="BA204" s="2">
        <f t="shared" si="89"/>
        <v>54</v>
      </c>
      <c r="BB204" s="2" t="str">
        <f t="shared" si="90"/>
        <v>5</v>
      </c>
      <c r="BC204" s="3">
        <v>1</v>
      </c>
      <c r="BD204" s="7">
        <f t="shared" si="92"/>
        <v>1.8680000000000001</v>
      </c>
      <c r="BE204" s="62" t="s">
        <v>832</v>
      </c>
      <c r="BF204" s="62"/>
      <c r="BG204" s="62"/>
      <c r="BH204" s="2">
        <v>5000</v>
      </c>
      <c r="BI204" s="10"/>
      <c r="BJ204" s="10"/>
      <c r="BK204" s="10"/>
      <c r="BL204" s="10"/>
      <c r="BM204" s="10"/>
    </row>
    <row r="205" spans="1:66" ht="96" x14ac:dyDescent="0.2">
      <c r="A205" s="10">
        <v>20019071</v>
      </c>
      <c r="B205" s="10" t="s">
        <v>650</v>
      </c>
      <c r="C205" s="10">
        <v>35000</v>
      </c>
      <c r="D205" s="10" t="s">
        <v>152</v>
      </c>
      <c r="E205" s="10" t="s">
        <v>645</v>
      </c>
      <c r="F205" s="101" t="s">
        <v>651</v>
      </c>
      <c r="G205" s="10" t="s">
        <v>70</v>
      </c>
      <c r="H205" s="10" t="s">
        <v>70</v>
      </c>
      <c r="I205" s="10" t="s">
        <v>81</v>
      </c>
      <c r="J205" s="10" t="s">
        <v>82</v>
      </c>
      <c r="K205" s="10" t="s">
        <v>48</v>
      </c>
      <c r="L205" s="10">
        <v>66</v>
      </c>
      <c r="M205" s="10" t="s">
        <v>60</v>
      </c>
      <c r="N205" s="10" t="s">
        <v>61</v>
      </c>
      <c r="O205" s="10" t="s">
        <v>155</v>
      </c>
      <c r="P205" s="11">
        <v>17.3</v>
      </c>
      <c r="Q205" s="10">
        <v>30</v>
      </c>
      <c r="R205" s="10">
        <v>3.8</v>
      </c>
      <c r="S205" s="10">
        <v>6.6</v>
      </c>
      <c r="T205" s="2">
        <f t="shared" si="86"/>
        <v>57.699999999999996</v>
      </c>
      <c r="U205" s="2">
        <v>1503</v>
      </c>
      <c r="V205" s="2">
        <v>20383</v>
      </c>
      <c r="W205" s="2" t="str">
        <f t="shared" si="78"/>
        <v>5</v>
      </c>
      <c r="X205" s="2" t="str">
        <f t="shared" si="79"/>
        <v>5</v>
      </c>
      <c r="Y205" s="2" t="str">
        <f t="shared" si="80"/>
        <v>1</v>
      </c>
      <c r="Z205" s="3" t="str">
        <f t="shared" si="81"/>
        <v>1</v>
      </c>
      <c r="AA205" s="10">
        <v>0</v>
      </c>
      <c r="AB205" s="3">
        <f t="shared" si="91"/>
        <v>3</v>
      </c>
      <c r="AC205" s="10">
        <v>37</v>
      </c>
      <c r="AD205" s="10">
        <v>12</v>
      </c>
      <c r="AE205" s="10">
        <v>0.02</v>
      </c>
      <c r="AF205" s="10">
        <v>44.4</v>
      </c>
      <c r="AG205" s="2">
        <f t="shared" si="82"/>
        <v>2220</v>
      </c>
      <c r="AH205" s="2" t="str">
        <f t="shared" si="83"/>
        <v>1</v>
      </c>
      <c r="AI205" s="3" t="str">
        <f t="shared" si="84"/>
        <v>1</v>
      </c>
      <c r="AJ205" s="3">
        <f t="shared" si="85"/>
        <v>1</v>
      </c>
      <c r="AK205" s="2">
        <v>222</v>
      </c>
      <c r="AL205" s="2" t="str">
        <f t="shared" si="87"/>
        <v>1</v>
      </c>
      <c r="AM205" s="10">
        <v>318.2</v>
      </c>
      <c r="AN205" s="10">
        <v>190.92</v>
      </c>
      <c r="AO205" s="10">
        <v>1464.3</v>
      </c>
      <c r="AP205" s="10">
        <v>878.57999999999993</v>
      </c>
      <c r="AQ205" s="10" t="s">
        <v>61</v>
      </c>
      <c r="AR205" s="10" t="s">
        <v>61</v>
      </c>
      <c r="AS205" s="10">
        <v>60</v>
      </c>
      <c r="AT205" s="2" t="str">
        <f t="shared" si="88"/>
        <v>2</v>
      </c>
      <c r="AU205" s="10">
        <v>1</v>
      </c>
      <c r="AV205" s="10">
        <v>1</v>
      </c>
      <c r="AW205" s="10">
        <v>1</v>
      </c>
      <c r="AX205" s="10">
        <v>1</v>
      </c>
      <c r="AY205" s="2">
        <v>1</v>
      </c>
      <c r="AZ205" s="10">
        <v>1992</v>
      </c>
      <c r="BA205" s="2">
        <f t="shared" si="89"/>
        <v>33</v>
      </c>
      <c r="BB205" s="2" t="str">
        <f t="shared" si="90"/>
        <v>5</v>
      </c>
      <c r="BC205" s="3">
        <v>1</v>
      </c>
      <c r="BD205" s="7">
        <f t="shared" si="92"/>
        <v>1.7</v>
      </c>
      <c r="BE205" s="62" t="s">
        <v>840</v>
      </c>
      <c r="BF205" s="62"/>
      <c r="BG205" s="8" t="s">
        <v>889</v>
      </c>
      <c r="BH205" s="2">
        <v>15482</v>
      </c>
      <c r="BI205" s="10"/>
      <c r="BJ205" s="10"/>
      <c r="BK205" s="10"/>
      <c r="BL205" s="10"/>
      <c r="BM205" s="10"/>
      <c r="BN205" s="61" t="s">
        <v>997</v>
      </c>
    </row>
    <row r="206" spans="1:66" ht="96" x14ac:dyDescent="0.2">
      <c r="A206" s="10">
        <v>20019071</v>
      </c>
      <c r="B206" s="10" t="s">
        <v>647</v>
      </c>
      <c r="C206" s="10">
        <v>35000</v>
      </c>
      <c r="D206" s="10" t="s">
        <v>152</v>
      </c>
      <c r="E206" s="10" t="s">
        <v>645</v>
      </c>
      <c r="F206" s="101" t="s">
        <v>648</v>
      </c>
      <c r="G206" s="10" t="s">
        <v>70</v>
      </c>
      <c r="H206" s="10" t="s">
        <v>70</v>
      </c>
      <c r="I206" s="10" t="s">
        <v>81</v>
      </c>
      <c r="J206" s="10" t="s">
        <v>82</v>
      </c>
      <c r="K206" s="10" t="s">
        <v>48</v>
      </c>
      <c r="L206" s="10">
        <v>66</v>
      </c>
      <c r="M206" s="10" t="s">
        <v>60</v>
      </c>
      <c r="N206" s="10" t="s">
        <v>61</v>
      </c>
      <c r="O206" s="10" t="s">
        <v>155</v>
      </c>
      <c r="P206" s="11">
        <v>9.9</v>
      </c>
      <c r="Q206" s="10">
        <v>13.8</v>
      </c>
      <c r="R206" s="10">
        <v>217</v>
      </c>
      <c r="S206" s="10">
        <v>3.5</v>
      </c>
      <c r="T206" s="2">
        <f t="shared" si="86"/>
        <v>244.2</v>
      </c>
      <c r="U206" s="10">
        <v>1182</v>
      </c>
      <c r="V206" s="10">
        <v>14998</v>
      </c>
      <c r="W206" s="2" t="str">
        <f t="shared" si="78"/>
        <v>5</v>
      </c>
      <c r="X206" s="2" t="str">
        <f t="shared" si="79"/>
        <v>5</v>
      </c>
      <c r="Y206" s="2" t="str">
        <f t="shared" si="80"/>
        <v>3</v>
      </c>
      <c r="Z206" s="3" t="str">
        <f t="shared" si="81"/>
        <v>1</v>
      </c>
      <c r="AA206" s="10">
        <v>0</v>
      </c>
      <c r="AB206" s="3">
        <f t="shared" si="91"/>
        <v>3.5</v>
      </c>
      <c r="AC206" s="10">
        <v>25</v>
      </c>
      <c r="AD206" s="10">
        <v>26</v>
      </c>
      <c r="AE206" s="10">
        <v>0.02</v>
      </c>
      <c r="AF206" s="10">
        <v>37</v>
      </c>
      <c r="AG206" s="2">
        <f t="shared" si="82"/>
        <v>1850</v>
      </c>
      <c r="AH206" s="2" t="str">
        <f t="shared" si="83"/>
        <v>3</v>
      </c>
      <c r="AI206" s="3" t="str">
        <f t="shared" si="84"/>
        <v>1</v>
      </c>
      <c r="AJ206" s="3">
        <f t="shared" si="85"/>
        <v>2.6000000000000005</v>
      </c>
      <c r="AK206" s="2">
        <v>545</v>
      </c>
      <c r="AL206" s="2" t="str">
        <f t="shared" si="87"/>
        <v>1</v>
      </c>
      <c r="AM206" s="10">
        <v>318.2</v>
      </c>
      <c r="AN206" s="10">
        <v>190.92</v>
      </c>
      <c r="AO206" s="10">
        <v>1464.3</v>
      </c>
      <c r="AP206" s="10">
        <v>878.57999999999993</v>
      </c>
      <c r="AQ206" s="10" t="s">
        <v>61</v>
      </c>
      <c r="AR206" s="10" t="s">
        <v>61</v>
      </c>
      <c r="AS206" s="10">
        <v>60</v>
      </c>
      <c r="AT206" s="2" t="str">
        <f t="shared" si="88"/>
        <v>2</v>
      </c>
      <c r="AU206" s="10">
        <v>5</v>
      </c>
      <c r="AV206" s="10">
        <v>1</v>
      </c>
      <c r="AW206" s="10">
        <v>1</v>
      </c>
      <c r="AX206" s="10">
        <v>1</v>
      </c>
      <c r="AY206" s="2">
        <v>1</v>
      </c>
      <c r="AZ206" s="10">
        <v>1992</v>
      </c>
      <c r="BA206" s="2">
        <f t="shared" si="89"/>
        <v>33</v>
      </c>
      <c r="BB206" s="2" t="str">
        <f t="shared" si="90"/>
        <v>5</v>
      </c>
      <c r="BC206" s="3">
        <v>1</v>
      </c>
      <c r="BD206" s="7">
        <f t="shared" si="92"/>
        <v>2.1680000000000001</v>
      </c>
      <c r="BE206" s="62" t="s">
        <v>840</v>
      </c>
      <c r="BF206" s="62"/>
      <c r="BG206" s="8" t="s">
        <v>890</v>
      </c>
      <c r="BH206" s="2">
        <v>40620</v>
      </c>
      <c r="BI206" s="10"/>
      <c r="BJ206" s="10"/>
      <c r="BK206" s="10"/>
      <c r="BL206" s="10"/>
      <c r="BM206" s="10"/>
      <c r="BN206" s="61" t="s">
        <v>998</v>
      </c>
    </row>
    <row r="207" spans="1:66" ht="64" x14ac:dyDescent="0.2">
      <c r="A207" s="10">
        <v>20019071</v>
      </c>
      <c r="B207" s="10">
        <v>1057474110</v>
      </c>
      <c r="C207" s="10">
        <v>35000</v>
      </c>
      <c r="D207" s="10" t="s">
        <v>152</v>
      </c>
      <c r="E207" s="10" t="s">
        <v>645</v>
      </c>
      <c r="F207" s="101" t="s">
        <v>646</v>
      </c>
      <c r="G207" s="10" t="s">
        <v>70</v>
      </c>
      <c r="H207" s="10" t="s">
        <v>70</v>
      </c>
      <c r="I207" s="10" t="s">
        <v>81</v>
      </c>
      <c r="J207" s="10" t="s">
        <v>82</v>
      </c>
      <c r="K207" s="10" t="s">
        <v>48</v>
      </c>
      <c r="L207" s="10">
        <v>66</v>
      </c>
      <c r="M207" s="10" t="s">
        <v>60</v>
      </c>
      <c r="N207" s="10" t="s">
        <v>61</v>
      </c>
      <c r="O207" s="10" t="s">
        <v>155</v>
      </c>
      <c r="P207" s="11">
        <v>8</v>
      </c>
      <c r="Q207" s="10">
        <v>3.8</v>
      </c>
      <c r="R207" s="10">
        <v>0.3</v>
      </c>
      <c r="S207" s="10">
        <v>0.6</v>
      </c>
      <c r="T207" s="2">
        <f t="shared" si="86"/>
        <v>12.700000000000001</v>
      </c>
      <c r="U207" s="10">
        <v>337</v>
      </c>
      <c r="V207" s="10">
        <v>1963</v>
      </c>
      <c r="W207" s="2" t="str">
        <f t="shared" si="78"/>
        <v>3</v>
      </c>
      <c r="X207" s="2" t="str">
        <f t="shared" si="79"/>
        <v>2</v>
      </c>
      <c r="Y207" s="2" t="str">
        <f t="shared" si="80"/>
        <v>1</v>
      </c>
      <c r="Z207" s="3" t="str">
        <f t="shared" si="81"/>
        <v>1</v>
      </c>
      <c r="AA207" s="10">
        <v>0</v>
      </c>
      <c r="AB207" s="3">
        <f t="shared" si="91"/>
        <v>1.75</v>
      </c>
      <c r="AC207" s="10">
        <v>53</v>
      </c>
      <c r="AD207" s="10">
        <v>6</v>
      </c>
      <c r="AE207" s="10">
        <v>0.02</v>
      </c>
      <c r="AF207" s="10">
        <v>44.7</v>
      </c>
      <c r="AG207" s="2">
        <f t="shared" si="82"/>
        <v>2235</v>
      </c>
      <c r="AH207" s="2" t="str">
        <f t="shared" si="83"/>
        <v>1</v>
      </c>
      <c r="AI207" s="3" t="str">
        <f t="shared" si="84"/>
        <v>1</v>
      </c>
      <c r="AJ207" s="3">
        <f t="shared" si="85"/>
        <v>1</v>
      </c>
      <c r="AK207" s="2">
        <v>14</v>
      </c>
      <c r="AL207" s="2" t="str">
        <f t="shared" si="87"/>
        <v>1</v>
      </c>
      <c r="AM207" s="10">
        <v>306</v>
      </c>
      <c r="AN207" s="10">
        <v>91.8</v>
      </c>
      <c r="AO207" s="10">
        <v>1464.3</v>
      </c>
      <c r="AP207" s="10">
        <v>439.28999999999996</v>
      </c>
      <c r="AQ207" s="10" t="s">
        <v>61</v>
      </c>
      <c r="AR207" s="10" t="s">
        <v>61</v>
      </c>
      <c r="AS207" s="10">
        <v>30</v>
      </c>
      <c r="AT207" s="2" t="str">
        <f t="shared" si="88"/>
        <v>1</v>
      </c>
      <c r="AU207" s="10">
        <v>1</v>
      </c>
      <c r="AV207" s="10">
        <v>1</v>
      </c>
      <c r="AW207" s="10">
        <v>1</v>
      </c>
      <c r="AX207" s="10">
        <v>1</v>
      </c>
      <c r="AY207" s="2">
        <v>1</v>
      </c>
      <c r="AZ207" s="10">
        <v>2021</v>
      </c>
      <c r="BA207" s="2">
        <f t="shared" si="89"/>
        <v>4</v>
      </c>
      <c r="BB207" s="2" t="str">
        <f t="shared" si="90"/>
        <v>1</v>
      </c>
      <c r="BC207" s="3">
        <v>1</v>
      </c>
      <c r="BD207" s="7">
        <f t="shared" si="92"/>
        <v>1.1500000000000001</v>
      </c>
      <c r="BE207" s="62" t="s">
        <v>828</v>
      </c>
      <c r="BF207" s="62"/>
      <c r="BG207" s="62"/>
      <c r="BH207" s="2">
        <v>18239</v>
      </c>
      <c r="BI207" s="10"/>
      <c r="BJ207" s="10"/>
      <c r="BK207" s="10"/>
      <c r="BL207" s="10"/>
      <c r="BM207" s="10"/>
    </row>
    <row r="208" spans="1:66" ht="16" x14ac:dyDescent="0.2">
      <c r="BF208" s="102" t="s">
        <v>719</v>
      </c>
    </row>
    <row r="209" spans="58:62" ht="16" x14ac:dyDescent="0.2">
      <c r="BF209" s="102" t="s">
        <v>805</v>
      </c>
    </row>
    <row r="210" spans="58:62" ht="16" x14ac:dyDescent="0.2">
      <c r="BF210" s="102" t="s">
        <v>805</v>
      </c>
    </row>
    <row r="212" spans="58:62" x14ac:dyDescent="0.2">
      <c r="BJ212" s="61" t="s">
        <v>942</v>
      </c>
    </row>
    <row r="231" spans="37:37" x14ac:dyDescent="0.2">
      <c r="AK231" s="61" t="s">
        <v>686</v>
      </c>
    </row>
  </sheetData>
  <autoFilter ref="A1:BN210" xr:uid="{00000000-0001-0000-0000-000000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5FEA8-4F08-E446-BF9D-E3E3FF58E88A}">
  <sheetPr codeName="Hoja3"/>
  <dimension ref="A1:BH39"/>
  <sheetViews>
    <sheetView topLeftCell="J1" zoomScale="139" zoomScaleNormal="70" workbookViewId="0">
      <selection activeCell="Q14" sqref="Q14"/>
    </sheetView>
  </sheetViews>
  <sheetFormatPr baseColWidth="10" defaultColWidth="15.5" defaultRowHeight="15" x14ac:dyDescent="0.2"/>
  <cols>
    <col min="1" max="1" width="35" style="61" hidden="1" customWidth="1"/>
    <col min="2" max="2" width="14.5" style="61" bestFit="1" customWidth="1"/>
    <col min="3" max="3" width="26.6640625" style="61" bestFit="1" customWidth="1"/>
    <col min="4" max="4" width="24.33203125" style="61" bestFit="1" customWidth="1"/>
    <col min="5" max="5" width="21.1640625" style="61" bestFit="1" customWidth="1"/>
    <col min="6" max="6" width="14.5" style="61" bestFit="1" customWidth="1"/>
    <col min="7" max="7" width="26.83203125" style="61" bestFit="1" customWidth="1"/>
    <col min="8" max="8" width="26.6640625" style="61" customWidth="1"/>
    <col min="9" max="9" width="23.6640625" style="61" customWidth="1"/>
    <col min="10" max="10" width="22.83203125" style="61" customWidth="1"/>
    <col min="11" max="11" width="11.1640625" style="61" customWidth="1"/>
    <col min="12" max="12" width="11.33203125" style="61" customWidth="1"/>
    <col min="13" max="13" width="11.1640625" style="61" customWidth="1"/>
    <col min="14" max="14" width="12.6640625" style="61" customWidth="1"/>
    <col min="15" max="15" width="11.33203125" style="61" customWidth="1"/>
    <col min="16" max="16" width="12.6640625" style="61" customWidth="1"/>
    <col min="17" max="20" width="14" style="61" customWidth="1"/>
    <col min="21" max="21" width="14.5" style="61" customWidth="1"/>
    <col min="22" max="22" width="21" style="61" customWidth="1"/>
    <col min="23" max="23" width="20.5" style="61" customWidth="1"/>
    <col min="24" max="24" width="14" style="61" customWidth="1"/>
    <col min="25" max="25" width="32.6640625" style="61" customWidth="1"/>
    <col min="26" max="27" width="33.5" style="61" customWidth="1"/>
    <col min="28" max="28" width="42.33203125" style="61" customWidth="1"/>
    <col min="29" max="29" width="33.5" style="61" customWidth="1"/>
    <col min="30" max="30" width="10.33203125" style="61" customWidth="1"/>
    <col min="31" max="31" width="32.6640625" style="61" customWidth="1"/>
    <col min="32" max="32" width="16.83203125" style="61" customWidth="1"/>
    <col min="33" max="35" width="14.5" style="61" customWidth="1"/>
    <col min="36" max="36" width="21.6640625" style="61" customWidth="1"/>
    <col min="37" max="37" width="38.33203125" style="61" customWidth="1"/>
    <col min="38" max="38" width="32.6640625" style="61" customWidth="1"/>
    <col min="39" max="39" width="41.83203125" style="61" customWidth="1"/>
    <col min="40" max="40" width="36.33203125" style="61" customWidth="1"/>
    <col min="41" max="41" width="40" style="61" customWidth="1"/>
    <col min="42" max="42" width="33.83203125" style="61" customWidth="1"/>
    <col min="43" max="43" width="25.1640625" style="61" customWidth="1"/>
    <col min="44" max="44" width="29.5" style="61" customWidth="1"/>
    <col min="45" max="46" width="16" style="61" customWidth="1"/>
    <col min="47" max="47" width="22.83203125" style="61" customWidth="1"/>
    <col min="48" max="48" width="26.5" style="61" customWidth="1"/>
    <col min="49" max="49" width="19.6640625" style="61" customWidth="1"/>
    <col min="50" max="50" width="14.1640625" style="61" customWidth="1"/>
    <col min="51" max="51" width="24.6640625" style="61" bestFit="1" customWidth="1"/>
    <col min="52" max="52" width="32.83203125" style="61" bestFit="1" customWidth="1"/>
    <col min="53" max="53" width="14.1640625" style="61" bestFit="1" customWidth="1"/>
    <col min="54" max="55" width="20.6640625" style="61" bestFit="1" customWidth="1"/>
    <col min="56" max="56" width="55.6640625" style="61" bestFit="1" customWidth="1"/>
    <col min="57" max="57" width="42.6640625" style="61" bestFit="1" customWidth="1"/>
    <col min="58" max="58" width="109.6640625" style="61" bestFit="1" customWidth="1"/>
    <col min="59" max="16384" width="15.5" style="61"/>
  </cols>
  <sheetData>
    <row r="1" spans="1:60" s="13" customFormat="1" ht="16" thickBot="1" x14ac:dyDescent="0.25">
      <c r="A1" s="71"/>
      <c r="B1" s="72"/>
      <c r="C1" s="72"/>
      <c r="D1" s="72"/>
      <c r="E1" s="72"/>
      <c r="F1" s="72"/>
      <c r="G1" s="72"/>
      <c r="H1" s="72"/>
      <c r="I1" s="72"/>
      <c r="J1" s="72"/>
      <c r="K1" s="120" t="s">
        <v>84</v>
      </c>
      <c r="L1" s="120"/>
      <c r="M1" s="120"/>
      <c r="N1" s="120"/>
      <c r="O1" s="120"/>
      <c r="P1" s="120"/>
      <c r="Q1" s="120"/>
      <c r="R1" s="120"/>
      <c r="S1" s="120"/>
      <c r="T1" s="120"/>
      <c r="U1" s="72"/>
      <c r="V1" s="72" t="s">
        <v>85</v>
      </c>
      <c r="W1" s="72" t="s">
        <v>86</v>
      </c>
      <c r="X1" s="72" t="s">
        <v>87</v>
      </c>
      <c r="Y1" s="120" t="s">
        <v>88</v>
      </c>
      <c r="Z1" s="120"/>
      <c r="AA1" s="120"/>
      <c r="AB1" s="120"/>
      <c r="AC1" s="120"/>
      <c r="AD1" s="120"/>
      <c r="AE1" s="72" t="s">
        <v>89</v>
      </c>
      <c r="AF1" s="72" t="s">
        <v>90</v>
      </c>
      <c r="AG1" s="72" t="s">
        <v>87</v>
      </c>
      <c r="AH1" s="72"/>
      <c r="AI1" s="72" t="s">
        <v>741</v>
      </c>
      <c r="AJ1" s="72"/>
      <c r="AK1" s="120" t="s">
        <v>91</v>
      </c>
      <c r="AL1" s="120"/>
      <c r="AM1" s="120"/>
      <c r="AN1" s="120"/>
      <c r="AO1" s="120"/>
      <c r="AP1" s="120"/>
      <c r="AQ1" s="72" t="s">
        <v>92</v>
      </c>
      <c r="AR1" s="72" t="s">
        <v>44</v>
      </c>
      <c r="AS1" s="72"/>
      <c r="AT1" s="72" t="s">
        <v>87</v>
      </c>
      <c r="AU1" s="120" t="s">
        <v>93</v>
      </c>
      <c r="AV1" s="120"/>
      <c r="AW1" s="120"/>
      <c r="AX1" s="120"/>
      <c r="AY1" s="72" t="s">
        <v>87</v>
      </c>
      <c r="AZ1" s="72"/>
      <c r="BA1" s="72"/>
      <c r="BB1" s="72" t="s">
        <v>94</v>
      </c>
      <c r="BC1" s="72"/>
      <c r="BD1" s="72"/>
      <c r="BE1" s="72"/>
      <c r="BF1" s="72"/>
    </row>
    <row r="2" spans="1:60" ht="16" thickBot="1" x14ac:dyDescent="0.25">
      <c r="A2" s="78" t="s">
        <v>0</v>
      </c>
      <c r="B2" s="79" t="s">
        <v>1</v>
      </c>
      <c r="C2" s="79" t="s">
        <v>2</v>
      </c>
      <c r="D2" s="79" t="s">
        <v>3</v>
      </c>
      <c r="E2" s="79" t="s">
        <v>4</v>
      </c>
      <c r="F2" s="79" t="s">
        <v>5</v>
      </c>
      <c r="G2" s="79" t="s">
        <v>6</v>
      </c>
      <c r="H2" s="79" t="s">
        <v>11</v>
      </c>
      <c r="I2" s="79" t="s">
        <v>12</v>
      </c>
      <c r="J2" s="79" t="s">
        <v>13</v>
      </c>
      <c r="K2" s="79" t="s">
        <v>14</v>
      </c>
      <c r="L2" s="79" t="s">
        <v>102</v>
      </c>
      <c r="M2" s="79" t="s">
        <v>103</v>
      </c>
      <c r="N2" s="79" t="s">
        <v>15</v>
      </c>
      <c r="O2" s="79" t="s">
        <v>19</v>
      </c>
      <c r="P2" s="79" t="s">
        <v>20</v>
      </c>
      <c r="Q2" s="79" t="s">
        <v>16</v>
      </c>
      <c r="R2" s="79" t="s">
        <v>17</v>
      </c>
      <c r="S2" s="79" t="s">
        <v>24</v>
      </c>
      <c r="T2" s="79" t="s">
        <v>104</v>
      </c>
      <c r="U2" s="79" t="s">
        <v>18</v>
      </c>
      <c r="V2" s="79" t="s">
        <v>18</v>
      </c>
      <c r="W2" s="79" t="s">
        <v>24</v>
      </c>
      <c r="X2" s="79" t="s">
        <v>95</v>
      </c>
      <c r="Y2" s="79" t="s">
        <v>27</v>
      </c>
      <c r="Z2" s="79" t="s">
        <v>28</v>
      </c>
      <c r="AA2" s="79" t="s">
        <v>791</v>
      </c>
      <c r="AB2" s="79" t="s">
        <v>29</v>
      </c>
      <c r="AC2" s="79" t="s">
        <v>30</v>
      </c>
      <c r="AD2" s="79" t="s">
        <v>31</v>
      </c>
      <c r="AE2" s="79" t="s">
        <v>27</v>
      </c>
      <c r="AF2" s="79" t="s">
        <v>31</v>
      </c>
      <c r="AG2" s="79" t="s">
        <v>96</v>
      </c>
      <c r="AH2" s="79" t="s">
        <v>35</v>
      </c>
      <c r="AI2" s="79" t="s">
        <v>739</v>
      </c>
      <c r="AJ2" s="79" t="s">
        <v>97</v>
      </c>
      <c r="AK2" s="79" t="s">
        <v>37</v>
      </c>
      <c r="AL2" s="79" t="s">
        <v>38</v>
      </c>
      <c r="AM2" s="79" t="s">
        <v>39</v>
      </c>
      <c r="AN2" s="79" t="s">
        <v>40</v>
      </c>
      <c r="AO2" s="79" t="s">
        <v>41</v>
      </c>
      <c r="AP2" s="79" t="s">
        <v>42</v>
      </c>
      <c r="AQ2" s="79" t="s">
        <v>43</v>
      </c>
      <c r="AR2" s="79" t="s">
        <v>43</v>
      </c>
      <c r="AS2" s="79" t="s">
        <v>98</v>
      </c>
      <c r="AT2" s="79" t="s">
        <v>98</v>
      </c>
      <c r="AU2" s="79" t="s">
        <v>45</v>
      </c>
      <c r="AV2" s="79" t="s">
        <v>46</v>
      </c>
      <c r="AW2" s="79" t="s">
        <v>47</v>
      </c>
      <c r="AX2" s="79" t="s">
        <v>48</v>
      </c>
      <c r="AY2" s="79" t="s">
        <v>99</v>
      </c>
      <c r="AZ2" s="79" t="s">
        <v>50</v>
      </c>
      <c r="BA2" s="79" t="s">
        <v>51</v>
      </c>
      <c r="BB2" s="79" t="s">
        <v>51</v>
      </c>
      <c r="BC2" s="79" t="s">
        <v>54</v>
      </c>
      <c r="BD2" s="79" t="s">
        <v>55</v>
      </c>
      <c r="BE2" s="79" t="s">
        <v>56</v>
      </c>
      <c r="BF2" s="79" t="s">
        <v>57</v>
      </c>
      <c r="BG2" s="79" t="s">
        <v>909</v>
      </c>
      <c r="BH2" s="79" t="s">
        <v>941</v>
      </c>
    </row>
    <row r="3" spans="1:60" ht="16" x14ac:dyDescent="0.2">
      <c r="A3" s="73">
        <v>20047769</v>
      </c>
      <c r="B3" s="74">
        <v>12627</v>
      </c>
      <c r="C3" s="74">
        <v>15935</v>
      </c>
      <c r="D3" s="74" t="s">
        <v>387</v>
      </c>
      <c r="E3" s="74" t="s">
        <v>694</v>
      </c>
      <c r="F3" s="74" t="s">
        <v>70</v>
      </c>
      <c r="G3" s="74" t="s">
        <v>70</v>
      </c>
      <c r="H3" s="74" t="s">
        <v>65</v>
      </c>
      <c r="I3" s="74" t="s">
        <v>61</v>
      </c>
      <c r="J3" s="74" t="s">
        <v>61</v>
      </c>
      <c r="K3" s="75">
        <v>22</v>
      </c>
      <c r="L3" s="75">
        <v>5404</v>
      </c>
      <c r="M3" s="75">
        <v>68627</v>
      </c>
      <c r="N3" s="75">
        <v>6.8</v>
      </c>
      <c r="O3" s="75">
        <v>1504</v>
      </c>
      <c r="P3" s="75">
        <v>6422</v>
      </c>
      <c r="Q3" s="74">
        <v>88</v>
      </c>
      <c r="R3" s="75">
        <v>1.8</v>
      </c>
      <c r="S3" s="74">
        <v>0</v>
      </c>
      <c r="T3" s="75">
        <v>23</v>
      </c>
      <c r="U3" s="75">
        <f t="shared" ref="U3:U31" si="0">(K3+N3+Q3+R3)</f>
        <v>118.6</v>
      </c>
      <c r="V3" s="75" t="str">
        <f>IF(U3&gt;=401,"5",IF(U3&gt;=301,"4",IF(U3&gt;=201,"3",IF(U3&gt;=95,"2","1"))))</f>
        <v>2</v>
      </c>
      <c r="W3" s="75" t="str">
        <f t="shared" ref="W3:W31" si="1">IF(S3&gt;=16,"5",IF(S3&gt;=15,"4",IF(S3&gt;=12,"3",IF(S3&gt;=7,"2","1"))))</f>
        <v>1</v>
      </c>
      <c r="X3" s="75">
        <f t="shared" ref="X3:X31" si="2">(V3+W3)/2</f>
        <v>1.5</v>
      </c>
      <c r="Y3" s="75">
        <v>16</v>
      </c>
      <c r="Z3" s="75">
        <v>52</v>
      </c>
      <c r="AA3" s="75">
        <f t="shared" ref="AA3:AA31" si="3">SUM(Y3+Z3)</f>
        <v>68</v>
      </c>
      <c r="AB3" s="75">
        <v>0.13</v>
      </c>
      <c r="AC3" s="75">
        <v>22.5</v>
      </c>
      <c r="AD3" s="76">
        <f t="shared" ref="AD3:AD31" si="4">AC3/AB3</f>
        <v>173.07692307692307</v>
      </c>
      <c r="AE3" s="75" t="str">
        <f t="shared" ref="AE3:AE31" si="5">IF(Y3&lt;=19,"5",IF(Y3&lt;=23,"4",IF(Y3&lt;=27,"3",IF(Y3&lt;=33,"2","1"))))</f>
        <v>5</v>
      </c>
      <c r="AF3" s="75" t="str">
        <f t="shared" ref="AF3:AF31" si="6">IF(AD3&lt;=513,"5",IF(AD3&lt;=799,"4",IF(AD3&lt;=930,"3",IF(AD3&lt;=1499,"2","1"))))</f>
        <v>5</v>
      </c>
      <c r="AG3" s="75">
        <f t="shared" ref="AG3:AG31" si="7">(AE3+AF3)/2</f>
        <v>5</v>
      </c>
      <c r="AH3" s="75">
        <v>3244</v>
      </c>
      <c r="AI3" s="75" t="str">
        <f t="shared" ref="AI3:AI31" si="8">IF(AH3&gt;=5500,"5",IF(AH3&gt;=4800,"4",IF(AH3&gt;=3600,"3",IF(AH3&gt;=2400,"2","1"))))</f>
        <v>2</v>
      </c>
      <c r="AJ3" s="75">
        <v>3</v>
      </c>
      <c r="AK3" s="75"/>
      <c r="AL3" s="75"/>
      <c r="AM3" s="75"/>
      <c r="AN3" s="75"/>
      <c r="AO3" s="75"/>
      <c r="AP3" s="75"/>
      <c r="AQ3" s="75"/>
      <c r="AR3" s="75"/>
      <c r="AS3" s="75">
        <v>1</v>
      </c>
      <c r="AT3" s="75">
        <v>1</v>
      </c>
      <c r="AU3" s="75">
        <v>1</v>
      </c>
      <c r="AV3" s="75">
        <v>1</v>
      </c>
      <c r="AW3" s="75">
        <v>1</v>
      </c>
      <c r="AX3" s="75" t="s">
        <v>61</v>
      </c>
      <c r="AY3" s="75">
        <v>1</v>
      </c>
      <c r="AZ3" s="75">
        <v>1984</v>
      </c>
      <c r="BA3" s="75">
        <f t="shared" ref="BA3:BA30" ca="1" si="9">YEAR(TODAY())-AZ3</f>
        <v>42</v>
      </c>
      <c r="BB3" s="75" t="str">
        <f t="shared" ref="BB3:BB9" ca="1" si="10">IF(BA3&gt;=36,"5",IF(BA3&gt;=31,"4",IF(BA3&gt;=21,"3",IF(BA3&gt;=7,"2","1"))))</f>
        <v>5</v>
      </c>
      <c r="BC3" s="76">
        <f ca="1">(BB3+AY3+AT3+AR3+AJ3+AG3+X3)/4</f>
        <v>4.125</v>
      </c>
      <c r="BD3" s="75" t="s">
        <v>821</v>
      </c>
      <c r="BE3" s="77" t="s">
        <v>826</v>
      </c>
      <c r="BF3" s="75"/>
      <c r="BG3" s="61" t="s">
        <v>911</v>
      </c>
      <c r="BH3" s="110">
        <v>40000000</v>
      </c>
    </row>
    <row r="4" spans="1:60" ht="16" x14ac:dyDescent="0.2">
      <c r="A4" s="66">
        <v>20057784</v>
      </c>
      <c r="B4" s="67" t="s">
        <v>709</v>
      </c>
      <c r="C4" s="67">
        <v>10755</v>
      </c>
      <c r="D4" s="111" t="s">
        <v>438</v>
      </c>
      <c r="E4" s="67" t="s">
        <v>710</v>
      </c>
      <c r="F4" s="67" t="s">
        <v>125</v>
      </c>
      <c r="G4" s="67" t="s">
        <v>126</v>
      </c>
      <c r="H4" s="67" t="s">
        <v>65</v>
      </c>
      <c r="I4" s="67" t="s">
        <v>61</v>
      </c>
      <c r="J4" s="67" t="s">
        <v>61</v>
      </c>
      <c r="K4" s="68">
        <v>3</v>
      </c>
      <c r="L4" s="68">
        <v>5026</v>
      </c>
      <c r="M4" s="68">
        <v>61096</v>
      </c>
      <c r="N4" s="68">
        <v>2.6</v>
      </c>
      <c r="O4" s="68">
        <v>207</v>
      </c>
      <c r="P4" s="68">
        <v>5026</v>
      </c>
      <c r="Q4" s="67">
        <v>29</v>
      </c>
      <c r="R4" s="68">
        <v>2</v>
      </c>
      <c r="S4" s="67">
        <v>0</v>
      </c>
      <c r="T4" s="68">
        <v>0</v>
      </c>
      <c r="U4" s="68">
        <f t="shared" si="0"/>
        <v>36.6</v>
      </c>
      <c r="V4" s="68" t="str">
        <f t="shared" ref="V3:V31" si="11">IF(U4&gt;=401,"5",IF(U4&gt;=301,"4",IF(U4&gt;=201,"3",IF(U4&gt;=95,"2","1"))))</f>
        <v>1</v>
      </c>
      <c r="W4" s="85" t="str">
        <f t="shared" si="1"/>
        <v>1</v>
      </c>
      <c r="X4" s="68">
        <f t="shared" si="2"/>
        <v>1</v>
      </c>
      <c r="Y4" s="68">
        <v>17</v>
      </c>
      <c r="Z4" s="68">
        <v>31</v>
      </c>
      <c r="AA4" s="75">
        <f t="shared" si="3"/>
        <v>48</v>
      </c>
      <c r="AB4" s="68">
        <v>0.08</v>
      </c>
      <c r="AC4" s="68">
        <v>26.9</v>
      </c>
      <c r="AD4" s="69">
        <f t="shared" si="4"/>
        <v>336.25</v>
      </c>
      <c r="AE4" s="68" t="str">
        <f t="shared" si="5"/>
        <v>5</v>
      </c>
      <c r="AF4" s="68" t="str">
        <f t="shared" si="6"/>
        <v>5</v>
      </c>
      <c r="AG4" s="68">
        <f t="shared" si="7"/>
        <v>5</v>
      </c>
      <c r="AH4" s="68"/>
      <c r="AI4" s="68" t="str">
        <f t="shared" si="8"/>
        <v>1</v>
      </c>
      <c r="AJ4" s="68">
        <v>3</v>
      </c>
      <c r="AK4" s="68"/>
      <c r="AL4" s="68"/>
      <c r="AM4" s="68"/>
      <c r="AN4" s="68"/>
      <c r="AO4" s="68"/>
      <c r="AP4" s="68"/>
      <c r="AQ4" s="68"/>
      <c r="AR4" s="68"/>
      <c r="AS4" s="68">
        <v>1</v>
      </c>
      <c r="AT4" s="68">
        <v>1</v>
      </c>
      <c r="AU4" s="68">
        <v>1</v>
      </c>
      <c r="AV4" s="68">
        <v>1</v>
      </c>
      <c r="AW4" s="68">
        <v>1</v>
      </c>
      <c r="AX4" s="68" t="s">
        <v>61</v>
      </c>
      <c r="AY4" s="68">
        <v>4</v>
      </c>
      <c r="AZ4" s="68">
        <v>1986</v>
      </c>
      <c r="BA4" s="68">
        <f t="shared" ca="1" si="9"/>
        <v>40</v>
      </c>
      <c r="BB4" s="68" t="str">
        <f t="shared" ca="1" si="10"/>
        <v>5</v>
      </c>
      <c r="BC4" s="76">
        <f t="shared" ref="BC4:BC28" ca="1" si="12">(BB4+AY4+AT4+AR4+AJ4+AG4+X4)/4</f>
        <v>4.75</v>
      </c>
      <c r="BD4" s="68" t="s">
        <v>821</v>
      </c>
      <c r="BE4" s="77" t="s">
        <v>826</v>
      </c>
      <c r="BF4" s="68"/>
      <c r="BG4" s="61" t="s">
        <v>911</v>
      </c>
      <c r="BH4" s="110">
        <v>40000000</v>
      </c>
    </row>
    <row r="5" spans="1:60" ht="16" x14ac:dyDescent="0.2">
      <c r="A5" s="63">
        <v>20058082</v>
      </c>
      <c r="B5" s="2">
        <v>200033</v>
      </c>
      <c r="C5" s="2">
        <v>5600</v>
      </c>
      <c r="D5" s="111" t="s">
        <v>477</v>
      </c>
      <c r="E5" s="2" t="s">
        <v>708</v>
      </c>
      <c r="F5" s="2" t="s">
        <v>125</v>
      </c>
      <c r="G5" s="2" t="s">
        <v>126</v>
      </c>
      <c r="H5" s="2" t="s">
        <v>65</v>
      </c>
      <c r="I5" s="2" t="s">
        <v>61</v>
      </c>
      <c r="J5" s="2" t="s">
        <v>61</v>
      </c>
      <c r="K5" s="10">
        <v>3.5</v>
      </c>
      <c r="L5" s="10">
        <v>21016</v>
      </c>
      <c r="M5" s="10">
        <v>58173</v>
      </c>
      <c r="N5" s="10">
        <v>2.5</v>
      </c>
      <c r="O5" s="10">
        <v>213</v>
      </c>
      <c r="P5" s="10">
        <v>2761</v>
      </c>
      <c r="Q5" s="2">
        <v>13.8</v>
      </c>
      <c r="R5" s="10">
        <v>0.8</v>
      </c>
      <c r="S5" s="2">
        <v>0.2</v>
      </c>
      <c r="T5" s="10">
        <v>9.9</v>
      </c>
      <c r="U5" s="10">
        <f t="shared" si="0"/>
        <v>20.6</v>
      </c>
      <c r="V5" s="10" t="str">
        <f t="shared" si="11"/>
        <v>1</v>
      </c>
      <c r="W5" s="75" t="str">
        <f t="shared" si="1"/>
        <v>1</v>
      </c>
      <c r="X5" s="10">
        <f t="shared" si="2"/>
        <v>1</v>
      </c>
      <c r="Y5" s="10">
        <v>18</v>
      </c>
      <c r="Z5" s="10">
        <v>29</v>
      </c>
      <c r="AA5" s="75">
        <f t="shared" si="3"/>
        <v>47</v>
      </c>
      <c r="AB5" s="10">
        <v>0.04</v>
      </c>
      <c r="AC5" s="10">
        <v>29.6</v>
      </c>
      <c r="AD5" s="11">
        <f t="shared" si="4"/>
        <v>740</v>
      </c>
      <c r="AE5" s="10" t="str">
        <f t="shared" si="5"/>
        <v>5</v>
      </c>
      <c r="AF5" s="10" t="str">
        <f t="shared" si="6"/>
        <v>4</v>
      </c>
      <c r="AG5" s="10">
        <f t="shared" si="7"/>
        <v>4.5</v>
      </c>
      <c r="AH5" s="10">
        <v>364</v>
      </c>
      <c r="AI5" s="10" t="str">
        <f t="shared" si="8"/>
        <v>1</v>
      </c>
      <c r="AJ5" s="10">
        <v>3</v>
      </c>
      <c r="AK5" s="10"/>
      <c r="AL5" s="10"/>
      <c r="AM5" s="10"/>
      <c r="AN5" s="10"/>
      <c r="AO5" s="10"/>
      <c r="AP5" s="10"/>
      <c r="AQ5" s="10"/>
      <c r="AR5" s="10"/>
      <c r="AS5" s="10">
        <v>1</v>
      </c>
      <c r="AT5" s="10">
        <v>1</v>
      </c>
      <c r="AU5" s="10">
        <v>1</v>
      </c>
      <c r="AV5" s="10">
        <v>1</v>
      </c>
      <c r="AW5" s="10">
        <v>1</v>
      </c>
      <c r="AX5" s="10" t="s">
        <v>61</v>
      </c>
      <c r="AY5" s="10">
        <v>1</v>
      </c>
      <c r="AZ5" s="10">
        <v>1986</v>
      </c>
      <c r="BA5" s="10">
        <f t="shared" ca="1" si="9"/>
        <v>40</v>
      </c>
      <c r="BB5" s="10" t="str">
        <f t="shared" ca="1" si="10"/>
        <v>5</v>
      </c>
      <c r="BC5" s="76">
        <f t="shared" ca="1" si="12"/>
        <v>3.875</v>
      </c>
      <c r="BD5" s="75" t="s">
        <v>821</v>
      </c>
      <c r="BE5" s="77" t="s">
        <v>826</v>
      </c>
      <c r="BF5" s="10"/>
      <c r="BG5" s="61" t="s">
        <v>911</v>
      </c>
      <c r="BH5" s="110">
        <v>40000000</v>
      </c>
    </row>
    <row r="6" spans="1:60" ht="16" x14ac:dyDescent="0.2">
      <c r="A6" s="63">
        <v>20057784</v>
      </c>
      <c r="B6" s="2" t="s">
        <v>711</v>
      </c>
      <c r="C6" s="2">
        <v>10755</v>
      </c>
      <c r="D6" s="111" t="s">
        <v>438</v>
      </c>
      <c r="E6" s="2" t="s">
        <v>712</v>
      </c>
      <c r="F6" s="2" t="s">
        <v>125</v>
      </c>
      <c r="G6" s="2" t="s">
        <v>126</v>
      </c>
      <c r="H6" s="2" t="s">
        <v>65</v>
      </c>
      <c r="I6" s="2" t="s">
        <v>61</v>
      </c>
      <c r="J6" s="2" t="s">
        <v>61</v>
      </c>
      <c r="K6" s="10">
        <v>3.4</v>
      </c>
      <c r="L6" s="10">
        <v>19123</v>
      </c>
      <c r="M6" s="10">
        <v>55455</v>
      </c>
      <c r="N6" s="10">
        <v>3.9</v>
      </c>
      <c r="O6" s="10">
        <v>235</v>
      </c>
      <c r="P6" s="10">
        <v>5143</v>
      </c>
      <c r="Q6" s="2">
        <v>10.9</v>
      </c>
      <c r="R6" s="10">
        <v>1.6</v>
      </c>
      <c r="S6" s="2">
        <v>0</v>
      </c>
      <c r="T6" s="10">
        <v>3.5</v>
      </c>
      <c r="U6" s="10">
        <f t="shared" si="0"/>
        <v>19.8</v>
      </c>
      <c r="V6" s="10" t="str">
        <f t="shared" si="11"/>
        <v>1</v>
      </c>
      <c r="W6" s="75" t="str">
        <f t="shared" si="1"/>
        <v>1</v>
      </c>
      <c r="X6" s="10">
        <f t="shared" si="2"/>
        <v>1</v>
      </c>
      <c r="Y6" s="10">
        <v>19</v>
      </c>
      <c r="Z6" s="10">
        <v>28</v>
      </c>
      <c r="AA6" s="75">
        <f t="shared" si="3"/>
        <v>47</v>
      </c>
      <c r="AB6" s="10">
        <v>0.02</v>
      </c>
      <c r="AC6" s="10">
        <v>37.6</v>
      </c>
      <c r="AD6" s="11">
        <f t="shared" si="4"/>
        <v>1880</v>
      </c>
      <c r="AE6" s="10" t="str">
        <f t="shared" si="5"/>
        <v>5</v>
      </c>
      <c r="AF6" s="10" t="str">
        <f t="shared" si="6"/>
        <v>1</v>
      </c>
      <c r="AG6" s="10">
        <f t="shared" si="7"/>
        <v>3</v>
      </c>
      <c r="AH6" s="10">
        <v>1612</v>
      </c>
      <c r="AI6" s="10" t="str">
        <f t="shared" si="8"/>
        <v>1</v>
      </c>
      <c r="AJ6" s="10">
        <v>3</v>
      </c>
      <c r="AK6" s="10"/>
      <c r="AL6" s="10"/>
      <c r="AM6" s="10"/>
      <c r="AN6" s="10"/>
      <c r="AO6" s="10"/>
      <c r="AP6" s="10"/>
      <c r="AQ6" s="10"/>
      <c r="AR6" s="10"/>
      <c r="AS6" s="10">
        <v>1</v>
      </c>
      <c r="AT6" s="10">
        <v>1</v>
      </c>
      <c r="AU6" s="10">
        <v>1</v>
      </c>
      <c r="AV6" s="10">
        <v>1</v>
      </c>
      <c r="AW6" s="10">
        <v>1</v>
      </c>
      <c r="AX6" s="10" t="s">
        <v>61</v>
      </c>
      <c r="AY6" s="10">
        <v>1</v>
      </c>
      <c r="AZ6" s="10">
        <v>1986</v>
      </c>
      <c r="BA6" s="10">
        <f t="shared" ca="1" si="9"/>
        <v>40</v>
      </c>
      <c r="BB6" s="10" t="str">
        <f t="shared" ca="1" si="10"/>
        <v>5</v>
      </c>
      <c r="BC6" s="76">
        <f t="shared" ca="1" si="12"/>
        <v>3.5</v>
      </c>
      <c r="BD6" s="10" t="s">
        <v>821</v>
      </c>
      <c r="BE6" s="77" t="s">
        <v>826</v>
      </c>
      <c r="BF6" s="10"/>
      <c r="BG6" s="61" t="s">
        <v>911</v>
      </c>
      <c r="BH6" s="110">
        <v>40000000</v>
      </c>
    </row>
    <row r="7" spans="1:60" ht="16" x14ac:dyDescent="0.2">
      <c r="A7" s="63">
        <v>20058283</v>
      </c>
      <c r="B7" s="2">
        <v>200029</v>
      </c>
      <c r="C7" s="2">
        <v>2200</v>
      </c>
      <c r="D7" s="111" t="s">
        <v>501</v>
      </c>
      <c r="E7" s="2" t="s">
        <v>696</v>
      </c>
      <c r="F7" s="2" t="s">
        <v>125</v>
      </c>
      <c r="G7" s="2" t="s">
        <v>126</v>
      </c>
      <c r="H7" s="2" t="s">
        <v>65</v>
      </c>
      <c r="I7" s="2" t="s">
        <v>61</v>
      </c>
      <c r="J7" s="2" t="s">
        <v>61</v>
      </c>
      <c r="K7" s="10">
        <v>3.6</v>
      </c>
      <c r="L7" s="10">
        <v>22733</v>
      </c>
      <c r="M7" s="10">
        <v>61455</v>
      </c>
      <c r="N7" s="10">
        <v>2.4</v>
      </c>
      <c r="O7" s="10">
        <v>174</v>
      </c>
      <c r="P7" s="10">
        <v>2145</v>
      </c>
      <c r="Q7" s="2">
        <v>14.7</v>
      </c>
      <c r="R7" s="10">
        <v>0.5</v>
      </c>
      <c r="S7" s="2">
        <v>0</v>
      </c>
      <c r="T7" s="10">
        <v>5.5</v>
      </c>
      <c r="U7" s="10">
        <f t="shared" si="0"/>
        <v>21.2</v>
      </c>
      <c r="V7" s="10" t="str">
        <f t="shared" si="11"/>
        <v>1</v>
      </c>
      <c r="W7" s="75" t="str">
        <f t="shared" si="1"/>
        <v>1</v>
      </c>
      <c r="X7" s="10">
        <f t="shared" si="2"/>
        <v>1</v>
      </c>
      <c r="Y7" s="10">
        <v>20</v>
      </c>
      <c r="Z7" s="10">
        <v>25</v>
      </c>
      <c r="AA7" s="75">
        <f t="shared" si="3"/>
        <v>45</v>
      </c>
      <c r="AB7" s="10">
        <v>0.03</v>
      </c>
      <c r="AC7" s="10">
        <v>28.7</v>
      </c>
      <c r="AD7" s="11">
        <f t="shared" si="4"/>
        <v>956.66666666666663</v>
      </c>
      <c r="AE7" s="10" t="str">
        <f t="shared" si="5"/>
        <v>4</v>
      </c>
      <c r="AF7" s="10" t="str">
        <f t="shared" si="6"/>
        <v>2</v>
      </c>
      <c r="AG7" s="10">
        <f t="shared" si="7"/>
        <v>3</v>
      </c>
      <c r="AH7" s="10">
        <v>153</v>
      </c>
      <c r="AI7" s="10" t="str">
        <f t="shared" si="8"/>
        <v>1</v>
      </c>
      <c r="AJ7" s="10">
        <v>3</v>
      </c>
      <c r="AK7" s="10"/>
      <c r="AL7" s="10"/>
      <c r="AM7" s="10"/>
      <c r="AN7" s="10"/>
      <c r="AO7" s="10"/>
      <c r="AP7" s="10"/>
      <c r="AQ7" s="10"/>
      <c r="AR7" s="10"/>
      <c r="AS7" s="10">
        <v>1</v>
      </c>
      <c r="AT7" s="10">
        <v>1</v>
      </c>
      <c r="AU7" s="10">
        <v>1</v>
      </c>
      <c r="AV7" s="10">
        <v>1</v>
      </c>
      <c r="AW7" s="10">
        <v>1</v>
      </c>
      <c r="AX7" s="10" t="s">
        <v>61</v>
      </c>
      <c r="AY7" s="10">
        <v>1</v>
      </c>
      <c r="AZ7" s="10">
        <v>1999</v>
      </c>
      <c r="BA7" s="10">
        <f t="shared" ca="1" si="9"/>
        <v>27</v>
      </c>
      <c r="BB7" s="10" t="str">
        <f t="shared" ca="1" si="10"/>
        <v>3</v>
      </c>
      <c r="BC7" s="76">
        <f t="shared" ca="1" si="12"/>
        <v>3</v>
      </c>
      <c r="BD7" s="10" t="s">
        <v>821</v>
      </c>
      <c r="BE7" s="77" t="s">
        <v>826</v>
      </c>
      <c r="BF7" s="10"/>
      <c r="BG7" s="61" t="s">
        <v>911</v>
      </c>
      <c r="BH7" s="110">
        <v>40000000</v>
      </c>
    </row>
    <row r="8" spans="1:60" ht="16" x14ac:dyDescent="0.2">
      <c r="A8" s="63">
        <v>20036683</v>
      </c>
      <c r="B8" s="2" t="s">
        <v>699</v>
      </c>
      <c r="C8" s="2">
        <v>200</v>
      </c>
      <c r="D8" s="2" t="s">
        <v>179</v>
      </c>
      <c r="E8" s="2" t="s">
        <v>700</v>
      </c>
      <c r="F8" s="2" t="s">
        <v>125</v>
      </c>
      <c r="G8" s="2" t="s">
        <v>148</v>
      </c>
      <c r="H8" s="2" t="s">
        <v>65</v>
      </c>
      <c r="I8" s="2" t="s">
        <v>61</v>
      </c>
      <c r="J8" s="2" t="s">
        <v>61</v>
      </c>
      <c r="K8" s="10">
        <v>2.1</v>
      </c>
      <c r="L8" s="10">
        <v>4083</v>
      </c>
      <c r="M8" s="10">
        <v>22266</v>
      </c>
      <c r="N8" s="10">
        <v>1</v>
      </c>
      <c r="O8" s="10">
        <v>122</v>
      </c>
      <c r="P8" s="10">
        <v>476</v>
      </c>
      <c r="Q8" s="2">
        <v>1.1000000000000001</v>
      </c>
      <c r="R8" s="10">
        <v>0.1</v>
      </c>
      <c r="S8" s="2">
        <v>0</v>
      </c>
      <c r="T8" s="10">
        <v>0.7</v>
      </c>
      <c r="U8" s="10">
        <f t="shared" si="0"/>
        <v>4.3</v>
      </c>
      <c r="V8" s="10" t="str">
        <f t="shared" si="11"/>
        <v>1</v>
      </c>
      <c r="W8" s="75" t="str">
        <f t="shared" si="1"/>
        <v>1</v>
      </c>
      <c r="X8" s="10">
        <f t="shared" si="2"/>
        <v>1</v>
      </c>
      <c r="Y8" s="10">
        <v>21</v>
      </c>
      <c r="Z8" s="10">
        <v>25</v>
      </c>
      <c r="AA8" s="75">
        <f t="shared" si="3"/>
        <v>46</v>
      </c>
      <c r="AB8" s="10">
        <v>1E-3</v>
      </c>
      <c r="AC8" s="10">
        <v>47.2</v>
      </c>
      <c r="AD8" s="11">
        <f t="shared" si="4"/>
        <v>47200</v>
      </c>
      <c r="AE8" s="10" t="str">
        <f t="shared" si="5"/>
        <v>4</v>
      </c>
      <c r="AF8" s="10" t="str">
        <f t="shared" si="6"/>
        <v>1</v>
      </c>
      <c r="AG8" s="11">
        <f t="shared" si="7"/>
        <v>2.5</v>
      </c>
      <c r="AH8" s="11">
        <v>14</v>
      </c>
      <c r="AI8" s="10" t="str">
        <f t="shared" si="8"/>
        <v>1</v>
      </c>
      <c r="AJ8" s="10">
        <v>3</v>
      </c>
      <c r="AK8" s="10"/>
      <c r="AL8" s="10"/>
      <c r="AM8" s="10"/>
      <c r="AN8" s="10"/>
      <c r="AO8" s="10"/>
      <c r="AP8" s="10"/>
      <c r="AQ8" s="10"/>
      <c r="AR8" s="10"/>
      <c r="AS8" s="10">
        <v>1</v>
      </c>
      <c r="AT8" s="10">
        <v>1</v>
      </c>
      <c r="AU8" s="10">
        <v>1</v>
      </c>
      <c r="AV8" s="10">
        <v>1</v>
      </c>
      <c r="AW8" s="10">
        <v>1</v>
      </c>
      <c r="AX8" s="10" t="s">
        <v>61</v>
      </c>
      <c r="AY8" s="10">
        <v>1</v>
      </c>
      <c r="AZ8" s="10">
        <v>1991</v>
      </c>
      <c r="BA8" s="10">
        <f t="shared" ca="1" si="9"/>
        <v>35</v>
      </c>
      <c r="BB8" s="10" t="str">
        <f t="shared" ca="1" si="10"/>
        <v>4</v>
      </c>
      <c r="BC8" s="76">
        <f t="shared" ca="1" si="12"/>
        <v>3.125</v>
      </c>
      <c r="BD8" s="10" t="s">
        <v>821</v>
      </c>
      <c r="BE8" s="62" t="s">
        <v>914</v>
      </c>
      <c r="BF8" s="10"/>
      <c r="BH8" s="110"/>
    </row>
    <row r="9" spans="1:60" ht="16" x14ac:dyDescent="0.2">
      <c r="A9" s="63">
        <v>20038370</v>
      </c>
      <c r="B9" s="2">
        <v>200034</v>
      </c>
      <c r="C9" s="2">
        <v>3700</v>
      </c>
      <c r="D9" s="111" t="s">
        <v>589</v>
      </c>
      <c r="E9" s="2" t="s">
        <v>702</v>
      </c>
      <c r="F9" s="2" t="s">
        <v>125</v>
      </c>
      <c r="G9" s="2" t="s">
        <v>148</v>
      </c>
      <c r="H9" s="2" t="s">
        <v>65</v>
      </c>
      <c r="I9" s="2" t="s">
        <v>61</v>
      </c>
      <c r="J9" s="2" t="s">
        <v>61</v>
      </c>
      <c r="K9" s="10">
        <v>3.8</v>
      </c>
      <c r="L9" s="10">
        <v>23208</v>
      </c>
      <c r="M9" s="10">
        <v>62047</v>
      </c>
      <c r="N9" s="10">
        <v>1.8</v>
      </c>
      <c r="O9" s="10">
        <v>170</v>
      </c>
      <c r="P9" s="10">
        <v>575</v>
      </c>
      <c r="Q9" s="2">
        <v>14.1</v>
      </c>
      <c r="R9" s="10">
        <v>0.4</v>
      </c>
      <c r="S9" s="2">
        <v>0</v>
      </c>
      <c r="T9" s="10">
        <v>5.2</v>
      </c>
      <c r="U9" s="10">
        <f t="shared" si="0"/>
        <v>20.099999999999998</v>
      </c>
      <c r="V9" s="10" t="str">
        <f t="shared" si="11"/>
        <v>1</v>
      </c>
      <c r="W9" s="75" t="str">
        <f t="shared" si="1"/>
        <v>1</v>
      </c>
      <c r="X9" s="10">
        <f t="shared" si="2"/>
        <v>1</v>
      </c>
      <c r="Y9" s="10">
        <v>24</v>
      </c>
      <c r="Z9" s="10">
        <v>25</v>
      </c>
      <c r="AA9" s="75">
        <f t="shared" si="3"/>
        <v>49</v>
      </c>
      <c r="AB9" s="10">
        <v>0.03</v>
      </c>
      <c r="AC9" s="10">
        <v>31.5</v>
      </c>
      <c r="AD9" s="11">
        <f t="shared" si="4"/>
        <v>1050</v>
      </c>
      <c r="AE9" s="10" t="str">
        <f t="shared" si="5"/>
        <v>3</v>
      </c>
      <c r="AF9" s="10" t="str">
        <f t="shared" si="6"/>
        <v>2</v>
      </c>
      <c r="AG9" s="10">
        <f t="shared" si="7"/>
        <v>2.5</v>
      </c>
      <c r="AH9" s="10">
        <v>97</v>
      </c>
      <c r="AI9" s="10" t="str">
        <f t="shared" si="8"/>
        <v>1</v>
      </c>
      <c r="AJ9" s="10">
        <v>3</v>
      </c>
      <c r="AK9" s="10"/>
      <c r="AL9" s="10"/>
      <c r="AM9" s="10"/>
      <c r="AN9" s="10"/>
      <c r="AO9" s="10"/>
      <c r="AP9" s="10"/>
      <c r="AQ9" s="10"/>
      <c r="AR9" s="10"/>
      <c r="AS9" s="10">
        <v>1</v>
      </c>
      <c r="AT9" s="10">
        <v>1</v>
      </c>
      <c r="AU9" s="10">
        <v>1</v>
      </c>
      <c r="AV9" s="10">
        <v>1</v>
      </c>
      <c r="AW9" s="10">
        <v>5</v>
      </c>
      <c r="AX9" s="10" t="s">
        <v>61</v>
      </c>
      <c r="AY9" s="10">
        <v>5</v>
      </c>
      <c r="AZ9" s="10">
        <v>1996</v>
      </c>
      <c r="BA9" s="10">
        <f t="shared" ca="1" si="9"/>
        <v>30</v>
      </c>
      <c r="BB9" s="10" t="str">
        <f t="shared" ca="1" si="10"/>
        <v>3</v>
      </c>
      <c r="BC9" s="76">
        <f t="shared" ca="1" si="12"/>
        <v>3.875</v>
      </c>
      <c r="BD9" s="10" t="s">
        <v>821</v>
      </c>
      <c r="BE9" s="77" t="s">
        <v>826</v>
      </c>
      <c r="BF9" s="10"/>
      <c r="BG9" s="61" t="s">
        <v>911</v>
      </c>
      <c r="BH9" s="110">
        <v>40000000</v>
      </c>
    </row>
    <row r="10" spans="1:60" ht="16" x14ac:dyDescent="0.2">
      <c r="A10" s="63">
        <v>20026790</v>
      </c>
      <c r="B10" s="70" t="s">
        <v>740</v>
      </c>
      <c r="C10" s="2">
        <v>150</v>
      </c>
      <c r="D10" s="2" t="s">
        <v>241</v>
      </c>
      <c r="E10" s="2" t="s">
        <v>685</v>
      </c>
      <c r="F10" s="2" t="s">
        <v>58</v>
      </c>
      <c r="G10" s="2" t="s">
        <v>59</v>
      </c>
      <c r="H10" s="2" t="s">
        <v>65</v>
      </c>
      <c r="I10" s="2" t="s">
        <v>61</v>
      </c>
      <c r="J10" s="2" t="s">
        <v>61</v>
      </c>
      <c r="K10" s="10">
        <v>1.5</v>
      </c>
      <c r="L10" s="10">
        <v>20372</v>
      </c>
      <c r="M10" s="10">
        <v>60065</v>
      </c>
      <c r="N10" s="10">
        <v>1.9</v>
      </c>
      <c r="O10" s="10">
        <v>132</v>
      </c>
      <c r="P10" s="10">
        <v>2725</v>
      </c>
      <c r="Q10" s="2">
        <v>12.1</v>
      </c>
      <c r="R10" s="10">
        <v>0.6</v>
      </c>
      <c r="S10" s="2">
        <v>0</v>
      </c>
      <c r="T10" s="10">
        <v>2.6</v>
      </c>
      <c r="U10" s="10">
        <f t="shared" si="0"/>
        <v>16.100000000000001</v>
      </c>
      <c r="V10" s="10" t="str">
        <f t="shared" si="11"/>
        <v>1</v>
      </c>
      <c r="W10" s="75" t="str">
        <f t="shared" si="1"/>
        <v>1</v>
      </c>
      <c r="X10" s="10">
        <f t="shared" si="2"/>
        <v>1</v>
      </c>
      <c r="Y10" s="10">
        <v>26</v>
      </c>
      <c r="Z10" s="10">
        <v>22</v>
      </c>
      <c r="AA10" s="75">
        <f t="shared" si="3"/>
        <v>48</v>
      </c>
      <c r="AB10" s="10">
        <v>0.02</v>
      </c>
      <c r="AC10" s="10">
        <v>37.700000000000003</v>
      </c>
      <c r="AD10" s="11">
        <f t="shared" si="4"/>
        <v>1885</v>
      </c>
      <c r="AE10" s="10" t="str">
        <f t="shared" si="5"/>
        <v>3</v>
      </c>
      <c r="AF10" s="10" t="str">
        <f t="shared" si="6"/>
        <v>1</v>
      </c>
      <c r="AG10" s="10">
        <f t="shared" si="7"/>
        <v>2</v>
      </c>
      <c r="AH10" s="10">
        <v>130</v>
      </c>
      <c r="AI10" s="10" t="str">
        <f t="shared" si="8"/>
        <v>1</v>
      </c>
      <c r="AJ10" s="10">
        <v>3</v>
      </c>
      <c r="AK10" s="10"/>
      <c r="AL10" s="10"/>
      <c r="AM10" s="10"/>
      <c r="AN10" s="10"/>
      <c r="AO10" s="10"/>
      <c r="AP10" s="10"/>
      <c r="AQ10" s="10"/>
      <c r="AR10" s="10"/>
      <c r="AS10" s="10">
        <v>1</v>
      </c>
      <c r="AT10" s="10">
        <v>1</v>
      </c>
      <c r="AU10" s="10">
        <v>1</v>
      </c>
      <c r="AV10" s="10">
        <v>1</v>
      </c>
      <c r="AW10" s="10">
        <v>1</v>
      </c>
      <c r="AX10" s="10" t="s">
        <v>61</v>
      </c>
      <c r="AY10" s="10">
        <v>1</v>
      </c>
      <c r="AZ10" s="10">
        <v>1996</v>
      </c>
      <c r="BA10" s="10">
        <f t="shared" ca="1" si="9"/>
        <v>30</v>
      </c>
      <c r="BB10" s="10">
        <v>1</v>
      </c>
      <c r="BC10" s="76">
        <f t="shared" si="12"/>
        <v>2.25</v>
      </c>
      <c r="BD10" s="10" t="s">
        <v>821</v>
      </c>
      <c r="BE10" s="62" t="s">
        <v>818</v>
      </c>
      <c r="BF10" s="10"/>
      <c r="BG10" s="61" t="s">
        <v>911</v>
      </c>
      <c r="BH10" s="110">
        <v>40000000</v>
      </c>
    </row>
    <row r="11" spans="1:60" ht="16" x14ac:dyDescent="0.2">
      <c r="A11" s="63">
        <v>20017565</v>
      </c>
      <c r="B11" s="2">
        <v>26044</v>
      </c>
      <c r="C11" s="2">
        <v>150</v>
      </c>
      <c r="D11" s="2" t="s">
        <v>187</v>
      </c>
      <c r="E11" s="2" t="s">
        <v>703</v>
      </c>
      <c r="F11" s="2" t="s">
        <v>70</v>
      </c>
      <c r="G11" s="2" t="s">
        <v>70</v>
      </c>
      <c r="H11" s="2" t="s">
        <v>65</v>
      </c>
      <c r="I11" s="2" t="s">
        <v>61</v>
      </c>
      <c r="J11" s="2" t="s">
        <v>61</v>
      </c>
      <c r="K11" s="10">
        <v>3.5</v>
      </c>
      <c r="L11" s="10">
        <v>25038</v>
      </c>
      <c r="M11" s="10">
        <v>63666</v>
      </c>
      <c r="N11" s="10">
        <v>1.5</v>
      </c>
      <c r="O11" s="10">
        <v>56</v>
      </c>
      <c r="P11" s="10">
        <v>1707</v>
      </c>
      <c r="Q11" s="2">
        <v>1.2</v>
      </c>
      <c r="R11" s="10">
        <v>0.7</v>
      </c>
      <c r="S11" s="2">
        <v>0</v>
      </c>
      <c r="T11" s="10">
        <v>3.6</v>
      </c>
      <c r="U11" s="10">
        <f t="shared" si="0"/>
        <v>6.9</v>
      </c>
      <c r="V11" s="10" t="str">
        <f t="shared" si="11"/>
        <v>1</v>
      </c>
      <c r="W11" s="75" t="str">
        <f t="shared" si="1"/>
        <v>1</v>
      </c>
      <c r="X11" s="10">
        <f t="shared" si="2"/>
        <v>1</v>
      </c>
      <c r="Y11" s="10">
        <v>26</v>
      </c>
      <c r="Z11" s="10">
        <v>23</v>
      </c>
      <c r="AA11" s="75">
        <f t="shared" si="3"/>
        <v>49</v>
      </c>
      <c r="AB11" s="10">
        <v>0.02</v>
      </c>
      <c r="AC11" s="10">
        <v>36.9</v>
      </c>
      <c r="AD11" s="11">
        <f t="shared" si="4"/>
        <v>1845</v>
      </c>
      <c r="AE11" s="10" t="str">
        <f t="shared" si="5"/>
        <v>3</v>
      </c>
      <c r="AF11" s="10" t="str">
        <f t="shared" si="6"/>
        <v>1</v>
      </c>
      <c r="AG11" s="10">
        <f t="shared" si="7"/>
        <v>2</v>
      </c>
      <c r="AH11" s="10">
        <v>131</v>
      </c>
      <c r="AI11" s="10" t="str">
        <f t="shared" si="8"/>
        <v>1</v>
      </c>
      <c r="AJ11" s="10">
        <v>3</v>
      </c>
      <c r="AK11" s="10"/>
      <c r="AL11" s="10"/>
      <c r="AM11" s="10"/>
      <c r="AN11" s="10"/>
      <c r="AO11" s="10"/>
      <c r="AP11" s="10"/>
      <c r="AQ11" s="10"/>
      <c r="AR11" s="10"/>
      <c r="AS11" s="10">
        <v>1</v>
      </c>
      <c r="AT11" s="10">
        <v>1</v>
      </c>
      <c r="AU11" s="10">
        <v>1</v>
      </c>
      <c r="AV11" s="10">
        <v>1</v>
      </c>
      <c r="AW11" s="10">
        <v>1</v>
      </c>
      <c r="AX11" s="10" t="s">
        <v>61</v>
      </c>
      <c r="AY11" s="10">
        <v>1</v>
      </c>
      <c r="AZ11" s="10">
        <v>1985</v>
      </c>
      <c r="BA11" s="10">
        <f t="shared" ca="1" si="9"/>
        <v>41</v>
      </c>
      <c r="BB11" s="10" t="str">
        <f t="shared" ref="BB11:BB30" ca="1" si="13">IF(BA11&gt;=36,"5",IF(BA11&gt;=31,"4",IF(BA11&gt;=21,"3",IF(BA11&gt;=7,"2","1"))))</f>
        <v>5</v>
      </c>
      <c r="BC11" s="76">
        <f t="shared" ca="1" si="12"/>
        <v>3.25</v>
      </c>
      <c r="BD11" s="10" t="s">
        <v>821</v>
      </c>
      <c r="BE11" s="62" t="s">
        <v>818</v>
      </c>
      <c r="BF11" s="10"/>
      <c r="BG11" s="61" t="s">
        <v>911</v>
      </c>
      <c r="BH11" s="110">
        <v>40000000</v>
      </c>
    </row>
    <row r="12" spans="1:60" ht="16" x14ac:dyDescent="0.2">
      <c r="A12" s="63"/>
      <c r="B12" s="2" t="s">
        <v>743</v>
      </c>
      <c r="C12" s="2">
        <v>150</v>
      </c>
      <c r="D12" s="2" t="s">
        <v>545</v>
      </c>
      <c r="E12" s="2" t="s">
        <v>714</v>
      </c>
      <c r="F12" s="2" t="s">
        <v>70</v>
      </c>
      <c r="G12" s="2" t="s">
        <v>70</v>
      </c>
      <c r="H12" s="2" t="s">
        <v>65</v>
      </c>
      <c r="I12" s="2" t="s">
        <v>61</v>
      </c>
      <c r="J12" s="2" t="s">
        <v>61</v>
      </c>
      <c r="K12" s="10">
        <v>1.5</v>
      </c>
      <c r="L12" s="10">
        <v>2251</v>
      </c>
      <c r="M12" s="10">
        <v>58791</v>
      </c>
      <c r="N12" s="10">
        <v>0.6</v>
      </c>
      <c r="O12" s="10">
        <v>79</v>
      </c>
      <c r="P12" s="10">
        <v>1642</v>
      </c>
      <c r="Q12" s="2">
        <v>12.1</v>
      </c>
      <c r="R12" s="10">
        <v>0.5</v>
      </c>
      <c r="S12" s="2">
        <v>0</v>
      </c>
      <c r="T12" s="10">
        <v>3.7</v>
      </c>
      <c r="U12" s="10">
        <f t="shared" si="0"/>
        <v>14.7</v>
      </c>
      <c r="V12" s="10" t="str">
        <f t="shared" si="11"/>
        <v>1</v>
      </c>
      <c r="W12" s="75" t="str">
        <f t="shared" si="1"/>
        <v>1</v>
      </c>
      <c r="X12" s="10">
        <f t="shared" si="2"/>
        <v>1</v>
      </c>
      <c r="Y12" s="10">
        <v>28</v>
      </c>
      <c r="Z12" s="10">
        <v>22</v>
      </c>
      <c r="AA12" s="75">
        <f t="shared" si="3"/>
        <v>50</v>
      </c>
      <c r="AB12" s="10">
        <v>0.02</v>
      </c>
      <c r="AC12" s="10">
        <v>34.1</v>
      </c>
      <c r="AD12" s="11">
        <f t="shared" si="4"/>
        <v>1705</v>
      </c>
      <c r="AE12" s="10" t="str">
        <f t="shared" si="5"/>
        <v>2</v>
      </c>
      <c r="AF12" s="10" t="str">
        <f t="shared" si="6"/>
        <v>1</v>
      </c>
      <c r="AG12" s="10">
        <f t="shared" si="7"/>
        <v>1.5</v>
      </c>
      <c r="AH12" s="10">
        <v>1469</v>
      </c>
      <c r="AI12" s="10" t="str">
        <f t="shared" si="8"/>
        <v>1</v>
      </c>
      <c r="AJ12" s="10"/>
      <c r="AK12" s="10"/>
      <c r="AL12" s="10"/>
      <c r="AM12" s="10"/>
      <c r="AN12" s="10"/>
      <c r="AO12" s="10"/>
      <c r="AP12" s="10"/>
      <c r="AQ12" s="10"/>
      <c r="AR12" s="10"/>
      <c r="AS12" s="10">
        <v>1</v>
      </c>
      <c r="AT12" s="10">
        <v>1</v>
      </c>
      <c r="AU12" s="10">
        <v>1</v>
      </c>
      <c r="AV12" s="10">
        <v>1</v>
      </c>
      <c r="AW12" s="10">
        <v>1</v>
      </c>
      <c r="AX12" s="10" t="s">
        <v>61</v>
      </c>
      <c r="AY12" s="10">
        <v>1</v>
      </c>
      <c r="AZ12" s="10">
        <v>1985</v>
      </c>
      <c r="BA12" s="10">
        <f t="shared" ca="1" si="9"/>
        <v>41</v>
      </c>
      <c r="BB12" s="10" t="str">
        <f t="shared" ca="1" si="13"/>
        <v>5</v>
      </c>
      <c r="BC12" s="76">
        <f t="shared" ca="1" si="12"/>
        <v>2.375</v>
      </c>
      <c r="BD12" s="10" t="s">
        <v>821</v>
      </c>
      <c r="BE12" s="62" t="s">
        <v>826</v>
      </c>
      <c r="BF12" s="10"/>
      <c r="BG12" s="61" t="s">
        <v>911</v>
      </c>
      <c r="BH12" s="110">
        <v>40000000</v>
      </c>
    </row>
    <row r="13" spans="1:60" ht="16" x14ac:dyDescent="0.2">
      <c r="A13" s="63">
        <v>200031</v>
      </c>
      <c r="B13" s="2">
        <v>200027</v>
      </c>
      <c r="C13" s="2">
        <v>7390</v>
      </c>
      <c r="D13" s="2" t="s">
        <v>615</v>
      </c>
      <c r="E13" s="2" t="s">
        <v>698</v>
      </c>
      <c r="F13" s="2" t="s">
        <v>125</v>
      </c>
      <c r="G13" s="2" t="s">
        <v>126</v>
      </c>
      <c r="H13" s="2" t="s">
        <v>65</v>
      </c>
      <c r="I13" s="2" t="s">
        <v>61</v>
      </c>
      <c r="J13" s="2" t="s">
        <v>61</v>
      </c>
      <c r="K13" s="10">
        <v>4.0999999999999996</v>
      </c>
      <c r="L13" s="10">
        <v>20589</v>
      </c>
      <c r="M13" s="10">
        <v>55452</v>
      </c>
      <c r="N13" s="10">
        <v>2.4</v>
      </c>
      <c r="O13" s="10">
        <v>228</v>
      </c>
      <c r="P13" s="10">
        <v>2996</v>
      </c>
      <c r="Q13" s="2">
        <v>26</v>
      </c>
      <c r="R13" s="10">
        <v>0.6</v>
      </c>
      <c r="S13" s="2">
        <v>0</v>
      </c>
      <c r="T13" s="10">
        <v>5.8</v>
      </c>
      <c r="U13" s="10">
        <f t="shared" si="0"/>
        <v>33.1</v>
      </c>
      <c r="V13" s="10" t="str">
        <f t="shared" si="11"/>
        <v>1</v>
      </c>
      <c r="W13" s="75" t="str">
        <f t="shared" si="1"/>
        <v>1</v>
      </c>
      <c r="X13" s="10">
        <f t="shared" si="2"/>
        <v>1</v>
      </c>
      <c r="Y13" s="10">
        <v>29</v>
      </c>
      <c r="Z13" s="10">
        <v>28</v>
      </c>
      <c r="AA13" s="75">
        <f t="shared" si="3"/>
        <v>57</v>
      </c>
      <c r="AB13" s="10">
        <v>0.04</v>
      </c>
      <c r="AC13" s="10">
        <v>27.3</v>
      </c>
      <c r="AD13" s="11">
        <f t="shared" si="4"/>
        <v>682.5</v>
      </c>
      <c r="AE13" s="10" t="str">
        <f t="shared" si="5"/>
        <v>2</v>
      </c>
      <c r="AF13" s="10" t="str">
        <f t="shared" si="6"/>
        <v>4</v>
      </c>
      <c r="AG13" s="10">
        <f t="shared" si="7"/>
        <v>3</v>
      </c>
      <c r="AH13" s="10">
        <v>562</v>
      </c>
      <c r="AI13" s="10" t="str">
        <f t="shared" si="8"/>
        <v>1</v>
      </c>
      <c r="AJ13" s="10">
        <v>3</v>
      </c>
      <c r="AK13" s="10"/>
      <c r="AL13" s="10"/>
      <c r="AM13" s="10"/>
      <c r="AN13" s="10"/>
      <c r="AO13" s="10"/>
      <c r="AP13" s="10"/>
      <c r="AQ13" s="10"/>
      <c r="AR13" s="10"/>
      <c r="AS13" s="10">
        <v>1</v>
      </c>
      <c r="AT13" s="10">
        <v>1</v>
      </c>
      <c r="AU13" s="10">
        <v>1</v>
      </c>
      <c r="AV13" s="10">
        <v>1</v>
      </c>
      <c r="AW13" s="10">
        <v>1</v>
      </c>
      <c r="AX13" s="10" t="s">
        <v>61</v>
      </c>
      <c r="AY13" s="10">
        <v>1</v>
      </c>
      <c r="AZ13" s="10">
        <v>1996</v>
      </c>
      <c r="BA13" s="10">
        <f t="shared" ca="1" si="9"/>
        <v>30</v>
      </c>
      <c r="BB13" s="10" t="str">
        <f t="shared" ca="1" si="13"/>
        <v>3</v>
      </c>
      <c r="BC13" s="76">
        <f t="shared" ca="1" si="12"/>
        <v>3</v>
      </c>
      <c r="BD13" s="10" t="s">
        <v>821</v>
      </c>
      <c r="BE13" s="77" t="s">
        <v>826</v>
      </c>
      <c r="BF13" s="10"/>
      <c r="BG13" s="61" t="s">
        <v>911</v>
      </c>
      <c r="BH13" s="110">
        <v>40000000</v>
      </c>
    </row>
    <row r="14" spans="1:60" ht="16" x14ac:dyDescent="0.2">
      <c r="A14" s="63">
        <v>20038367</v>
      </c>
      <c r="B14" s="2">
        <v>200030</v>
      </c>
      <c r="C14" s="2">
        <v>7390</v>
      </c>
      <c r="D14" s="2" t="s">
        <v>597</v>
      </c>
      <c r="E14" s="2" t="s">
        <v>701</v>
      </c>
      <c r="F14" s="2" t="s">
        <v>125</v>
      </c>
      <c r="G14" s="2" t="s">
        <v>148</v>
      </c>
      <c r="H14" s="2" t="s">
        <v>65</v>
      </c>
      <c r="I14" s="2" t="s">
        <v>61</v>
      </c>
      <c r="J14" s="2" t="s">
        <v>61</v>
      </c>
      <c r="K14" s="10">
        <v>2.2999999999999998</v>
      </c>
      <c r="L14" s="10">
        <v>23922</v>
      </c>
      <c r="M14" s="10">
        <v>58390</v>
      </c>
      <c r="N14" s="10">
        <v>2.2999999999999998</v>
      </c>
      <c r="O14" s="10">
        <v>178</v>
      </c>
      <c r="P14" s="10">
        <v>2105</v>
      </c>
      <c r="Q14" s="2">
        <v>10.8</v>
      </c>
      <c r="R14" s="10">
        <v>0.4</v>
      </c>
      <c r="S14" s="2">
        <v>0</v>
      </c>
      <c r="T14" s="10">
        <v>4.8</v>
      </c>
      <c r="U14" s="10">
        <f t="shared" si="0"/>
        <v>15.8</v>
      </c>
      <c r="V14" s="10" t="str">
        <f t="shared" si="11"/>
        <v>1</v>
      </c>
      <c r="W14" s="75" t="str">
        <f t="shared" si="1"/>
        <v>1</v>
      </c>
      <c r="X14" s="10">
        <f t="shared" si="2"/>
        <v>1</v>
      </c>
      <c r="Y14" s="10">
        <v>32</v>
      </c>
      <c r="Z14" s="10">
        <v>21</v>
      </c>
      <c r="AA14" s="75">
        <f t="shared" si="3"/>
        <v>53</v>
      </c>
      <c r="AB14" s="10">
        <v>0.03</v>
      </c>
      <c r="AC14" s="10">
        <v>31.7</v>
      </c>
      <c r="AD14" s="11">
        <f t="shared" si="4"/>
        <v>1056.6666666666667</v>
      </c>
      <c r="AE14" s="10" t="str">
        <f t="shared" si="5"/>
        <v>2</v>
      </c>
      <c r="AF14" s="10" t="str">
        <f t="shared" si="6"/>
        <v>2</v>
      </c>
      <c r="AG14" s="10">
        <f t="shared" si="7"/>
        <v>2</v>
      </c>
      <c r="AH14" s="10">
        <v>231</v>
      </c>
      <c r="AI14" s="10" t="str">
        <f t="shared" si="8"/>
        <v>1</v>
      </c>
      <c r="AJ14" s="10">
        <v>3</v>
      </c>
      <c r="AK14" s="10"/>
      <c r="AL14" s="10"/>
      <c r="AM14" s="10"/>
      <c r="AN14" s="10"/>
      <c r="AO14" s="10"/>
      <c r="AP14" s="10"/>
      <c r="AQ14" s="10"/>
      <c r="AR14" s="10"/>
      <c r="AS14" s="10">
        <v>1</v>
      </c>
      <c r="AT14" s="10">
        <v>1</v>
      </c>
      <c r="AU14" s="10">
        <v>1</v>
      </c>
      <c r="AV14" s="10">
        <v>1</v>
      </c>
      <c r="AW14" s="10">
        <v>1</v>
      </c>
      <c r="AX14" s="10" t="s">
        <v>61</v>
      </c>
      <c r="AY14" s="10">
        <v>1</v>
      </c>
      <c r="AZ14" s="10">
        <v>1998</v>
      </c>
      <c r="BA14" s="10">
        <f t="shared" ca="1" si="9"/>
        <v>28</v>
      </c>
      <c r="BB14" s="10" t="str">
        <f t="shared" ca="1" si="13"/>
        <v>3</v>
      </c>
      <c r="BC14" s="76">
        <f t="shared" ca="1" si="12"/>
        <v>2.75</v>
      </c>
      <c r="BD14" s="10" t="s">
        <v>821</v>
      </c>
      <c r="BE14" s="77" t="s">
        <v>826</v>
      </c>
      <c r="BF14" s="10"/>
      <c r="BG14" s="61" t="s">
        <v>911</v>
      </c>
      <c r="BH14" s="110">
        <v>40000000</v>
      </c>
    </row>
    <row r="15" spans="1:60" x14ac:dyDescent="0.2">
      <c r="A15" s="63">
        <v>20029067</v>
      </c>
      <c r="B15" s="2">
        <v>185233</v>
      </c>
      <c r="C15" s="2">
        <v>29000</v>
      </c>
      <c r="D15" s="2" t="s">
        <v>351</v>
      </c>
      <c r="E15" s="2" t="s">
        <v>681</v>
      </c>
      <c r="F15" s="2" t="s">
        <v>58</v>
      </c>
      <c r="G15" s="2" t="s">
        <v>59</v>
      </c>
      <c r="H15" s="2" t="s">
        <v>65</v>
      </c>
      <c r="I15" s="2" t="s">
        <v>61</v>
      </c>
      <c r="J15" s="2" t="s">
        <v>61</v>
      </c>
      <c r="K15" s="10">
        <v>5.9</v>
      </c>
      <c r="L15" s="10">
        <v>16129</v>
      </c>
      <c r="M15" s="10">
        <v>68779</v>
      </c>
      <c r="N15" s="10">
        <v>2</v>
      </c>
      <c r="O15" s="10">
        <v>311</v>
      </c>
      <c r="P15" s="10">
        <v>1570</v>
      </c>
      <c r="Q15" s="2">
        <v>5.4</v>
      </c>
      <c r="R15" s="10">
        <v>0.3</v>
      </c>
      <c r="S15" s="2">
        <v>0</v>
      </c>
      <c r="T15" s="10">
        <v>1.7</v>
      </c>
      <c r="U15" s="10">
        <f t="shared" si="0"/>
        <v>13.600000000000001</v>
      </c>
      <c r="V15" s="10" t="str">
        <f t="shared" si="11"/>
        <v>1</v>
      </c>
      <c r="W15" s="75" t="str">
        <f t="shared" si="1"/>
        <v>1</v>
      </c>
      <c r="X15" s="10">
        <f t="shared" si="2"/>
        <v>1</v>
      </c>
      <c r="Y15" s="10">
        <v>36</v>
      </c>
      <c r="Z15" s="10">
        <v>15</v>
      </c>
      <c r="AA15" s="75">
        <f t="shared" si="3"/>
        <v>51</v>
      </c>
      <c r="AB15" s="10">
        <v>0.02</v>
      </c>
      <c r="AC15" s="10">
        <v>41.9</v>
      </c>
      <c r="AD15" s="11">
        <f t="shared" si="4"/>
        <v>2095</v>
      </c>
      <c r="AE15" s="10" t="str">
        <f t="shared" si="5"/>
        <v>1</v>
      </c>
      <c r="AF15" s="10" t="str">
        <f t="shared" si="6"/>
        <v>1</v>
      </c>
      <c r="AG15" s="10">
        <f t="shared" si="7"/>
        <v>1</v>
      </c>
      <c r="AH15" s="10">
        <v>76</v>
      </c>
      <c r="AI15" s="10" t="str">
        <f t="shared" si="8"/>
        <v>1</v>
      </c>
      <c r="AJ15" s="10">
        <v>3</v>
      </c>
      <c r="AK15" s="10"/>
      <c r="AL15" s="10"/>
      <c r="AM15" s="10"/>
      <c r="AN15" s="10"/>
      <c r="AO15" s="10"/>
      <c r="AP15" s="10"/>
      <c r="AQ15" s="10"/>
      <c r="AR15" s="10"/>
      <c r="AS15" s="10">
        <v>1</v>
      </c>
      <c r="AT15" s="10">
        <v>1</v>
      </c>
      <c r="AU15" s="10">
        <v>1</v>
      </c>
      <c r="AV15" s="10">
        <v>1</v>
      </c>
      <c r="AW15" s="10">
        <v>1</v>
      </c>
      <c r="AX15" s="10" t="s">
        <v>61</v>
      </c>
      <c r="AY15" s="10">
        <v>1</v>
      </c>
      <c r="AZ15" s="10">
        <v>1998</v>
      </c>
      <c r="BA15" s="10">
        <f t="shared" ca="1" si="9"/>
        <v>28</v>
      </c>
      <c r="BB15" s="10" t="str">
        <f t="shared" ca="1" si="13"/>
        <v>3</v>
      </c>
      <c r="BC15" s="76">
        <f t="shared" ca="1" si="12"/>
        <v>2.5</v>
      </c>
      <c r="BD15" s="10"/>
      <c r="BE15" s="62"/>
      <c r="BF15" s="10"/>
    </row>
    <row r="16" spans="1:60" x14ac:dyDescent="0.2">
      <c r="A16" s="63">
        <v>20026790</v>
      </c>
      <c r="B16" s="2">
        <v>1057609437</v>
      </c>
      <c r="C16" s="2">
        <v>239</v>
      </c>
      <c r="D16" s="2" t="s">
        <v>241</v>
      </c>
      <c r="E16" s="2" t="s">
        <v>684</v>
      </c>
      <c r="F16" s="2" t="s">
        <v>58</v>
      </c>
      <c r="G16" s="2" t="s">
        <v>59</v>
      </c>
      <c r="H16" s="2" t="s">
        <v>65</v>
      </c>
      <c r="I16" s="2" t="s">
        <v>61</v>
      </c>
      <c r="J16" s="2" t="s">
        <v>61</v>
      </c>
      <c r="K16" s="10">
        <v>20</v>
      </c>
      <c r="L16" s="10">
        <v>4385</v>
      </c>
      <c r="M16" s="10">
        <v>43278</v>
      </c>
      <c r="N16" s="10">
        <v>6.5</v>
      </c>
      <c r="O16" s="10">
        <v>726</v>
      </c>
      <c r="P16" s="10">
        <v>1868</v>
      </c>
      <c r="Q16" s="2">
        <v>3.4</v>
      </c>
      <c r="R16" s="10">
        <v>2.5</v>
      </c>
      <c r="S16" s="2">
        <v>0</v>
      </c>
      <c r="T16" s="10">
        <v>4.8</v>
      </c>
      <c r="U16" s="10">
        <f t="shared" si="0"/>
        <v>32.4</v>
      </c>
      <c r="V16" s="10" t="str">
        <f t="shared" si="11"/>
        <v>1</v>
      </c>
      <c r="W16" s="75" t="str">
        <f t="shared" si="1"/>
        <v>1</v>
      </c>
      <c r="X16" s="10">
        <f t="shared" si="2"/>
        <v>1</v>
      </c>
      <c r="Y16" s="10">
        <v>39</v>
      </c>
      <c r="Z16" s="10">
        <v>13</v>
      </c>
      <c r="AA16" s="75">
        <f t="shared" si="3"/>
        <v>52</v>
      </c>
      <c r="AB16" s="10">
        <v>0.02</v>
      </c>
      <c r="AC16" s="10">
        <v>43.2</v>
      </c>
      <c r="AD16" s="11">
        <f t="shared" si="4"/>
        <v>2160</v>
      </c>
      <c r="AE16" s="10" t="str">
        <f t="shared" si="5"/>
        <v>1</v>
      </c>
      <c r="AF16" s="10" t="str">
        <f t="shared" si="6"/>
        <v>1</v>
      </c>
      <c r="AG16" s="10">
        <f t="shared" si="7"/>
        <v>1</v>
      </c>
      <c r="AH16" s="10">
        <v>14</v>
      </c>
      <c r="AI16" s="10" t="str">
        <f t="shared" si="8"/>
        <v>1</v>
      </c>
      <c r="AJ16" s="10">
        <v>3</v>
      </c>
      <c r="AK16" s="10"/>
      <c r="AL16" s="10"/>
      <c r="AM16" s="10"/>
      <c r="AN16" s="10"/>
      <c r="AO16" s="10"/>
      <c r="AP16" s="10"/>
      <c r="AQ16" s="10"/>
      <c r="AR16" s="10"/>
      <c r="AS16" s="10">
        <v>1</v>
      </c>
      <c r="AT16" s="10">
        <v>1</v>
      </c>
      <c r="AU16" s="10">
        <v>1</v>
      </c>
      <c r="AV16" s="10">
        <v>1</v>
      </c>
      <c r="AW16" s="10">
        <v>1</v>
      </c>
      <c r="AX16" s="10" t="s">
        <v>61</v>
      </c>
      <c r="AY16" s="10">
        <v>1</v>
      </c>
      <c r="AZ16" s="10">
        <v>2021</v>
      </c>
      <c r="BA16" s="10">
        <f t="shared" ca="1" si="9"/>
        <v>5</v>
      </c>
      <c r="BB16" s="10" t="str">
        <f t="shared" ca="1" si="13"/>
        <v>1</v>
      </c>
      <c r="BC16" s="76">
        <f t="shared" ca="1" si="12"/>
        <v>2</v>
      </c>
      <c r="BD16" s="10"/>
      <c r="BE16" s="62"/>
      <c r="BF16" s="10"/>
    </row>
    <row r="17" spans="1:58" x14ac:dyDescent="0.2">
      <c r="A17" s="60"/>
      <c r="B17" s="2">
        <v>55430119</v>
      </c>
      <c r="C17" s="2">
        <v>500</v>
      </c>
      <c r="D17" s="2" t="s">
        <v>545</v>
      </c>
      <c r="E17" s="2" t="s">
        <v>715</v>
      </c>
      <c r="F17" s="2" t="s">
        <v>70</v>
      </c>
      <c r="G17" s="2" t="s">
        <v>70</v>
      </c>
      <c r="H17" s="2" t="s">
        <v>65</v>
      </c>
      <c r="I17" s="2" t="s">
        <v>61</v>
      </c>
      <c r="J17" s="2" t="s">
        <v>61</v>
      </c>
      <c r="K17" s="10">
        <v>10.3</v>
      </c>
      <c r="L17" s="10">
        <v>4231</v>
      </c>
      <c r="M17" s="10">
        <v>66563</v>
      </c>
      <c r="N17" s="10">
        <v>12.5</v>
      </c>
      <c r="O17" s="10">
        <v>782</v>
      </c>
      <c r="P17" s="10">
        <v>2427</v>
      </c>
      <c r="Q17" s="2">
        <v>12.5</v>
      </c>
      <c r="R17" s="10">
        <v>2.8</v>
      </c>
      <c r="S17" s="2">
        <v>0</v>
      </c>
      <c r="T17" s="10">
        <v>10.7</v>
      </c>
      <c r="U17" s="10">
        <f t="shared" si="0"/>
        <v>38.099999999999994</v>
      </c>
      <c r="V17" s="10" t="str">
        <f t="shared" si="11"/>
        <v>1</v>
      </c>
      <c r="W17" s="75" t="str">
        <f t="shared" si="1"/>
        <v>1</v>
      </c>
      <c r="X17" s="10">
        <f t="shared" si="2"/>
        <v>1</v>
      </c>
      <c r="Y17" s="10">
        <v>39</v>
      </c>
      <c r="Z17" s="10">
        <v>16</v>
      </c>
      <c r="AA17" s="75">
        <f t="shared" si="3"/>
        <v>55</v>
      </c>
      <c r="AB17" s="10">
        <v>0.02</v>
      </c>
      <c r="AC17" s="10">
        <v>37.6</v>
      </c>
      <c r="AD17" s="11">
        <f t="shared" si="4"/>
        <v>1880</v>
      </c>
      <c r="AE17" s="10" t="str">
        <f t="shared" si="5"/>
        <v>1</v>
      </c>
      <c r="AF17" s="10" t="str">
        <f t="shared" si="6"/>
        <v>1</v>
      </c>
      <c r="AG17" s="10">
        <f t="shared" si="7"/>
        <v>1</v>
      </c>
      <c r="AH17" s="10">
        <v>14</v>
      </c>
      <c r="AI17" s="10" t="str">
        <f t="shared" si="8"/>
        <v>1</v>
      </c>
      <c r="AJ17" s="10"/>
      <c r="AK17" s="10"/>
      <c r="AL17" s="10"/>
      <c r="AM17" s="10"/>
      <c r="AN17" s="10"/>
      <c r="AO17" s="10"/>
      <c r="AP17" s="10"/>
      <c r="AQ17" s="10"/>
      <c r="AR17" s="10"/>
      <c r="AS17" s="10">
        <v>1</v>
      </c>
      <c r="AT17" s="10">
        <v>1</v>
      </c>
      <c r="AU17" s="10">
        <v>1</v>
      </c>
      <c r="AV17" s="10">
        <v>1</v>
      </c>
      <c r="AW17" s="10">
        <v>1</v>
      </c>
      <c r="AX17" s="10" t="s">
        <v>61</v>
      </c>
      <c r="AY17" s="10">
        <v>4</v>
      </c>
      <c r="AZ17" s="10">
        <v>2017</v>
      </c>
      <c r="BA17" s="10">
        <f t="shared" ca="1" si="9"/>
        <v>9</v>
      </c>
      <c r="BB17" s="10" t="str">
        <f t="shared" ca="1" si="13"/>
        <v>2</v>
      </c>
      <c r="BC17" s="76">
        <f t="shared" ca="1" si="12"/>
        <v>2.25</v>
      </c>
      <c r="BD17" s="10"/>
      <c r="BE17" s="62"/>
      <c r="BF17" s="10"/>
    </row>
    <row r="18" spans="1:58" x14ac:dyDescent="0.2">
      <c r="A18" s="63"/>
      <c r="B18" s="2">
        <v>201265</v>
      </c>
      <c r="C18" s="2">
        <v>2400</v>
      </c>
      <c r="D18" s="2" t="s">
        <v>432</v>
      </c>
      <c r="E18" s="2" t="s">
        <v>713</v>
      </c>
      <c r="F18" s="2" t="s">
        <v>70</v>
      </c>
      <c r="G18" s="2" t="s">
        <v>70</v>
      </c>
      <c r="H18" s="2" t="s">
        <v>65</v>
      </c>
      <c r="I18" s="2" t="s">
        <v>61</v>
      </c>
      <c r="J18" s="2" t="s">
        <v>61</v>
      </c>
      <c r="K18" s="10">
        <v>14.8</v>
      </c>
      <c r="L18" s="10">
        <v>421</v>
      </c>
      <c r="M18" s="10">
        <v>61670</v>
      </c>
      <c r="N18" s="10">
        <v>7.1</v>
      </c>
      <c r="O18" s="10">
        <v>400</v>
      </c>
      <c r="P18" s="10">
        <v>1298</v>
      </c>
      <c r="Q18" s="2">
        <v>0.4</v>
      </c>
      <c r="R18" s="10">
        <v>1</v>
      </c>
      <c r="S18" s="2">
        <v>0</v>
      </c>
      <c r="T18" s="10">
        <v>1.4</v>
      </c>
      <c r="U18" s="10">
        <f t="shared" si="0"/>
        <v>23.299999999999997</v>
      </c>
      <c r="V18" s="10" t="str">
        <f t="shared" si="11"/>
        <v>1</v>
      </c>
      <c r="W18" s="75" t="str">
        <f t="shared" si="1"/>
        <v>1</v>
      </c>
      <c r="X18" s="10">
        <f t="shared" si="2"/>
        <v>1</v>
      </c>
      <c r="Y18" s="10">
        <v>41</v>
      </c>
      <c r="Z18" s="10">
        <v>5</v>
      </c>
      <c r="AA18" s="75">
        <f t="shared" si="3"/>
        <v>46</v>
      </c>
      <c r="AB18" s="10">
        <v>0.02</v>
      </c>
      <c r="AC18" s="10">
        <v>46.5</v>
      </c>
      <c r="AD18" s="11">
        <f t="shared" si="4"/>
        <v>2325</v>
      </c>
      <c r="AE18" s="10" t="str">
        <f t="shared" si="5"/>
        <v>1</v>
      </c>
      <c r="AF18" s="10" t="str">
        <f t="shared" si="6"/>
        <v>1</v>
      </c>
      <c r="AG18" s="10">
        <f t="shared" si="7"/>
        <v>1</v>
      </c>
      <c r="AH18" s="10">
        <v>14</v>
      </c>
      <c r="AI18" s="10" t="str">
        <f t="shared" si="8"/>
        <v>1</v>
      </c>
      <c r="AJ18" s="10"/>
      <c r="AK18" s="10"/>
      <c r="AL18" s="10"/>
      <c r="AM18" s="10"/>
      <c r="AN18" s="10"/>
      <c r="AO18" s="10"/>
      <c r="AP18" s="10"/>
      <c r="AQ18" s="10"/>
      <c r="AR18" s="10"/>
      <c r="AS18" s="10">
        <v>1</v>
      </c>
      <c r="AT18" s="10">
        <v>1</v>
      </c>
      <c r="AU18" s="10">
        <v>1</v>
      </c>
      <c r="AV18" s="10">
        <v>1</v>
      </c>
      <c r="AW18" s="10">
        <v>1</v>
      </c>
      <c r="AX18" s="10" t="s">
        <v>61</v>
      </c>
      <c r="AY18" s="10">
        <v>1</v>
      </c>
      <c r="AZ18" s="10">
        <v>2014</v>
      </c>
      <c r="BA18" s="10">
        <f t="shared" ca="1" si="9"/>
        <v>12</v>
      </c>
      <c r="BB18" s="10" t="str">
        <f t="shared" ca="1" si="13"/>
        <v>2</v>
      </c>
      <c r="BC18" s="76">
        <f t="shared" ca="1" si="12"/>
        <v>1.5</v>
      </c>
      <c r="BD18" s="10"/>
      <c r="BE18" s="62"/>
      <c r="BF18" s="10"/>
    </row>
    <row r="19" spans="1:58" x14ac:dyDescent="0.2">
      <c r="A19" s="63">
        <v>20026966</v>
      </c>
      <c r="B19" s="2">
        <v>185231</v>
      </c>
      <c r="C19" s="2">
        <v>33702</v>
      </c>
      <c r="D19" s="2" t="s">
        <v>278</v>
      </c>
      <c r="E19" s="2" t="s">
        <v>705</v>
      </c>
      <c r="F19" s="2" t="s">
        <v>58</v>
      </c>
      <c r="G19" s="2" t="s">
        <v>64</v>
      </c>
      <c r="H19" s="2" t="s">
        <v>65</v>
      </c>
      <c r="I19" s="2" t="s">
        <v>61</v>
      </c>
      <c r="J19" s="2" t="s">
        <v>61</v>
      </c>
      <c r="K19" s="10">
        <v>6.1</v>
      </c>
      <c r="L19" s="10">
        <v>18820</v>
      </c>
      <c r="M19" s="10">
        <v>62647</v>
      </c>
      <c r="N19" s="10">
        <v>2.2999999999999998</v>
      </c>
      <c r="O19" s="10">
        <v>350</v>
      </c>
      <c r="P19" s="10">
        <v>1677</v>
      </c>
      <c r="Q19" s="2">
        <v>13.2</v>
      </c>
      <c r="R19" s="10">
        <v>0.4</v>
      </c>
      <c r="S19" s="2">
        <v>0</v>
      </c>
      <c r="T19" s="10">
        <v>2.1</v>
      </c>
      <c r="U19" s="10">
        <f t="shared" si="0"/>
        <v>21.999999999999996</v>
      </c>
      <c r="V19" s="10" t="str">
        <f t="shared" si="11"/>
        <v>1</v>
      </c>
      <c r="W19" s="75" t="str">
        <f t="shared" si="1"/>
        <v>1</v>
      </c>
      <c r="X19" s="10">
        <f t="shared" si="2"/>
        <v>1</v>
      </c>
      <c r="Y19" s="10">
        <v>41</v>
      </c>
      <c r="Z19" s="10">
        <v>14</v>
      </c>
      <c r="AA19" s="75">
        <f t="shared" si="3"/>
        <v>55</v>
      </c>
      <c r="AB19" s="10">
        <v>0.02</v>
      </c>
      <c r="AC19" s="10">
        <v>37.6</v>
      </c>
      <c r="AD19" s="11">
        <f t="shared" si="4"/>
        <v>1880</v>
      </c>
      <c r="AE19" s="10" t="str">
        <f t="shared" si="5"/>
        <v>1</v>
      </c>
      <c r="AF19" s="10" t="str">
        <f t="shared" si="6"/>
        <v>1</v>
      </c>
      <c r="AG19" s="10">
        <f t="shared" si="7"/>
        <v>1</v>
      </c>
      <c r="AH19" s="10">
        <v>180</v>
      </c>
      <c r="AI19" s="10" t="str">
        <f t="shared" si="8"/>
        <v>1</v>
      </c>
      <c r="AJ19" s="10">
        <v>3</v>
      </c>
      <c r="AK19" s="10"/>
      <c r="AL19" s="10"/>
      <c r="AM19" s="10"/>
      <c r="AN19" s="10"/>
      <c r="AO19" s="10"/>
      <c r="AP19" s="10"/>
      <c r="AQ19" s="10"/>
      <c r="AR19" s="10"/>
      <c r="AS19" s="10">
        <v>1</v>
      </c>
      <c r="AT19" s="10">
        <v>1</v>
      </c>
      <c r="AU19" s="10">
        <v>1</v>
      </c>
      <c r="AV19" s="10">
        <v>1</v>
      </c>
      <c r="AW19" s="10">
        <v>1</v>
      </c>
      <c r="AX19" s="10" t="s">
        <v>61</v>
      </c>
      <c r="AY19" s="10">
        <v>1</v>
      </c>
      <c r="AZ19" s="10">
        <v>1998</v>
      </c>
      <c r="BA19" s="10">
        <f t="shared" ca="1" si="9"/>
        <v>28</v>
      </c>
      <c r="BB19" s="10" t="str">
        <f t="shared" ca="1" si="13"/>
        <v>3</v>
      </c>
      <c r="BC19" s="76">
        <f t="shared" ca="1" si="12"/>
        <v>2.5</v>
      </c>
      <c r="BD19" s="10"/>
      <c r="BE19" s="62"/>
      <c r="BF19" s="10"/>
    </row>
    <row r="20" spans="1:58" x14ac:dyDescent="0.2">
      <c r="A20" s="63">
        <v>20047769</v>
      </c>
      <c r="B20" s="2">
        <v>200032</v>
      </c>
      <c r="C20" s="2">
        <v>2100</v>
      </c>
      <c r="D20" s="2" t="s">
        <v>387</v>
      </c>
      <c r="E20" s="2" t="s">
        <v>704</v>
      </c>
      <c r="F20" s="2" t="s">
        <v>70</v>
      </c>
      <c r="G20" s="2" t="s">
        <v>70</v>
      </c>
      <c r="H20" s="2" t="s">
        <v>65</v>
      </c>
      <c r="I20" s="2" t="s">
        <v>61</v>
      </c>
      <c r="J20" s="2" t="s">
        <v>61</v>
      </c>
      <c r="K20" s="10">
        <v>2.4</v>
      </c>
      <c r="L20" s="10">
        <v>25093</v>
      </c>
      <c r="M20" s="10">
        <v>62659</v>
      </c>
      <c r="N20" s="10">
        <v>2.2000000000000002</v>
      </c>
      <c r="O20" s="10">
        <v>146</v>
      </c>
      <c r="P20" s="10">
        <v>2348</v>
      </c>
      <c r="Q20" s="2">
        <v>12.1</v>
      </c>
      <c r="R20" s="10">
        <v>0.6</v>
      </c>
      <c r="S20" s="2">
        <v>0</v>
      </c>
      <c r="T20" s="10">
        <v>7.4</v>
      </c>
      <c r="U20" s="10">
        <f t="shared" si="0"/>
        <v>17.3</v>
      </c>
      <c r="V20" s="10" t="str">
        <f t="shared" si="11"/>
        <v>1</v>
      </c>
      <c r="W20" s="75" t="str">
        <f t="shared" si="1"/>
        <v>1</v>
      </c>
      <c r="X20" s="10">
        <f t="shared" si="2"/>
        <v>1</v>
      </c>
      <c r="Y20" s="10">
        <v>44</v>
      </c>
      <c r="Z20" s="10">
        <v>14</v>
      </c>
      <c r="AA20" s="75">
        <f t="shared" si="3"/>
        <v>58</v>
      </c>
      <c r="AB20" s="10">
        <v>0.02</v>
      </c>
      <c r="AC20" s="10">
        <v>31.2</v>
      </c>
      <c r="AD20" s="11">
        <f t="shared" si="4"/>
        <v>1560</v>
      </c>
      <c r="AE20" s="10" t="str">
        <f t="shared" si="5"/>
        <v>1</v>
      </c>
      <c r="AF20" s="10" t="str">
        <f t="shared" si="6"/>
        <v>1</v>
      </c>
      <c r="AG20" s="10">
        <f t="shared" si="7"/>
        <v>1</v>
      </c>
      <c r="AH20" s="10">
        <v>300</v>
      </c>
      <c r="AI20" s="10" t="str">
        <f t="shared" si="8"/>
        <v>1</v>
      </c>
      <c r="AJ20" s="10">
        <v>3</v>
      </c>
      <c r="AK20" s="10"/>
      <c r="AL20" s="10"/>
      <c r="AM20" s="10"/>
      <c r="AN20" s="10"/>
      <c r="AO20" s="10"/>
      <c r="AP20" s="10"/>
      <c r="AQ20" s="10"/>
      <c r="AR20" s="10"/>
      <c r="AS20" s="10">
        <v>1</v>
      </c>
      <c r="AT20" s="10">
        <v>1</v>
      </c>
      <c r="AU20" s="10">
        <v>1</v>
      </c>
      <c r="AV20" s="10">
        <v>1</v>
      </c>
      <c r="AW20" s="10">
        <v>1</v>
      </c>
      <c r="AX20" s="10" t="s">
        <v>61</v>
      </c>
      <c r="AY20" s="10">
        <v>1</v>
      </c>
      <c r="AZ20" s="10">
        <v>1998</v>
      </c>
      <c r="BA20" s="10">
        <f t="shared" ca="1" si="9"/>
        <v>28</v>
      </c>
      <c r="BB20" s="10" t="str">
        <f t="shared" ca="1" si="13"/>
        <v>3</v>
      </c>
      <c r="BC20" s="76">
        <f t="shared" ca="1" si="12"/>
        <v>2.5</v>
      </c>
      <c r="BD20" s="10"/>
      <c r="BE20" s="62"/>
      <c r="BF20" s="10"/>
    </row>
    <row r="21" spans="1:58" x14ac:dyDescent="0.2">
      <c r="A21" s="63">
        <v>200025</v>
      </c>
      <c r="B21" s="2">
        <v>185235</v>
      </c>
      <c r="C21" s="2">
        <v>27886</v>
      </c>
      <c r="D21" s="2" t="s">
        <v>557</v>
      </c>
      <c r="E21" s="2" t="s">
        <v>695</v>
      </c>
      <c r="F21" s="2" t="s">
        <v>125</v>
      </c>
      <c r="G21" s="2" t="s">
        <v>148</v>
      </c>
      <c r="H21" s="2" t="s">
        <v>65</v>
      </c>
      <c r="I21" s="2" t="s">
        <v>61</v>
      </c>
      <c r="J21" s="2" t="s">
        <v>61</v>
      </c>
      <c r="K21" s="10">
        <v>3.9</v>
      </c>
      <c r="L21" s="10">
        <v>22790</v>
      </c>
      <c r="M21" s="10">
        <v>62527</v>
      </c>
      <c r="N21" s="10">
        <v>1.9</v>
      </c>
      <c r="O21" s="10">
        <v>344</v>
      </c>
      <c r="P21" s="10">
        <v>1575</v>
      </c>
      <c r="Q21" s="2">
        <v>21</v>
      </c>
      <c r="R21" s="10">
        <v>0.4</v>
      </c>
      <c r="S21" s="2">
        <v>0</v>
      </c>
      <c r="T21" s="10">
        <v>3</v>
      </c>
      <c r="U21" s="10">
        <f t="shared" si="0"/>
        <v>27.2</v>
      </c>
      <c r="V21" s="10" t="str">
        <f t="shared" si="11"/>
        <v>1</v>
      </c>
      <c r="W21" s="75" t="str">
        <f t="shared" si="1"/>
        <v>1</v>
      </c>
      <c r="X21" s="10">
        <f t="shared" si="2"/>
        <v>1</v>
      </c>
      <c r="Y21" s="10">
        <v>45</v>
      </c>
      <c r="Z21" s="10">
        <v>12</v>
      </c>
      <c r="AA21" s="75">
        <f t="shared" si="3"/>
        <v>57</v>
      </c>
      <c r="AB21" s="10">
        <v>0.02</v>
      </c>
      <c r="AC21" s="10">
        <v>37.9</v>
      </c>
      <c r="AD21" s="11">
        <f t="shared" si="4"/>
        <v>1895</v>
      </c>
      <c r="AE21" s="10" t="str">
        <f t="shared" si="5"/>
        <v>1</v>
      </c>
      <c r="AF21" s="10" t="str">
        <f t="shared" si="6"/>
        <v>1</v>
      </c>
      <c r="AG21" s="10">
        <f t="shared" si="7"/>
        <v>1</v>
      </c>
      <c r="AH21" s="10">
        <v>41</v>
      </c>
      <c r="AI21" s="10" t="str">
        <f t="shared" si="8"/>
        <v>1</v>
      </c>
      <c r="AJ21" s="10">
        <v>3</v>
      </c>
      <c r="AK21" s="10"/>
      <c r="AL21" s="10"/>
      <c r="AM21" s="10"/>
      <c r="AN21" s="10"/>
      <c r="AO21" s="10"/>
      <c r="AP21" s="10"/>
      <c r="AQ21" s="10"/>
      <c r="AR21" s="10"/>
      <c r="AS21" s="10">
        <v>1</v>
      </c>
      <c r="AT21" s="10">
        <v>1</v>
      </c>
      <c r="AU21" s="10">
        <v>1</v>
      </c>
      <c r="AV21" s="10">
        <v>1</v>
      </c>
      <c r="AW21" s="10">
        <v>1</v>
      </c>
      <c r="AX21" s="10" t="s">
        <v>61</v>
      </c>
      <c r="AY21" s="10">
        <v>1</v>
      </c>
      <c r="AZ21" s="10">
        <v>1998</v>
      </c>
      <c r="BA21" s="10">
        <f t="shared" ca="1" si="9"/>
        <v>28</v>
      </c>
      <c r="BB21" s="10" t="str">
        <f t="shared" ca="1" si="13"/>
        <v>3</v>
      </c>
      <c r="BC21" s="76">
        <f t="shared" ca="1" si="12"/>
        <v>2.5</v>
      </c>
      <c r="BD21" s="10"/>
      <c r="BE21" s="62"/>
      <c r="BF21" s="10"/>
    </row>
    <row r="22" spans="1:58" x14ac:dyDescent="0.2">
      <c r="A22" s="63">
        <v>20700465</v>
      </c>
      <c r="B22" s="2" t="s">
        <v>717</v>
      </c>
      <c r="C22" s="2">
        <v>3900</v>
      </c>
      <c r="D22" s="2" t="s">
        <v>462</v>
      </c>
      <c r="E22" s="2" t="s">
        <v>718</v>
      </c>
      <c r="F22" s="2" t="s">
        <v>125</v>
      </c>
      <c r="G22" s="2" t="s">
        <v>126</v>
      </c>
      <c r="H22" s="2" t="s">
        <v>65</v>
      </c>
      <c r="I22" s="2" t="s">
        <v>61</v>
      </c>
      <c r="J22" s="2" t="s">
        <v>61</v>
      </c>
      <c r="K22" s="10">
        <v>0.8</v>
      </c>
      <c r="L22" s="10">
        <v>352</v>
      </c>
      <c r="M22" s="10">
        <v>67741</v>
      </c>
      <c r="N22" s="10">
        <v>14.7</v>
      </c>
      <c r="O22" s="10">
        <v>751</v>
      </c>
      <c r="P22" s="10">
        <v>4291</v>
      </c>
      <c r="Q22" s="10">
        <v>1.1000000000000001</v>
      </c>
      <c r="R22" s="10">
        <v>2.5</v>
      </c>
      <c r="S22" s="10">
        <v>0</v>
      </c>
      <c r="T22" s="10">
        <v>4.2</v>
      </c>
      <c r="U22" s="10">
        <f t="shared" si="0"/>
        <v>19.100000000000001</v>
      </c>
      <c r="V22" s="10" t="str">
        <f t="shared" si="11"/>
        <v>1</v>
      </c>
      <c r="W22" s="75" t="str">
        <f t="shared" si="1"/>
        <v>1</v>
      </c>
      <c r="X22" s="10">
        <f t="shared" si="2"/>
        <v>1</v>
      </c>
      <c r="Y22" s="10">
        <v>51</v>
      </c>
      <c r="Z22" s="10">
        <v>6</v>
      </c>
      <c r="AA22" s="75">
        <f t="shared" si="3"/>
        <v>57</v>
      </c>
      <c r="AB22" s="10">
        <v>0.02</v>
      </c>
      <c r="AC22" s="10">
        <v>40.200000000000003</v>
      </c>
      <c r="AD22" s="11">
        <f t="shared" si="4"/>
        <v>2010</v>
      </c>
      <c r="AE22" s="10" t="str">
        <f t="shared" si="5"/>
        <v>1</v>
      </c>
      <c r="AF22" s="10" t="str">
        <f t="shared" si="6"/>
        <v>1</v>
      </c>
      <c r="AG22" s="10">
        <f t="shared" si="7"/>
        <v>1</v>
      </c>
      <c r="AH22" s="10">
        <v>1</v>
      </c>
      <c r="AI22" s="10" t="str">
        <f t="shared" si="8"/>
        <v>1</v>
      </c>
      <c r="AJ22" s="10">
        <v>3</v>
      </c>
      <c r="AK22" s="10"/>
      <c r="AL22" s="10"/>
      <c r="AM22" s="10"/>
      <c r="AN22" s="10"/>
      <c r="AO22" s="10"/>
      <c r="AP22" s="10"/>
      <c r="AQ22" s="10"/>
      <c r="AR22" s="10"/>
      <c r="AS22" s="10">
        <v>1</v>
      </c>
      <c r="AT22" s="10">
        <v>1</v>
      </c>
      <c r="AU22" s="10">
        <v>1</v>
      </c>
      <c r="AV22" s="10">
        <v>1</v>
      </c>
      <c r="AW22" s="10">
        <v>1</v>
      </c>
      <c r="AX22" s="10" t="s">
        <v>61</v>
      </c>
      <c r="AY22" s="10">
        <v>1</v>
      </c>
      <c r="AZ22" s="10">
        <v>2020</v>
      </c>
      <c r="BA22" s="10">
        <f t="shared" ca="1" si="9"/>
        <v>6</v>
      </c>
      <c r="BB22" s="10" t="str">
        <f t="shared" ca="1" si="13"/>
        <v>1</v>
      </c>
      <c r="BC22" s="76">
        <f t="shared" ca="1" si="12"/>
        <v>2</v>
      </c>
      <c r="BD22" s="10"/>
      <c r="BE22" s="62"/>
      <c r="BF22" s="10"/>
    </row>
    <row r="23" spans="1:58" x14ac:dyDescent="0.2">
      <c r="A23" s="63">
        <v>20017565</v>
      </c>
      <c r="B23" s="2">
        <v>1057609435</v>
      </c>
      <c r="C23" s="2">
        <v>204</v>
      </c>
      <c r="D23" s="2" t="s">
        <v>187</v>
      </c>
      <c r="E23" s="2" t="s">
        <v>693</v>
      </c>
      <c r="F23" s="2" t="s">
        <v>70</v>
      </c>
      <c r="G23" s="2" t="s">
        <v>70</v>
      </c>
      <c r="H23" s="2" t="s">
        <v>65</v>
      </c>
      <c r="I23" s="2" t="s">
        <v>61</v>
      </c>
      <c r="J23" s="2" t="s">
        <v>61</v>
      </c>
      <c r="K23" s="10">
        <v>5.0999999999999996</v>
      </c>
      <c r="L23" s="10">
        <v>7106</v>
      </c>
      <c r="M23" s="10">
        <v>65481</v>
      </c>
      <c r="N23" s="10">
        <v>6</v>
      </c>
      <c r="O23" s="10">
        <v>762</v>
      </c>
      <c r="P23" s="10">
        <v>1608</v>
      </c>
      <c r="Q23" s="2">
        <v>6</v>
      </c>
      <c r="R23" s="10">
        <v>1.7</v>
      </c>
      <c r="S23" s="2">
        <v>0</v>
      </c>
      <c r="T23" s="10">
        <v>7.3</v>
      </c>
      <c r="U23" s="10">
        <f t="shared" si="0"/>
        <v>18.8</v>
      </c>
      <c r="V23" s="10" t="str">
        <f t="shared" si="11"/>
        <v>1</v>
      </c>
      <c r="W23" s="75" t="str">
        <f t="shared" si="1"/>
        <v>1</v>
      </c>
      <c r="X23" s="10">
        <f t="shared" si="2"/>
        <v>1</v>
      </c>
      <c r="Y23" s="10">
        <v>52</v>
      </c>
      <c r="Z23" s="10">
        <v>8</v>
      </c>
      <c r="AA23" s="75">
        <f t="shared" si="3"/>
        <v>60</v>
      </c>
      <c r="AB23" s="10">
        <v>0.02</v>
      </c>
      <c r="AC23" s="10">
        <v>39.4</v>
      </c>
      <c r="AD23" s="11">
        <f t="shared" si="4"/>
        <v>1970</v>
      </c>
      <c r="AE23" s="10" t="str">
        <f t="shared" si="5"/>
        <v>1</v>
      </c>
      <c r="AF23" s="10" t="str">
        <f t="shared" si="6"/>
        <v>1</v>
      </c>
      <c r="AG23" s="10">
        <f t="shared" si="7"/>
        <v>1</v>
      </c>
      <c r="AH23" s="10">
        <v>1</v>
      </c>
      <c r="AI23" s="10" t="str">
        <f t="shared" si="8"/>
        <v>1</v>
      </c>
      <c r="AJ23" s="10">
        <v>3</v>
      </c>
      <c r="AK23" s="10"/>
      <c r="AL23" s="10"/>
      <c r="AM23" s="10"/>
      <c r="AN23" s="10"/>
      <c r="AO23" s="10"/>
      <c r="AP23" s="10"/>
      <c r="AQ23" s="10"/>
      <c r="AR23" s="10"/>
      <c r="AS23" s="10">
        <v>1</v>
      </c>
      <c r="AT23" s="10">
        <v>1</v>
      </c>
      <c r="AU23" s="10">
        <v>1</v>
      </c>
      <c r="AV23" s="10">
        <v>1</v>
      </c>
      <c r="AW23" s="10">
        <v>1</v>
      </c>
      <c r="AX23" s="10" t="s">
        <v>61</v>
      </c>
      <c r="AY23" s="10">
        <v>1</v>
      </c>
      <c r="AZ23" s="10">
        <v>2021</v>
      </c>
      <c r="BA23" s="10">
        <f t="shared" ca="1" si="9"/>
        <v>5</v>
      </c>
      <c r="BB23" s="10" t="str">
        <f t="shared" ca="1" si="13"/>
        <v>1</v>
      </c>
      <c r="BC23" s="76">
        <f t="shared" ca="1" si="12"/>
        <v>2</v>
      </c>
      <c r="BD23" s="10"/>
      <c r="BE23" s="62"/>
      <c r="BF23" s="10"/>
    </row>
    <row r="24" spans="1:58" x14ac:dyDescent="0.2">
      <c r="A24" s="63">
        <v>20016689</v>
      </c>
      <c r="B24" s="2">
        <v>311552</v>
      </c>
      <c r="C24" s="2">
        <v>5002</v>
      </c>
      <c r="D24" s="2" t="s">
        <v>135</v>
      </c>
      <c r="E24" s="2" t="s">
        <v>692</v>
      </c>
      <c r="F24" s="2" t="s">
        <v>70</v>
      </c>
      <c r="G24" s="2" t="s">
        <v>70</v>
      </c>
      <c r="H24" s="2" t="s">
        <v>65</v>
      </c>
      <c r="I24" s="2" t="s">
        <v>61</v>
      </c>
      <c r="J24" s="2" t="s">
        <v>61</v>
      </c>
      <c r="K24" s="10">
        <v>2.2000000000000002</v>
      </c>
      <c r="L24" s="10">
        <v>3606</v>
      </c>
      <c r="M24" s="10">
        <v>63721</v>
      </c>
      <c r="N24" s="10">
        <v>18.600000000000001</v>
      </c>
      <c r="O24" s="10">
        <v>2019</v>
      </c>
      <c r="P24" s="10">
        <v>5624</v>
      </c>
      <c r="Q24" s="2">
        <v>37</v>
      </c>
      <c r="R24" s="10">
        <v>2.1</v>
      </c>
      <c r="S24" s="2">
        <v>0</v>
      </c>
      <c r="T24" s="10">
        <v>8.4</v>
      </c>
      <c r="U24" s="10">
        <f t="shared" si="0"/>
        <v>59.9</v>
      </c>
      <c r="V24" s="10" t="str">
        <f t="shared" si="11"/>
        <v>1</v>
      </c>
      <c r="W24" s="75" t="str">
        <f t="shared" si="1"/>
        <v>1</v>
      </c>
      <c r="X24" s="10">
        <f t="shared" si="2"/>
        <v>1</v>
      </c>
      <c r="Y24" s="10">
        <v>54</v>
      </c>
      <c r="Z24" s="10">
        <v>9</v>
      </c>
      <c r="AA24" s="75">
        <f t="shared" si="3"/>
        <v>63</v>
      </c>
      <c r="AB24" s="10">
        <v>8.0000000000000002E-3</v>
      </c>
      <c r="AC24" s="10">
        <v>42.3</v>
      </c>
      <c r="AD24" s="11">
        <f t="shared" si="4"/>
        <v>5287.4999999999991</v>
      </c>
      <c r="AE24" s="10" t="str">
        <f t="shared" si="5"/>
        <v>1</v>
      </c>
      <c r="AF24" s="10" t="str">
        <f t="shared" si="6"/>
        <v>1</v>
      </c>
      <c r="AG24" s="10">
        <f t="shared" si="7"/>
        <v>1</v>
      </c>
      <c r="AH24" s="10">
        <v>20</v>
      </c>
      <c r="AI24" s="10" t="str">
        <f t="shared" si="8"/>
        <v>1</v>
      </c>
      <c r="AJ24" s="10">
        <v>3</v>
      </c>
      <c r="AK24" s="10"/>
      <c r="AL24" s="10"/>
      <c r="AM24" s="10"/>
      <c r="AN24" s="10"/>
      <c r="AO24" s="10"/>
      <c r="AP24" s="10"/>
      <c r="AQ24" s="10"/>
      <c r="AR24" s="10"/>
      <c r="AS24" s="10">
        <v>1</v>
      </c>
      <c r="AT24" s="10">
        <v>1</v>
      </c>
      <c r="AU24" s="10">
        <v>1</v>
      </c>
      <c r="AV24" s="10">
        <v>1</v>
      </c>
      <c r="AW24" s="10">
        <v>1</v>
      </c>
      <c r="AX24" s="10" t="s">
        <v>61</v>
      </c>
      <c r="AY24" s="10">
        <v>1</v>
      </c>
      <c r="AZ24" s="10">
        <v>2009</v>
      </c>
      <c r="BA24" s="10">
        <f t="shared" ca="1" si="9"/>
        <v>17</v>
      </c>
      <c r="BB24" s="10" t="str">
        <f t="shared" ca="1" si="13"/>
        <v>2</v>
      </c>
      <c r="BC24" s="76">
        <f t="shared" ca="1" si="12"/>
        <v>2.25</v>
      </c>
      <c r="BD24" s="10"/>
      <c r="BE24" s="62"/>
      <c r="BF24" s="10"/>
    </row>
    <row r="25" spans="1:58" x14ac:dyDescent="0.2">
      <c r="A25" s="63">
        <v>20019077</v>
      </c>
      <c r="B25" s="2">
        <v>183851</v>
      </c>
      <c r="C25" s="2">
        <v>4465</v>
      </c>
      <c r="D25" s="2" t="s">
        <v>639</v>
      </c>
      <c r="E25" s="2" t="s">
        <v>707</v>
      </c>
      <c r="F25" s="2" t="s">
        <v>70</v>
      </c>
      <c r="G25" s="2" t="s">
        <v>70</v>
      </c>
      <c r="H25" s="2" t="s">
        <v>65</v>
      </c>
      <c r="I25" s="2" t="s">
        <v>61</v>
      </c>
      <c r="J25" s="2" t="s">
        <v>61</v>
      </c>
      <c r="K25" s="10">
        <v>3.4</v>
      </c>
      <c r="L25" s="10">
        <v>21345</v>
      </c>
      <c r="M25" s="10">
        <v>58181</v>
      </c>
      <c r="N25" s="10">
        <v>1.6</v>
      </c>
      <c r="O25" s="10">
        <v>201</v>
      </c>
      <c r="P25" s="10">
        <v>907</v>
      </c>
      <c r="Q25" s="2">
        <v>7.2</v>
      </c>
      <c r="R25" s="10">
        <v>0.2</v>
      </c>
      <c r="S25" s="2">
        <v>0.1</v>
      </c>
      <c r="T25" s="10">
        <v>1.4</v>
      </c>
      <c r="U25" s="10">
        <f t="shared" si="0"/>
        <v>12.399999999999999</v>
      </c>
      <c r="V25" s="10" t="str">
        <f t="shared" si="11"/>
        <v>1</v>
      </c>
      <c r="W25" s="75" t="str">
        <f t="shared" si="1"/>
        <v>1</v>
      </c>
      <c r="X25" s="10">
        <f t="shared" si="2"/>
        <v>1</v>
      </c>
      <c r="Y25" s="10">
        <v>54</v>
      </c>
      <c r="Z25" s="10">
        <v>13</v>
      </c>
      <c r="AA25" s="75">
        <f t="shared" si="3"/>
        <v>67</v>
      </c>
      <c r="AB25" s="10">
        <v>0.02</v>
      </c>
      <c r="AC25" s="10">
        <v>34.299999999999997</v>
      </c>
      <c r="AD25" s="11">
        <f t="shared" si="4"/>
        <v>1714.9999999999998</v>
      </c>
      <c r="AE25" s="10" t="str">
        <f t="shared" si="5"/>
        <v>1</v>
      </c>
      <c r="AF25" s="10" t="str">
        <f t="shared" si="6"/>
        <v>1</v>
      </c>
      <c r="AG25" s="10">
        <f t="shared" si="7"/>
        <v>1</v>
      </c>
      <c r="AH25" s="10">
        <v>21</v>
      </c>
      <c r="AI25" s="10" t="str">
        <f t="shared" si="8"/>
        <v>1</v>
      </c>
      <c r="AJ25" s="10">
        <v>3</v>
      </c>
      <c r="AK25" s="10"/>
      <c r="AL25" s="10"/>
      <c r="AM25" s="10"/>
      <c r="AN25" s="10"/>
      <c r="AO25" s="10"/>
      <c r="AP25" s="10"/>
      <c r="AQ25" s="10"/>
      <c r="AR25" s="10"/>
      <c r="AS25" s="10">
        <v>1</v>
      </c>
      <c r="AT25" s="10">
        <v>1</v>
      </c>
      <c r="AU25" s="10">
        <v>1</v>
      </c>
      <c r="AV25" s="10">
        <v>1</v>
      </c>
      <c r="AW25" s="10">
        <v>1</v>
      </c>
      <c r="AX25" s="10" t="s">
        <v>61</v>
      </c>
      <c r="AY25" s="10">
        <v>1</v>
      </c>
      <c r="AZ25" s="10">
        <v>1992</v>
      </c>
      <c r="BA25" s="10">
        <f t="shared" ca="1" si="9"/>
        <v>34</v>
      </c>
      <c r="BB25" s="10" t="str">
        <f t="shared" ca="1" si="13"/>
        <v>4</v>
      </c>
      <c r="BC25" s="76">
        <f t="shared" ca="1" si="12"/>
        <v>2.75</v>
      </c>
      <c r="BD25" s="10"/>
      <c r="BE25" s="62"/>
      <c r="BF25" s="10"/>
    </row>
    <row r="26" spans="1:58" x14ac:dyDescent="0.2">
      <c r="A26" s="63">
        <v>20026980</v>
      </c>
      <c r="B26" s="2">
        <v>201119</v>
      </c>
      <c r="C26" s="2">
        <v>1500</v>
      </c>
      <c r="D26" s="2" t="s">
        <v>309</v>
      </c>
      <c r="E26" s="2" t="s">
        <v>706</v>
      </c>
      <c r="F26" s="2" t="s">
        <v>58</v>
      </c>
      <c r="G26" s="2" t="s">
        <v>59</v>
      </c>
      <c r="H26" s="2" t="s">
        <v>65</v>
      </c>
      <c r="I26" s="2" t="s">
        <v>61</v>
      </c>
      <c r="J26" s="2" t="s">
        <v>61</v>
      </c>
      <c r="K26" s="10">
        <v>12.3</v>
      </c>
      <c r="L26" s="10">
        <v>2930</v>
      </c>
      <c r="M26" s="10">
        <v>68457</v>
      </c>
      <c r="N26" s="10">
        <v>15.5</v>
      </c>
      <c r="O26" s="10">
        <v>1240</v>
      </c>
      <c r="P26" s="10">
        <v>4132</v>
      </c>
      <c r="Q26" s="2">
        <v>32</v>
      </c>
      <c r="R26" s="10">
        <v>1.8</v>
      </c>
      <c r="S26" s="2">
        <v>0</v>
      </c>
      <c r="T26" s="10">
        <v>3.9</v>
      </c>
      <c r="U26" s="10">
        <f t="shared" si="0"/>
        <v>61.599999999999994</v>
      </c>
      <c r="V26" s="10" t="str">
        <f t="shared" si="11"/>
        <v>1</v>
      </c>
      <c r="W26" s="75" t="str">
        <f t="shared" si="1"/>
        <v>1</v>
      </c>
      <c r="X26" s="10">
        <f t="shared" si="2"/>
        <v>1</v>
      </c>
      <c r="Y26" s="10">
        <v>55</v>
      </c>
      <c r="Z26" s="10">
        <v>5</v>
      </c>
      <c r="AA26" s="75">
        <f t="shared" si="3"/>
        <v>60</v>
      </c>
      <c r="AB26" s="10">
        <v>0.02</v>
      </c>
      <c r="AC26" s="10">
        <v>43.1</v>
      </c>
      <c r="AD26" s="11">
        <f t="shared" si="4"/>
        <v>2155</v>
      </c>
      <c r="AE26" s="10" t="str">
        <f t="shared" si="5"/>
        <v>1</v>
      </c>
      <c r="AF26" s="10" t="str">
        <f t="shared" si="6"/>
        <v>1</v>
      </c>
      <c r="AG26" s="10">
        <f t="shared" si="7"/>
        <v>1</v>
      </c>
      <c r="AH26" s="10">
        <v>14</v>
      </c>
      <c r="AI26" s="10" t="str">
        <f t="shared" si="8"/>
        <v>1</v>
      </c>
      <c r="AJ26" s="10">
        <v>3</v>
      </c>
      <c r="AK26" s="10"/>
      <c r="AL26" s="10"/>
      <c r="AM26" s="10"/>
      <c r="AN26" s="10"/>
      <c r="AO26" s="10"/>
      <c r="AP26" s="10"/>
      <c r="AQ26" s="10"/>
      <c r="AR26" s="10"/>
      <c r="AS26" s="10">
        <v>1</v>
      </c>
      <c r="AT26" s="10">
        <v>1</v>
      </c>
      <c r="AU26" s="10">
        <v>1</v>
      </c>
      <c r="AV26" s="10">
        <v>1</v>
      </c>
      <c r="AW26" s="10">
        <v>1</v>
      </c>
      <c r="AX26" s="10" t="s">
        <v>61</v>
      </c>
      <c r="AY26" s="10">
        <v>1</v>
      </c>
      <c r="AZ26" s="10">
        <v>2012</v>
      </c>
      <c r="BA26" s="10">
        <f t="shared" ca="1" si="9"/>
        <v>14</v>
      </c>
      <c r="BB26" s="10" t="str">
        <f t="shared" ca="1" si="13"/>
        <v>2</v>
      </c>
      <c r="BC26" s="76">
        <f t="shared" ca="1" si="12"/>
        <v>2.25</v>
      </c>
      <c r="BD26" s="10"/>
      <c r="BE26" s="62"/>
      <c r="BF26" s="10"/>
    </row>
    <row r="27" spans="1:58" x14ac:dyDescent="0.2">
      <c r="A27" s="63">
        <v>20029067</v>
      </c>
      <c r="B27" s="2">
        <v>55440119</v>
      </c>
      <c r="C27" s="2">
        <v>1200</v>
      </c>
      <c r="D27" s="2" t="s">
        <v>351</v>
      </c>
      <c r="E27" s="2" t="s">
        <v>680</v>
      </c>
      <c r="F27" s="2" t="s">
        <v>58</v>
      </c>
      <c r="G27" s="2" t="s">
        <v>59</v>
      </c>
      <c r="H27" s="2" t="s">
        <v>65</v>
      </c>
      <c r="I27" s="2" t="s">
        <v>61</v>
      </c>
      <c r="J27" s="2" t="s">
        <v>61</v>
      </c>
      <c r="K27" s="10">
        <v>10.7</v>
      </c>
      <c r="L27" s="10">
        <v>1266</v>
      </c>
      <c r="M27" s="10">
        <v>73332</v>
      </c>
      <c r="N27" s="10">
        <v>20</v>
      </c>
      <c r="O27" s="10">
        <v>1270</v>
      </c>
      <c r="P27" s="10">
        <v>3439</v>
      </c>
      <c r="Q27" s="2">
        <v>8.9</v>
      </c>
      <c r="R27" s="10">
        <v>4.0999999999999996</v>
      </c>
      <c r="S27" s="2">
        <v>0</v>
      </c>
      <c r="T27" s="10">
        <v>11.7</v>
      </c>
      <c r="U27" s="10">
        <f t="shared" si="0"/>
        <v>43.7</v>
      </c>
      <c r="V27" s="10" t="str">
        <f t="shared" si="11"/>
        <v>1</v>
      </c>
      <c r="W27" s="75" t="str">
        <f t="shared" si="1"/>
        <v>1</v>
      </c>
      <c r="X27" s="10">
        <f t="shared" si="2"/>
        <v>1</v>
      </c>
      <c r="Y27" s="10">
        <v>56</v>
      </c>
      <c r="Z27" s="10">
        <v>10</v>
      </c>
      <c r="AA27" s="75">
        <f t="shared" si="3"/>
        <v>66</v>
      </c>
      <c r="AB27" s="10">
        <v>8.9999999999999993E-3</v>
      </c>
      <c r="AC27" s="10">
        <v>39.5</v>
      </c>
      <c r="AD27" s="11">
        <f t="shared" si="4"/>
        <v>4388.8888888888896</v>
      </c>
      <c r="AE27" s="10" t="str">
        <f t="shared" si="5"/>
        <v>1</v>
      </c>
      <c r="AF27" s="10" t="str">
        <f t="shared" si="6"/>
        <v>1</v>
      </c>
      <c r="AG27" s="10">
        <f t="shared" si="7"/>
        <v>1</v>
      </c>
      <c r="AH27" s="10">
        <v>14</v>
      </c>
      <c r="AI27" s="10" t="str">
        <f t="shared" si="8"/>
        <v>1</v>
      </c>
      <c r="AJ27" s="10">
        <v>3</v>
      </c>
      <c r="AK27" s="10"/>
      <c r="AL27" s="10"/>
      <c r="AM27" s="10"/>
      <c r="AN27" s="10"/>
      <c r="AO27" s="10"/>
      <c r="AP27" s="10"/>
      <c r="AQ27" s="10"/>
      <c r="AR27" s="10"/>
      <c r="AS27" s="10">
        <v>1</v>
      </c>
      <c r="AT27" s="10">
        <v>1</v>
      </c>
      <c r="AU27" s="10">
        <v>1</v>
      </c>
      <c r="AV27" s="10">
        <v>1</v>
      </c>
      <c r="AW27" s="10">
        <v>1</v>
      </c>
      <c r="AX27" s="10" t="s">
        <v>61</v>
      </c>
      <c r="AY27" s="10">
        <v>1</v>
      </c>
      <c r="AZ27" s="10">
        <v>2019</v>
      </c>
      <c r="BA27" s="10">
        <f t="shared" ca="1" si="9"/>
        <v>7</v>
      </c>
      <c r="BB27" s="10" t="str">
        <f t="shared" ca="1" si="13"/>
        <v>2</v>
      </c>
      <c r="BC27" s="76">
        <f t="shared" ca="1" si="12"/>
        <v>2.25</v>
      </c>
      <c r="BD27" s="10"/>
      <c r="BE27" s="62"/>
      <c r="BF27" s="10"/>
    </row>
    <row r="28" spans="1:58" x14ac:dyDescent="0.2">
      <c r="A28" s="63">
        <v>20058283</v>
      </c>
      <c r="B28" s="2">
        <v>201118</v>
      </c>
      <c r="C28" s="2">
        <v>2300</v>
      </c>
      <c r="D28" s="2" t="s">
        <v>501</v>
      </c>
      <c r="E28" s="2" t="s">
        <v>697</v>
      </c>
      <c r="F28" s="2" t="s">
        <v>125</v>
      </c>
      <c r="G28" s="2" t="s">
        <v>126</v>
      </c>
      <c r="H28" s="2" t="s">
        <v>65</v>
      </c>
      <c r="I28" s="2" t="s">
        <v>61</v>
      </c>
      <c r="J28" s="2" t="s">
        <v>61</v>
      </c>
      <c r="K28" s="10">
        <v>24</v>
      </c>
      <c r="L28" s="10">
        <v>402</v>
      </c>
      <c r="M28" s="10">
        <v>75900</v>
      </c>
      <c r="N28" s="10">
        <v>7.5</v>
      </c>
      <c r="O28" s="10">
        <v>572</v>
      </c>
      <c r="P28" s="10">
        <v>1410</v>
      </c>
      <c r="Q28" s="2">
        <v>0.7</v>
      </c>
      <c r="R28" s="10">
        <v>1.2</v>
      </c>
      <c r="S28" s="2">
        <v>0</v>
      </c>
      <c r="T28" s="10">
        <v>2</v>
      </c>
      <c r="U28" s="10">
        <f t="shared" si="0"/>
        <v>33.400000000000006</v>
      </c>
      <c r="V28" s="10" t="str">
        <f t="shared" si="11"/>
        <v>1</v>
      </c>
      <c r="W28" s="75" t="str">
        <f t="shared" si="1"/>
        <v>1</v>
      </c>
      <c r="X28" s="10">
        <f t="shared" si="2"/>
        <v>1</v>
      </c>
      <c r="Y28" s="10">
        <v>57</v>
      </c>
      <c r="Z28" s="10">
        <v>6</v>
      </c>
      <c r="AA28" s="75">
        <f t="shared" si="3"/>
        <v>63</v>
      </c>
      <c r="AB28" s="10">
        <v>0.02</v>
      </c>
      <c r="AC28" s="10">
        <v>45.4</v>
      </c>
      <c r="AD28" s="11">
        <f t="shared" si="4"/>
        <v>2270</v>
      </c>
      <c r="AE28" s="10" t="str">
        <f t="shared" si="5"/>
        <v>1</v>
      </c>
      <c r="AF28" s="10" t="str">
        <f t="shared" si="6"/>
        <v>1</v>
      </c>
      <c r="AG28" s="10">
        <f t="shared" si="7"/>
        <v>1</v>
      </c>
      <c r="AH28" s="10">
        <v>14</v>
      </c>
      <c r="AI28" s="10" t="str">
        <f t="shared" si="8"/>
        <v>1</v>
      </c>
      <c r="AJ28" s="10">
        <v>3</v>
      </c>
      <c r="AK28" s="10"/>
      <c r="AL28" s="10"/>
      <c r="AM28" s="10"/>
      <c r="AN28" s="10"/>
      <c r="AO28" s="10"/>
      <c r="AP28" s="10"/>
      <c r="AQ28" s="10"/>
      <c r="AR28" s="10"/>
      <c r="AS28" s="10">
        <v>1</v>
      </c>
      <c r="AT28" s="10">
        <v>1</v>
      </c>
      <c r="AU28" s="10">
        <v>1</v>
      </c>
      <c r="AV28" s="10">
        <v>1</v>
      </c>
      <c r="AW28" s="10">
        <v>1</v>
      </c>
      <c r="AX28" s="10" t="s">
        <v>61</v>
      </c>
      <c r="AY28" s="10">
        <v>1</v>
      </c>
      <c r="AZ28" s="10">
        <v>2012</v>
      </c>
      <c r="BA28" s="10">
        <f t="shared" ca="1" si="9"/>
        <v>14</v>
      </c>
      <c r="BB28" s="10" t="str">
        <f t="shared" ca="1" si="13"/>
        <v>2</v>
      </c>
      <c r="BC28" s="76">
        <f t="shared" ca="1" si="12"/>
        <v>2.25</v>
      </c>
      <c r="BD28" s="10"/>
      <c r="BE28" s="62"/>
      <c r="BF28" s="10"/>
    </row>
    <row r="29" spans="1:58" x14ac:dyDescent="0.2">
      <c r="A29" s="63"/>
      <c r="B29" s="2">
        <v>200883</v>
      </c>
      <c r="C29" s="2">
        <v>1300</v>
      </c>
      <c r="D29" s="2" t="s">
        <v>356</v>
      </c>
      <c r="E29" s="70" t="s">
        <v>742</v>
      </c>
      <c r="F29" s="2" t="s">
        <v>125</v>
      </c>
      <c r="G29" s="2" t="s">
        <v>148</v>
      </c>
      <c r="H29" s="2" t="s">
        <v>65</v>
      </c>
      <c r="I29" s="2" t="s">
        <v>61</v>
      </c>
      <c r="J29" s="2" t="s">
        <v>61</v>
      </c>
      <c r="K29" s="10">
        <v>244</v>
      </c>
      <c r="L29" s="10">
        <v>527</v>
      </c>
      <c r="M29" s="10">
        <v>71313</v>
      </c>
      <c r="N29" s="10">
        <v>12.7</v>
      </c>
      <c r="O29" s="10">
        <v>512</v>
      </c>
      <c r="P29" s="10">
        <v>1181</v>
      </c>
      <c r="Q29" s="2">
        <v>5.4</v>
      </c>
      <c r="R29" s="10">
        <v>2.6</v>
      </c>
      <c r="S29" s="2">
        <v>0</v>
      </c>
      <c r="T29" s="10">
        <v>4.4000000000000004</v>
      </c>
      <c r="U29" s="10">
        <f t="shared" si="0"/>
        <v>264.7</v>
      </c>
      <c r="V29" s="10" t="str">
        <f t="shared" si="11"/>
        <v>3</v>
      </c>
      <c r="W29" s="75" t="str">
        <f t="shared" si="1"/>
        <v>1</v>
      </c>
      <c r="X29" s="10">
        <f t="shared" si="2"/>
        <v>2</v>
      </c>
      <c r="Y29" s="10">
        <v>60</v>
      </c>
      <c r="Z29" s="10">
        <v>6</v>
      </c>
      <c r="AA29" s="75">
        <f t="shared" si="3"/>
        <v>66</v>
      </c>
      <c r="AB29" s="10">
        <v>0.02</v>
      </c>
      <c r="AC29" s="10">
        <v>42.5</v>
      </c>
      <c r="AD29" s="11">
        <f t="shared" si="4"/>
        <v>2125</v>
      </c>
      <c r="AE29" s="10" t="str">
        <f t="shared" si="5"/>
        <v>1</v>
      </c>
      <c r="AF29" s="10" t="str">
        <f t="shared" si="6"/>
        <v>1</v>
      </c>
      <c r="AG29" s="10">
        <f t="shared" si="7"/>
        <v>1</v>
      </c>
      <c r="AH29" s="10">
        <v>14</v>
      </c>
      <c r="AI29" s="10" t="str">
        <f t="shared" si="8"/>
        <v>1</v>
      </c>
      <c r="AJ29" s="10">
        <v>3</v>
      </c>
      <c r="AK29" s="10"/>
      <c r="AL29" s="10"/>
      <c r="AM29" s="10"/>
      <c r="AN29" s="10"/>
      <c r="AO29" s="10"/>
      <c r="AP29" s="10"/>
      <c r="AQ29" s="10"/>
      <c r="AR29" s="10"/>
      <c r="AS29" s="10">
        <v>1</v>
      </c>
      <c r="AT29" s="10">
        <v>1</v>
      </c>
      <c r="AU29" s="10">
        <v>1</v>
      </c>
      <c r="AV29" s="10">
        <v>1</v>
      </c>
      <c r="AW29" s="10">
        <v>1</v>
      </c>
      <c r="AX29" s="10" t="s">
        <v>61</v>
      </c>
      <c r="AY29" s="10">
        <v>1</v>
      </c>
      <c r="AZ29" s="10">
        <v>2010</v>
      </c>
      <c r="BA29" s="10">
        <f t="shared" ca="1" si="9"/>
        <v>16</v>
      </c>
      <c r="BB29" s="10" t="str">
        <f t="shared" ca="1" si="13"/>
        <v>2</v>
      </c>
      <c r="BC29" s="76">
        <f ca="1">(BB29+AY29+AT29+AR29+AJ29+AG29+X29)/4</f>
        <v>2.5</v>
      </c>
      <c r="BD29" s="10"/>
      <c r="BE29" s="62"/>
      <c r="BF29" s="10"/>
    </row>
    <row r="30" spans="1:58" ht="16" thickBot="1" x14ac:dyDescent="0.25">
      <c r="A30" s="86"/>
      <c r="B30" s="87" t="s">
        <v>798</v>
      </c>
      <c r="C30" s="87">
        <v>12000</v>
      </c>
      <c r="D30" s="87" t="s">
        <v>622</v>
      </c>
      <c r="E30" s="87" t="s">
        <v>716</v>
      </c>
      <c r="F30" s="87" t="s">
        <v>125</v>
      </c>
      <c r="G30" s="87" t="s">
        <v>148</v>
      </c>
      <c r="H30" s="87" t="s">
        <v>65</v>
      </c>
      <c r="I30" s="87" t="s">
        <v>61</v>
      </c>
      <c r="J30" s="87" t="s">
        <v>61</v>
      </c>
      <c r="K30" s="88"/>
      <c r="L30" s="88"/>
      <c r="M30" s="88"/>
      <c r="N30" s="88"/>
      <c r="O30" s="88"/>
      <c r="P30" s="88"/>
      <c r="Q30" s="87"/>
      <c r="R30" s="88"/>
      <c r="S30" s="87"/>
      <c r="T30" s="88"/>
      <c r="U30" s="88">
        <f t="shared" si="0"/>
        <v>0</v>
      </c>
      <c r="V30" s="88" t="str">
        <f t="shared" si="11"/>
        <v>1</v>
      </c>
      <c r="W30" s="85" t="str">
        <f t="shared" si="1"/>
        <v>1</v>
      </c>
      <c r="X30" s="10">
        <f t="shared" si="2"/>
        <v>1</v>
      </c>
      <c r="Y30" s="88"/>
      <c r="Z30" s="88"/>
      <c r="AA30" s="75">
        <f t="shared" si="3"/>
        <v>0</v>
      </c>
      <c r="AB30" s="88"/>
      <c r="AC30" s="88"/>
      <c r="AD30" s="11" t="e">
        <f t="shared" si="4"/>
        <v>#DIV/0!</v>
      </c>
      <c r="AE30" s="64" t="str">
        <f t="shared" si="5"/>
        <v>5</v>
      </c>
      <c r="AF30" s="64" t="e">
        <f t="shared" si="6"/>
        <v>#DIV/0!</v>
      </c>
      <c r="AG30" s="64" t="e">
        <f t="shared" si="7"/>
        <v>#DIV/0!</v>
      </c>
      <c r="AH30" s="88"/>
      <c r="AI30" s="88" t="str">
        <f t="shared" si="8"/>
        <v>1</v>
      </c>
      <c r="AJ30" s="10">
        <v>3</v>
      </c>
      <c r="AK30" s="88"/>
      <c r="AL30" s="88"/>
      <c r="AM30" s="88"/>
      <c r="AN30" s="88"/>
      <c r="AO30" s="88"/>
      <c r="AP30" s="88"/>
      <c r="AQ30" s="88"/>
      <c r="AR30" s="88"/>
      <c r="AS30" s="64">
        <v>1</v>
      </c>
      <c r="AT30" s="64">
        <v>1</v>
      </c>
      <c r="AU30" s="64">
        <v>1</v>
      </c>
      <c r="AV30" s="64">
        <v>1</v>
      </c>
      <c r="AW30" s="64">
        <v>1</v>
      </c>
      <c r="AX30" s="64" t="s">
        <v>61</v>
      </c>
      <c r="AY30" s="64">
        <v>1</v>
      </c>
      <c r="AZ30" s="88">
        <v>1996</v>
      </c>
      <c r="BA30" s="64">
        <f t="shared" ca="1" si="9"/>
        <v>30</v>
      </c>
      <c r="BB30" s="64" t="str">
        <f t="shared" ca="1" si="13"/>
        <v>3</v>
      </c>
      <c r="BC30" s="76" t="e">
        <f ca="1">(BB30+AY30+AT30+AR30+AJ30+AG30+X30)/4</f>
        <v>#DIV/0!</v>
      </c>
      <c r="BD30" s="88"/>
      <c r="BE30" s="89"/>
      <c r="BF30" s="88"/>
    </row>
    <row r="31" spans="1:58" ht="16" thickBot="1" x14ac:dyDescent="0.25">
      <c r="B31" s="61">
        <v>1060248948</v>
      </c>
      <c r="C31" s="61">
        <v>1500</v>
      </c>
      <c r="D31" s="61" t="s">
        <v>460</v>
      </c>
      <c r="E31" s="61" t="s">
        <v>975</v>
      </c>
      <c r="F31" s="61" t="s">
        <v>58</v>
      </c>
      <c r="G31" s="61" t="s">
        <v>59</v>
      </c>
      <c r="K31" s="61">
        <v>3.6</v>
      </c>
      <c r="L31" s="61">
        <v>4031</v>
      </c>
      <c r="M31" s="61">
        <v>67156</v>
      </c>
      <c r="N31" s="61">
        <v>16.3</v>
      </c>
      <c r="O31" s="61">
        <v>1230</v>
      </c>
      <c r="P31" s="61">
        <v>4267</v>
      </c>
      <c r="Q31" s="61">
        <v>8.9</v>
      </c>
      <c r="R31" s="61">
        <v>2.7</v>
      </c>
      <c r="S31" s="61">
        <v>0</v>
      </c>
      <c r="T31" s="61">
        <v>9.4</v>
      </c>
      <c r="U31" s="88">
        <f t="shared" si="0"/>
        <v>31.500000000000004</v>
      </c>
      <c r="V31" s="88" t="str">
        <f t="shared" si="11"/>
        <v>1</v>
      </c>
      <c r="W31" s="85" t="str">
        <f t="shared" si="1"/>
        <v>1</v>
      </c>
      <c r="X31" s="10">
        <f t="shared" si="2"/>
        <v>1</v>
      </c>
      <c r="Y31" s="61">
        <v>46</v>
      </c>
      <c r="Z31" s="61">
        <v>15</v>
      </c>
      <c r="AA31" s="75">
        <f t="shared" si="3"/>
        <v>61</v>
      </c>
      <c r="AB31" s="61">
        <v>0.02</v>
      </c>
      <c r="AC31" s="61">
        <v>41.4</v>
      </c>
      <c r="AD31" s="11">
        <f t="shared" si="4"/>
        <v>2070</v>
      </c>
      <c r="AE31" s="64" t="str">
        <f t="shared" si="5"/>
        <v>1</v>
      </c>
      <c r="AF31" s="64" t="str">
        <f t="shared" si="6"/>
        <v>1</v>
      </c>
      <c r="AG31" s="64">
        <f t="shared" si="7"/>
        <v>1</v>
      </c>
      <c r="AH31" s="61">
        <v>14</v>
      </c>
      <c r="AI31" s="88" t="str">
        <f t="shared" si="8"/>
        <v>1</v>
      </c>
      <c r="AJ31" s="10">
        <v>3</v>
      </c>
      <c r="AY31" s="61">
        <v>1</v>
      </c>
    </row>
    <row r="39" spans="13:13" x14ac:dyDescent="0.2">
      <c r="M39" s="61" t="s">
        <v>719</v>
      </c>
    </row>
  </sheetData>
  <autoFilter ref="A2:BG31" xr:uid="{3665FEA8-4F08-E446-BF9D-E3E3FF58E88A}"/>
  <mergeCells count="4">
    <mergeCell ref="K1:T1"/>
    <mergeCell ref="Y1:AD1"/>
    <mergeCell ref="AK1:AP1"/>
    <mergeCell ref="AU1:AX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filterMode="1"/>
  <dimension ref="A1:BS480"/>
  <sheetViews>
    <sheetView zoomScale="70" zoomScaleNormal="70" workbookViewId="0">
      <selection activeCell="A207" sqref="A207"/>
    </sheetView>
  </sheetViews>
  <sheetFormatPr baseColWidth="10" defaultColWidth="10.83203125" defaultRowHeight="15" x14ac:dyDescent="0.2"/>
  <cols>
    <col min="1" max="1" width="21.33203125" style="13" bestFit="1" customWidth="1"/>
    <col min="2" max="2" width="16.5" style="13" bestFit="1" customWidth="1"/>
    <col min="3" max="3" width="15.1640625" style="13" bestFit="1" customWidth="1"/>
    <col min="4" max="4" width="7.33203125" style="13" bestFit="1" customWidth="1"/>
    <col min="5" max="5" width="27.1640625" style="13" bestFit="1" customWidth="1"/>
    <col min="6" max="6" width="15.1640625" style="13" bestFit="1" customWidth="1"/>
    <col min="7" max="7" width="10.6640625" style="13" bestFit="1" customWidth="1"/>
    <col min="8" max="8" width="15.5" style="13" bestFit="1" customWidth="1"/>
    <col min="9" max="9" width="14.83203125" style="13" bestFit="1" customWidth="1"/>
    <col min="10" max="10" width="13" style="13" bestFit="1" customWidth="1"/>
    <col min="11" max="11" width="12.33203125" style="13" bestFit="1" customWidth="1"/>
    <col min="12" max="12" width="30.6640625" style="13" bestFit="1" customWidth="1"/>
    <col min="13" max="13" width="33.33203125" style="13" bestFit="1" customWidth="1"/>
    <col min="14" max="14" width="31.33203125" style="13" bestFit="1" customWidth="1"/>
    <col min="15" max="15" width="6.33203125" style="13" bestFit="1" customWidth="1"/>
    <col min="16" max="17" width="6" style="13" bestFit="1" customWidth="1"/>
    <col min="18" max="19" width="5.33203125" style="13" bestFit="1" customWidth="1"/>
    <col min="20" max="20" width="6.1640625" style="13" bestFit="1" customWidth="1"/>
    <col min="21" max="21" width="7.33203125" style="13" bestFit="1" customWidth="1"/>
    <col min="22" max="22" width="5.33203125" style="13" bestFit="1" customWidth="1"/>
    <col min="23" max="23" width="8" style="13" bestFit="1" customWidth="1"/>
    <col min="24" max="24" width="18.33203125" style="13" bestFit="1" customWidth="1"/>
    <col min="25" max="25" width="17.83203125" style="13" bestFit="1" customWidth="1"/>
    <col min="26" max="26" width="12.33203125" style="13" bestFit="1" customWidth="1"/>
    <col min="27" max="27" width="19" style="13" bestFit="1" customWidth="1"/>
    <col min="28" max="28" width="21.33203125" style="13" bestFit="1" customWidth="1"/>
    <col min="29" max="29" width="27.6640625" style="13" bestFit="1" customWidth="1"/>
    <col min="30" max="30" width="20.1640625" style="13" bestFit="1" customWidth="1"/>
    <col min="31" max="31" width="12" style="13" bestFit="1" customWidth="1"/>
    <col min="32" max="32" width="20.33203125" style="13" bestFit="1" customWidth="1"/>
    <col min="33" max="33" width="15.1640625" style="13" bestFit="1" customWidth="1"/>
    <col min="34" max="34" width="12.33203125" style="13" bestFit="1" customWidth="1"/>
    <col min="35" max="35" width="11.33203125" style="13" bestFit="1" customWidth="1"/>
    <col min="36" max="36" width="24.83203125" style="13" bestFit="1" customWidth="1"/>
    <col min="37" max="37" width="20" style="13" bestFit="1" customWidth="1"/>
    <col min="38" max="38" width="27.5" style="13" bestFit="1" customWidth="1"/>
    <col min="39" max="39" width="22.6640625" style="13" bestFit="1" customWidth="1"/>
    <col min="40" max="40" width="25.5" style="13" bestFit="1" customWidth="1"/>
    <col min="41" max="41" width="20.1640625" style="13" bestFit="1" customWidth="1"/>
    <col min="42" max="42" width="13.83203125" style="13" bestFit="1" customWidth="1"/>
    <col min="43" max="43" width="25.6640625" style="13" bestFit="1" customWidth="1"/>
    <col min="44" max="44" width="6.5" style="13" bestFit="1" customWidth="1"/>
    <col min="45" max="45" width="12.33203125" style="13" bestFit="1" customWidth="1"/>
    <col min="46" max="46" width="12.1640625" style="13" bestFit="1" customWidth="1"/>
    <col min="47" max="47" width="14.6640625" style="13" bestFit="1" customWidth="1"/>
    <col min="48" max="48" width="9.5" style="13" bestFit="1" customWidth="1"/>
    <col min="49" max="49" width="5.33203125" style="13" bestFit="1" customWidth="1"/>
    <col min="50" max="50" width="14" style="13" bestFit="1" customWidth="1"/>
    <col min="51" max="51" width="20" style="13" bestFit="1" customWidth="1"/>
    <col min="52" max="52" width="5.6640625" style="13" bestFit="1" customWidth="1"/>
    <col min="53" max="53" width="18.33203125" style="13" bestFit="1" customWidth="1"/>
    <col min="54" max="54" width="11.1640625" style="13" bestFit="1" customWidth="1"/>
    <col min="55" max="55" width="51.33203125" style="13" bestFit="1" customWidth="1"/>
    <col min="56" max="56" width="61.33203125" style="13" bestFit="1" customWidth="1"/>
    <col min="57" max="57" width="187.1640625" style="13" bestFit="1" customWidth="1"/>
    <col min="58" max="58" width="18.6640625" style="13" bestFit="1" customWidth="1"/>
    <col min="59" max="59" width="13.83203125" style="13" bestFit="1" customWidth="1"/>
    <col min="60" max="60" width="12.83203125" style="13" bestFit="1" customWidth="1"/>
    <col min="61" max="61" width="7" style="13" bestFit="1" customWidth="1"/>
    <col min="62" max="62" width="8" style="13" bestFit="1" customWidth="1"/>
    <col min="63" max="63" width="16.1640625" style="13" bestFit="1" customWidth="1"/>
    <col min="64" max="64" width="18.6640625" style="13" bestFit="1" customWidth="1"/>
    <col min="65" max="65" width="13.83203125" style="13" bestFit="1" customWidth="1"/>
    <col min="66" max="66" width="5.6640625" style="13" bestFit="1" customWidth="1"/>
    <col min="67" max="67" width="13.83203125" style="13" bestFit="1" customWidth="1"/>
    <col min="68" max="68" width="16.1640625" style="13" bestFit="1" customWidth="1"/>
    <col min="69" max="69" width="18.6640625" style="13" bestFit="1" customWidth="1"/>
    <col min="70" max="70" width="13.83203125" style="13" bestFit="1" customWidth="1"/>
    <col min="71" max="71" width="5.6640625" style="13" bestFit="1" customWidth="1"/>
    <col min="72" max="16384" width="10.83203125" style="13"/>
  </cols>
  <sheetData>
    <row r="1" spans="1:63" x14ac:dyDescent="0.2">
      <c r="P1" s="124" t="s">
        <v>84</v>
      </c>
      <c r="Q1" s="124"/>
      <c r="R1" s="124"/>
      <c r="S1" s="124"/>
      <c r="T1" s="124"/>
      <c r="U1" s="124"/>
      <c r="V1" s="124"/>
      <c r="W1" s="14"/>
      <c r="X1" s="14" t="s">
        <v>85</v>
      </c>
      <c r="Y1" s="14" t="s">
        <v>86</v>
      </c>
      <c r="Z1" s="14" t="s">
        <v>87</v>
      </c>
      <c r="AA1" s="124" t="s">
        <v>88</v>
      </c>
      <c r="AB1" s="124"/>
      <c r="AC1" s="124"/>
      <c r="AD1" s="124"/>
      <c r="AE1" s="124"/>
      <c r="AF1" s="13" t="s">
        <v>89</v>
      </c>
      <c r="AG1" s="13" t="s">
        <v>90</v>
      </c>
      <c r="AH1" s="13" t="s">
        <v>87</v>
      </c>
      <c r="AJ1" s="124" t="s">
        <v>91</v>
      </c>
      <c r="AK1" s="124"/>
      <c r="AL1" s="124"/>
      <c r="AM1" s="124"/>
      <c r="AN1" s="124"/>
      <c r="AO1" s="124"/>
      <c r="AP1" s="13" t="s">
        <v>92</v>
      </c>
      <c r="AQ1" s="13" t="s">
        <v>44</v>
      </c>
      <c r="AS1" s="13" t="s">
        <v>87</v>
      </c>
      <c r="AT1" s="124" t="s">
        <v>93</v>
      </c>
      <c r="AU1" s="124"/>
      <c r="AV1" s="124"/>
      <c r="AW1" s="124"/>
      <c r="AX1" s="13" t="s">
        <v>87</v>
      </c>
      <c r="BA1" s="13" t="s">
        <v>94</v>
      </c>
    </row>
    <row r="2" spans="1:63" x14ac:dyDescent="0.2">
      <c r="A2" s="1" t="s">
        <v>0</v>
      </c>
      <c r="B2" s="1" t="s">
        <v>1</v>
      </c>
      <c r="C2" s="1" t="s">
        <v>2</v>
      </c>
      <c r="D2" s="1" t="s">
        <v>72</v>
      </c>
      <c r="E2" s="1" t="s">
        <v>3</v>
      </c>
      <c r="F2" s="1" t="s">
        <v>4</v>
      </c>
      <c r="G2" s="1" t="s">
        <v>5</v>
      </c>
      <c r="H2" s="1" t="s">
        <v>6</v>
      </c>
      <c r="I2" s="1" t="s">
        <v>11</v>
      </c>
      <c r="J2" s="1" t="s">
        <v>12</v>
      </c>
      <c r="K2" s="1" t="s">
        <v>13</v>
      </c>
      <c r="L2" s="1" t="s">
        <v>7</v>
      </c>
      <c r="M2" s="1" t="s">
        <v>8</v>
      </c>
      <c r="N2" s="1" t="s">
        <v>9</v>
      </c>
      <c r="O2" s="1" t="s">
        <v>10</v>
      </c>
      <c r="P2" s="1" t="s">
        <v>14</v>
      </c>
      <c r="Q2" s="1" t="s">
        <v>15</v>
      </c>
      <c r="R2" s="1" t="s">
        <v>16</v>
      </c>
      <c r="S2" s="1" t="s">
        <v>17</v>
      </c>
      <c r="T2" s="1" t="s">
        <v>19</v>
      </c>
      <c r="U2" s="1" t="s">
        <v>20</v>
      </c>
      <c r="V2" s="1" t="s">
        <v>24</v>
      </c>
      <c r="W2" s="1" t="s">
        <v>18</v>
      </c>
      <c r="X2" s="1" t="s">
        <v>18</v>
      </c>
      <c r="Y2" s="1" t="s">
        <v>24</v>
      </c>
      <c r="Z2" s="1" t="s">
        <v>95</v>
      </c>
      <c r="AA2" s="1" t="s">
        <v>27</v>
      </c>
      <c r="AB2" s="1" t="s">
        <v>28</v>
      </c>
      <c r="AC2" s="1" t="s">
        <v>29</v>
      </c>
      <c r="AD2" s="1" t="s">
        <v>30</v>
      </c>
      <c r="AE2" s="1" t="s">
        <v>31</v>
      </c>
      <c r="AF2" s="1" t="s">
        <v>27</v>
      </c>
      <c r="AG2" s="1" t="s">
        <v>31</v>
      </c>
      <c r="AH2" s="1" t="s">
        <v>96</v>
      </c>
      <c r="AI2" s="1" t="s">
        <v>97</v>
      </c>
      <c r="AJ2" s="1" t="s">
        <v>37</v>
      </c>
      <c r="AK2" s="1" t="s">
        <v>38</v>
      </c>
      <c r="AL2" s="1" t="s">
        <v>39</v>
      </c>
      <c r="AM2" s="1" t="s">
        <v>40</v>
      </c>
      <c r="AN2" s="1" t="s">
        <v>41</v>
      </c>
      <c r="AO2" s="1" t="s">
        <v>42</v>
      </c>
      <c r="AP2" s="1" t="s">
        <v>43</v>
      </c>
      <c r="AQ2" s="1" t="s">
        <v>43</v>
      </c>
      <c r="AR2" s="1" t="s">
        <v>98</v>
      </c>
      <c r="AS2" s="1" t="s">
        <v>98</v>
      </c>
      <c r="AT2" s="1" t="s">
        <v>45</v>
      </c>
      <c r="AU2" s="1" t="s">
        <v>46</v>
      </c>
      <c r="AV2" s="1" t="s">
        <v>47</v>
      </c>
      <c r="AW2" s="1" t="s">
        <v>48</v>
      </c>
      <c r="AX2" s="1" t="s">
        <v>99</v>
      </c>
      <c r="AY2" s="1" t="s">
        <v>50</v>
      </c>
      <c r="AZ2" s="1" t="s">
        <v>51</v>
      </c>
      <c r="BA2" s="1" t="s">
        <v>51</v>
      </c>
      <c r="BB2" s="1" t="s">
        <v>54</v>
      </c>
      <c r="BC2" s="1" t="s">
        <v>55</v>
      </c>
      <c r="BD2" s="1" t="s">
        <v>56</v>
      </c>
      <c r="BE2" s="1" t="s">
        <v>57</v>
      </c>
      <c r="BF2" s="15" t="s">
        <v>100</v>
      </c>
      <c r="BG2" s="15" t="s">
        <v>101</v>
      </c>
      <c r="BH2" s="16" t="s">
        <v>97</v>
      </c>
      <c r="BI2" s="1" t="s">
        <v>102</v>
      </c>
      <c r="BJ2" s="1" t="s">
        <v>103</v>
      </c>
      <c r="BK2" s="1" t="s">
        <v>104</v>
      </c>
    </row>
    <row r="3" spans="1:63" ht="64" hidden="1" x14ac:dyDescent="0.2">
      <c r="A3" s="2">
        <v>20026566</v>
      </c>
      <c r="B3" s="2">
        <v>64999953</v>
      </c>
      <c r="C3" s="2">
        <v>2000</v>
      </c>
      <c r="D3" s="2" t="s">
        <v>73</v>
      </c>
      <c r="E3" s="2" t="s">
        <v>74</v>
      </c>
      <c r="F3" s="2" t="s">
        <v>75</v>
      </c>
      <c r="G3" s="2" t="s">
        <v>58</v>
      </c>
      <c r="H3" s="2" t="s">
        <v>59</v>
      </c>
      <c r="I3" s="2" t="s">
        <v>65</v>
      </c>
      <c r="J3" s="2" t="s">
        <v>61</v>
      </c>
      <c r="K3" s="2" t="s">
        <v>66</v>
      </c>
      <c r="L3" s="2" t="s">
        <v>76</v>
      </c>
      <c r="M3" s="2" t="s">
        <v>60</v>
      </c>
      <c r="N3" s="2" t="s">
        <v>61</v>
      </c>
      <c r="O3" s="2" t="s">
        <v>77</v>
      </c>
      <c r="P3" s="2">
        <v>1.3</v>
      </c>
      <c r="Q3" s="2">
        <v>2.2000000000000002</v>
      </c>
      <c r="R3" s="2">
        <v>0.4</v>
      </c>
      <c r="S3" s="2">
        <v>0.4</v>
      </c>
      <c r="T3" s="2">
        <v>51</v>
      </c>
      <c r="U3" s="2">
        <v>161</v>
      </c>
      <c r="V3" s="2">
        <v>0</v>
      </c>
      <c r="W3" s="2">
        <f t="shared" ref="W3:W34" si="0">(P3+Q3+T3+R3+S3+U3)</f>
        <v>216.3</v>
      </c>
      <c r="X3" s="2" t="str">
        <f>IF(W3&gt;=23546,"5",IF(W3&gt;=14870,"4",IF(W3&gt;=6185,"3",IF(W3&gt;=3943,"2","1"))))</f>
        <v>1</v>
      </c>
      <c r="Y3" s="2" t="str">
        <f t="shared" ref="Y3:Y34" si="1">IF(V3&gt;=16,"5",IF(V3&gt;=15,"4",IF(V3&gt;=12,"3",IF(V3&gt;=7,"2","1"))))</f>
        <v>1</v>
      </c>
      <c r="Z3" s="3">
        <f>(X3+Y3)/2</f>
        <v>1</v>
      </c>
      <c r="AA3" s="2">
        <v>38</v>
      </c>
      <c r="AB3" s="2">
        <v>16</v>
      </c>
      <c r="AC3" s="2">
        <v>1.2E-2</v>
      </c>
      <c r="AD3" s="2">
        <v>35.299999999999997</v>
      </c>
      <c r="AE3" s="17">
        <f>AD3/AC3</f>
        <v>2941.6666666666665</v>
      </c>
      <c r="AF3" s="2" t="str">
        <f>IF(AA3&lt;=19,"5",IF(AA3&lt;=23,"4",IF(AA3&lt;=27,"3",IF(AA3&lt;=33,"2","1"))))</f>
        <v>1</v>
      </c>
      <c r="AG3" s="2" t="str">
        <f>IF(AE3&lt;=513,"5",IF(AE3&lt;=799,"4",IF(AE3&lt;=930,"3",IF(AE3&lt;=1499,"2","1"))))</f>
        <v>1</v>
      </c>
      <c r="AH3" s="3">
        <f>(AF3+AG3)/2</f>
        <v>1</v>
      </c>
      <c r="AI3" s="2">
        <v>1</v>
      </c>
      <c r="AJ3" s="2">
        <v>33.47</v>
      </c>
      <c r="AK3" s="2">
        <v>13.86</v>
      </c>
      <c r="AL3" s="2">
        <v>83.67</v>
      </c>
      <c r="AM3" s="2">
        <v>36</v>
      </c>
      <c r="AN3" s="2" t="s">
        <v>61</v>
      </c>
      <c r="AO3" s="2" t="s">
        <v>61</v>
      </c>
      <c r="AP3" s="18">
        <v>43.03</v>
      </c>
      <c r="AQ3" s="19" t="str">
        <f>IF(AP3&lt;70,"1",IF(AP3&lt;=80,"2",IF(AP3&lt;=90,"3",IF(AP3&lt;=100,"4","5"))))</f>
        <v>1</v>
      </c>
      <c r="AR3" s="2" t="s">
        <v>61</v>
      </c>
      <c r="AS3" s="2">
        <v>1</v>
      </c>
      <c r="AT3" s="2">
        <v>1</v>
      </c>
      <c r="AU3" s="2">
        <v>1</v>
      </c>
      <c r="AV3" s="2">
        <v>1</v>
      </c>
      <c r="AW3" s="2" t="s">
        <v>61</v>
      </c>
      <c r="AX3" s="2">
        <v>1</v>
      </c>
      <c r="AY3" s="2">
        <v>1983</v>
      </c>
      <c r="AZ3" s="2">
        <f>2024-AY3</f>
        <v>41</v>
      </c>
      <c r="BA3" s="2" t="str">
        <f>IF(AZ3&gt;=36,"5",IF(AZ3&gt;=31,"4",IF(AZ3&gt;=21,"3",IF(AZ3&gt;=7,"2","1"))))</f>
        <v>5</v>
      </c>
      <c r="BB3" s="3">
        <f>(BA3+AX3+AS3+AQ3+AI3+AH3+Z3)/7</f>
        <v>1.5714285714285714</v>
      </c>
      <c r="BC3" s="2" t="s">
        <v>105</v>
      </c>
      <c r="BD3" s="8" t="s">
        <v>106</v>
      </c>
      <c r="BE3" s="2"/>
      <c r="BF3" s="2"/>
      <c r="BG3" s="2"/>
      <c r="BH3" s="2"/>
      <c r="BI3" s="2">
        <v>12188</v>
      </c>
      <c r="BJ3" s="2">
        <v>52054</v>
      </c>
      <c r="BK3" s="2">
        <v>0</v>
      </c>
    </row>
    <row r="4" spans="1:63" ht="64" hidden="1" x14ac:dyDescent="0.2">
      <c r="A4" s="2">
        <v>20026576</v>
      </c>
      <c r="B4" s="2" t="s">
        <v>78</v>
      </c>
      <c r="C4" s="2">
        <v>6500</v>
      </c>
      <c r="D4" s="2" t="s">
        <v>73</v>
      </c>
      <c r="E4" s="2" t="s">
        <v>79</v>
      </c>
      <c r="F4" s="2" t="s">
        <v>80</v>
      </c>
      <c r="G4" s="2" t="s">
        <v>58</v>
      </c>
      <c r="H4" s="2" t="s">
        <v>64</v>
      </c>
      <c r="I4" s="2" t="s">
        <v>81</v>
      </c>
      <c r="J4" s="2" t="s">
        <v>82</v>
      </c>
      <c r="K4" s="2" t="s">
        <v>66</v>
      </c>
      <c r="L4" s="2" t="s">
        <v>76</v>
      </c>
      <c r="M4" s="2" t="s">
        <v>60</v>
      </c>
      <c r="N4" s="2" t="s">
        <v>61</v>
      </c>
      <c r="O4" s="2" t="s">
        <v>83</v>
      </c>
      <c r="P4" s="2">
        <v>12.1</v>
      </c>
      <c r="Q4" s="2">
        <v>2.2999999999999998</v>
      </c>
      <c r="R4" s="2">
        <v>0.6</v>
      </c>
      <c r="S4" s="2">
        <v>0.3</v>
      </c>
      <c r="T4" s="2">
        <v>156</v>
      </c>
      <c r="U4" s="2">
        <v>523</v>
      </c>
      <c r="V4" s="2">
        <v>0.3</v>
      </c>
      <c r="W4" s="2">
        <f t="shared" si="0"/>
        <v>694.3</v>
      </c>
      <c r="X4" s="2" t="str">
        <f t="shared" ref="X4:X68" si="2">IF(W4&gt;=23546,"5",IF(W4&gt;=14870,"4",IF(W4&gt;=6185,"3",IF(W4&gt;=3943,"2","1"))))</f>
        <v>1</v>
      </c>
      <c r="Y4" s="2" t="str">
        <f t="shared" si="1"/>
        <v>1</v>
      </c>
      <c r="Z4" s="3">
        <f t="shared" ref="Z4:Z68" si="3">(X4+Y4)/2</f>
        <v>1</v>
      </c>
      <c r="AA4" s="2">
        <v>46</v>
      </c>
      <c r="AB4" s="2">
        <v>12</v>
      </c>
      <c r="AC4" s="2">
        <v>1E-3</v>
      </c>
      <c r="AD4" s="2">
        <v>46</v>
      </c>
      <c r="AE4" s="2">
        <f t="shared" ref="AE4:AE68" si="4">AD4/AC4</f>
        <v>46000</v>
      </c>
      <c r="AF4" s="2" t="str">
        <f t="shared" ref="AF4:AF68" si="5">IF(AA4&lt;=19,"5",IF(AA4&lt;=23,"4",IF(AA4&lt;=27,"3",IF(AA4&lt;=33,"2","1"))))</f>
        <v>1</v>
      </c>
      <c r="AG4" s="2" t="str">
        <f t="shared" ref="AG4:AG68" si="6">IF(AE4&lt;=513,"5",IF(AE4&lt;=799,"4",IF(AE4&lt;=930,"3",IF(AE4&lt;=1499,"2","1"))))</f>
        <v>1</v>
      </c>
      <c r="AH4" s="3">
        <f t="shared" ref="AH4:AH68" si="7">(AF4+AG4)/2</f>
        <v>1</v>
      </c>
      <c r="AI4" s="2">
        <v>1</v>
      </c>
      <c r="AJ4" s="2">
        <v>108.77</v>
      </c>
      <c r="AK4" s="2">
        <f>AJ4*0.85</f>
        <v>92.454499999999996</v>
      </c>
      <c r="AL4" s="2">
        <v>271.89999999999998</v>
      </c>
      <c r="AM4" s="2">
        <f>AL4*0.85</f>
        <v>231.11499999999998</v>
      </c>
      <c r="AN4" s="2" t="s">
        <v>61</v>
      </c>
      <c r="AO4" s="2" t="s">
        <v>61</v>
      </c>
      <c r="AP4" s="2">
        <v>85</v>
      </c>
      <c r="AQ4" s="19" t="str">
        <f t="shared" ref="AQ4:AQ68" si="8">IF(AP4&lt;70,"1",IF(AP4&lt;=80,"2",IF(AP4&lt;=90,"3",IF(AP4&lt;=100,"4","5"))))</f>
        <v>3</v>
      </c>
      <c r="AR4" s="2">
        <v>1</v>
      </c>
      <c r="AS4" s="2">
        <v>1</v>
      </c>
      <c r="AT4" s="2">
        <v>1</v>
      </c>
      <c r="AU4" s="2">
        <v>1</v>
      </c>
      <c r="AV4" s="2">
        <v>1</v>
      </c>
      <c r="AW4" s="2" t="s">
        <v>61</v>
      </c>
      <c r="AX4" s="2">
        <v>1</v>
      </c>
      <c r="AY4" s="2">
        <v>2022</v>
      </c>
      <c r="AZ4" s="2">
        <f t="shared" ref="AZ4:AZ68" si="9">2024-AY4</f>
        <v>2</v>
      </c>
      <c r="BA4" s="2" t="str">
        <f t="shared" ref="BA4:BA68" si="10">IF(AZ4&gt;=36,"5",IF(AZ4&gt;=31,"4",IF(AZ4&gt;=21,"3",IF(AZ4&gt;=7,"2","1"))))</f>
        <v>1</v>
      </c>
      <c r="BB4" s="3">
        <f>(BA4+AX4+AS4+AQ4+AI4+AH4+Z4)/7</f>
        <v>1.2857142857142858</v>
      </c>
      <c r="BC4" s="2" t="s">
        <v>107</v>
      </c>
      <c r="BD4" s="8" t="s">
        <v>108</v>
      </c>
      <c r="BE4" s="2"/>
      <c r="BF4" s="2"/>
      <c r="BG4" s="2"/>
      <c r="BH4" s="2"/>
      <c r="BI4" s="2">
        <v>11309</v>
      </c>
      <c r="BJ4" s="2">
        <v>79632</v>
      </c>
      <c r="BK4" s="2">
        <v>0.6</v>
      </c>
    </row>
    <row r="5" spans="1:63" ht="32" hidden="1" x14ac:dyDescent="0.2">
      <c r="A5" s="2">
        <v>20016578</v>
      </c>
      <c r="B5" s="2">
        <v>71842703</v>
      </c>
      <c r="C5" s="2">
        <v>500</v>
      </c>
      <c r="D5" s="2" t="s">
        <v>73</v>
      </c>
      <c r="E5" s="2" t="s">
        <v>109</v>
      </c>
      <c r="F5" s="2" t="s">
        <v>110</v>
      </c>
      <c r="G5" s="2" t="s">
        <v>70</v>
      </c>
      <c r="H5" s="2" t="s">
        <v>70</v>
      </c>
      <c r="I5" s="2" t="s">
        <v>65</v>
      </c>
      <c r="J5" s="2" t="s">
        <v>61</v>
      </c>
      <c r="K5" s="2" t="s">
        <v>66</v>
      </c>
      <c r="L5" s="2" t="s">
        <v>76</v>
      </c>
      <c r="M5" s="2" t="s">
        <v>60</v>
      </c>
      <c r="N5" s="2" t="s">
        <v>61</v>
      </c>
      <c r="O5" s="2" t="s">
        <v>77</v>
      </c>
      <c r="P5" s="2">
        <v>2.6</v>
      </c>
      <c r="Q5" s="2">
        <v>2.8</v>
      </c>
      <c r="R5" s="2">
        <v>5.5</v>
      </c>
      <c r="S5" s="2">
        <v>0.4</v>
      </c>
      <c r="T5" s="2">
        <v>271</v>
      </c>
      <c r="U5" s="2">
        <v>1959</v>
      </c>
      <c r="V5" s="2">
        <v>0.2</v>
      </c>
      <c r="W5" s="2">
        <f t="shared" si="0"/>
        <v>2241.3000000000002</v>
      </c>
      <c r="X5" s="2" t="str">
        <f t="shared" si="2"/>
        <v>1</v>
      </c>
      <c r="Y5" s="2" t="str">
        <f t="shared" si="1"/>
        <v>1</v>
      </c>
      <c r="Z5" s="3">
        <f t="shared" si="3"/>
        <v>1</v>
      </c>
      <c r="AA5" s="2">
        <v>26</v>
      </c>
      <c r="AB5" s="2">
        <v>17</v>
      </c>
      <c r="AC5" s="2">
        <v>0.02</v>
      </c>
      <c r="AD5" s="2">
        <v>38.5</v>
      </c>
      <c r="AE5" s="2">
        <f t="shared" si="4"/>
        <v>1925</v>
      </c>
      <c r="AF5" s="2" t="str">
        <f t="shared" si="5"/>
        <v>3</v>
      </c>
      <c r="AG5" s="2" t="str">
        <f t="shared" si="6"/>
        <v>1</v>
      </c>
      <c r="AH5" s="3">
        <f t="shared" si="7"/>
        <v>2</v>
      </c>
      <c r="AI5" s="2">
        <v>3</v>
      </c>
      <c r="AJ5" s="2">
        <v>8.3699999999999992</v>
      </c>
      <c r="AK5" s="2">
        <f>AJ5*0.36</f>
        <v>3.0131999999999994</v>
      </c>
      <c r="AL5" s="2">
        <v>20.92</v>
      </c>
      <c r="AM5" s="2">
        <f>AL5*0.36</f>
        <v>7.5312000000000001</v>
      </c>
      <c r="AN5" s="2" t="s">
        <v>61</v>
      </c>
      <c r="AO5" s="2" t="s">
        <v>61</v>
      </c>
      <c r="AP5" s="2">
        <v>36</v>
      </c>
      <c r="AQ5" s="19" t="str">
        <f t="shared" si="8"/>
        <v>1</v>
      </c>
      <c r="AR5" s="2">
        <v>1</v>
      </c>
      <c r="AS5" s="2">
        <v>1</v>
      </c>
      <c r="AT5" s="2">
        <v>1</v>
      </c>
      <c r="AU5" s="2">
        <v>1</v>
      </c>
      <c r="AV5" s="2">
        <v>1</v>
      </c>
      <c r="AW5" s="2" t="s">
        <v>61</v>
      </c>
      <c r="AX5" s="2">
        <v>1</v>
      </c>
      <c r="AY5" s="2">
        <v>1998</v>
      </c>
      <c r="AZ5" s="2">
        <f t="shared" si="9"/>
        <v>26</v>
      </c>
      <c r="BA5" s="2" t="str">
        <f t="shared" si="10"/>
        <v>3</v>
      </c>
      <c r="BB5" s="3">
        <f>(BA5+AX5+AS5+AQ5+AI5+AH5+Z5)/4</f>
        <v>3</v>
      </c>
      <c r="BC5" s="2" t="s">
        <v>111</v>
      </c>
      <c r="BD5" s="8" t="s">
        <v>112</v>
      </c>
      <c r="BE5" s="2" t="s">
        <v>113</v>
      </c>
      <c r="BF5" s="2"/>
      <c r="BG5" s="2">
        <v>52000000</v>
      </c>
      <c r="BH5" s="2">
        <v>9000000</v>
      </c>
      <c r="BI5" s="2">
        <v>38140</v>
      </c>
      <c r="BJ5" s="2">
        <v>89991</v>
      </c>
      <c r="BK5" s="2">
        <v>2.4</v>
      </c>
    </row>
    <row r="6" spans="1:63" hidden="1" x14ac:dyDescent="0.2">
      <c r="A6" s="2">
        <v>20700074</v>
      </c>
      <c r="B6" s="2">
        <v>71145953</v>
      </c>
      <c r="C6" s="2">
        <v>2000</v>
      </c>
      <c r="D6" s="2" t="s">
        <v>73</v>
      </c>
      <c r="E6" s="51" t="s">
        <v>62</v>
      </c>
      <c r="F6" s="2" t="s">
        <v>63</v>
      </c>
      <c r="G6" s="2" t="s">
        <v>58</v>
      </c>
      <c r="H6" s="2" t="s">
        <v>64</v>
      </c>
      <c r="I6" s="2" t="s">
        <v>65</v>
      </c>
      <c r="J6" s="2" t="s">
        <v>61</v>
      </c>
      <c r="K6" s="2" t="s">
        <v>66</v>
      </c>
      <c r="L6" s="2" t="s">
        <v>76</v>
      </c>
      <c r="M6" s="2" t="s">
        <v>60</v>
      </c>
      <c r="N6" s="2" t="s">
        <v>61</v>
      </c>
      <c r="O6" s="2" t="s">
        <v>77</v>
      </c>
      <c r="P6" s="2">
        <v>5.8</v>
      </c>
      <c r="Q6" s="2">
        <v>3.1</v>
      </c>
      <c r="R6" s="2">
        <v>8.1</v>
      </c>
      <c r="S6" s="2">
        <v>0.4</v>
      </c>
      <c r="T6" s="2">
        <v>226</v>
      </c>
      <c r="U6" s="2">
        <v>1975</v>
      </c>
      <c r="V6" s="2">
        <v>0</v>
      </c>
      <c r="W6" s="2">
        <f t="shared" si="0"/>
        <v>2218.4</v>
      </c>
      <c r="X6" s="2" t="str">
        <f>IF(W6&gt;=23546,"5",IF(W6&gt;=14870,"4",IF(W6&gt;=6185,"3",IF(W6&gt;=3943,"2","1"))))</f>
        <v>1</v>
      </c>
      <c r="Y6" s="2" t="str">
        <f t="shared" si="1"/>
        <v>1</v>
      </c>
      <c r="Z6" s="3">
        <f>(X6+Y6)/2</f>
        <v>1</v>
      </c>
      <c r="AA6" s="2">
        <v>17</v>
      </c>
      <c r="AB6" s="2">
        <v>45</v>
      </c>
      <c r="AC6" s="2">
        <v>0.05</v>
      </c>
      <c r="AD6" s="2">
        <v>28.6</v>
      </c>
      <c r="AE6" s="2">
        <f t="shared" si="4"/>
        <v>572</v>
      </c>
      <c r="AF6" s="2" t="str">
        <f t="shared" si="5"/>
        <v>5</v>
      </c>
      <c r="AG6" s="2" t="str">
        <f>IF(AE6&lt;=513,"5",IF(AE6&lt;=799,"4",IF(AE6&lt;=930,"3",IF(AE6&lt;=1499,"2","1"))))</f>
        <v>4</v>
      </c>
      <c r="AH6" s="3">
        <f t="shared" si="7"/>
        <v>4.5</v>
      </c>
      <c r="AI6" s="2">
        <v>5</v>
      </c>
      <c r="AJ6" s="2">
        <v>33.5</v>
      </c>
      <c r="AK6" s="2">
        <f>AJ6*0.1827</f>
        <v>6.1204499999999999</v>
      </c>
      <c r="AL6" s="2">
        <v>83.7</v>
      </c>
      <c r="AM6" s="2">
        <v>15.3</v>
      </c>
      <c r="AN6" s="2" t="s">
        <v>61</v>
      </c>
      <c r="AO6" s="2" t="s">
        <v>61</v>
      </c>
      <c r="AP6" s="20">
        <v>20.309999999999999</v>
      </c>
      <c r="AQ6" s="19" t="str">
        <f t="shared" si="8"/>
        <v>1</v>
      </c>
      <c r="AR6" s="2">
        <v>1</v>
      </c>
      <c r="AS6" s="2">
        <v>1</v>
      </c>
      <c r="AT6" s="2">
        <v>1</v>
      </c>
      <c r="AU6" s="2">
        <v>1</v>
      </c>
      <c r="AV6" s="2">
        <v>5</v>
      </c>
      <c r="AW6" s="2" t="s">
        <v>61</v>
      </c>
      <c r="AX6" s="2">
        <v>5</v>
      </c>
      <c r="AY6" s="2">
        <v>1984</v>
      </c>
      <c r="AZ6" s="2">
        <f t="shared" si="9"/>
        <v>40</v>
      </c>
      <c r="BA6" s="2" t="str">
        <f t="shared" si="10"/>
        <v>5</v>
      </c>
      <c r="BB6" s="3">
        <f>(BA6+AX6+AS6+AQ6+AI6+AH6+Z6)/5</f>
        <v>4.5</v>
      </c>
      <c r="BC6" s="2" t="s">
        <v>114</v>
      </c>
      <c r="BD6" s="2" t="s">
        <v>115</v>
      </c>
      <c r="BE6" s="2" t="s">
        <v>116</v>
      </c>
      <c r="BF6" s="2"/>
      <c r="BG6" s="2"/>
      <c r="BH6" s="2"/>
      <c r="BI6" s="2">
        <v>33606</v>
      </c>
      <c r="BJ6" s="2">
        <v>88210</v>
      </c>
      <c r="BK6" s="2">
        <v>1.7</v>
      </c>
    </row>
    <row r="7" spans="1:63" ht="64" hidden="1" x14ac:dyDescent="0.2">
      <c r="A7" s="2">
        <v>20026574</v>
      </c>
      <c r="B7" s="2" t="s">
        <v>117</v>
      </c>
      <c r="C7" s="2">
        <v>2500</v>
      </c>
      <c r="D7" s="2" t="s">
        <v>73</v>
      </c>
      <c r="E7" s="2" t="s">
        <v>118</v>
      </c>
      <c r="F7" s="2" t="s">
        <v>119</v>
      </c>
      <c r="G7" s="2" t="s">
        <v>58</v>
      </c>
      <c r="H7" s="2" t="s">
        <v>59</v>
      </c>
      <c r="I7" s="2" t="s">
        <v>65</v>
      </c>
      <c r="J7" s="2" t="s">
        <v>61</v>
      </c>
      <c r="K7" s="2" t="s">
        <v>66</v>
      </c>
      <c r="L7" s="2" t="s">
        <v>76</v>
      </c>
      <c r="M7" s="2" t="s">
        <v>60</v>
      </c>
      <c r="N7" s="2" t="s">
        <v>61</v>
      </c>
      <c r="O7" s="2" t="s">
        <v>77</v>
      </c>
      <c r="P7" s="2">
        <v>45</v>
      </c>
      <c r="Q7" s="2">
        <v>5.4</v>
      </c>
      <c r="R7" s="2">
        <v>0.7</v>
      </c>
      <c r="S7" s="2">
        <v>0.6</v>
      </c>
      <c r="T7" s="2">
        <v>358</v>
      </c>
      <c r="U7" s="2">
        <v>1048</v>
      </c>
      <c r="V7" s="2">
        <v>0.1</v>
      </c>
      <c r="W7" s="2">
        <f t="shared" si="0"/>
        <v>1457.7</v>
      </c>
      <c r="X7" s="2" t="str">
        <f t="shared" si="2"/>
        <v>1</v>
      </c>
      <c r="Y7" s="2" t="str">
        <f t="shared" si="1"/>
        <v>1</v>
      </c>
      <c r="Z7" s="3">
        <f t="shared" si="3"/>
        <v>1</v>
      </c>
      <c r="AA7" s="2">
        <v>59</v>
      </c>
      <c r="AB7" s="2">
        <v>9</v>
      </c>
      <c r="AC7" s="2">
        <v>0.02</v>
      </c>
      <c r="AD7" s="2">
        <v>44.5</v>
      </c>
      <c r="AE7" s="2">
        <f t="shared" si="4"/>
        <v>2225</v>
      </c>
      <c r="AF7" s="2" t="str">
        <f t="shared" si="5"/>
        <v>1</v>
      </c>
      <c r="AG7" s="2" t="str">
        <f t="shared" si="6"/>
        <v>1</v>
      </c>
      <c r="AH7" s="3">
        <f t="shared" si="7"/>
        <v>1</v>
      </c>
      <c r="AI7" s="2">
        <v>1</v>
      </c>
      <c r="AJ7" s="2">
        <v>41.84</v>
      </c>
      <c r="AK7" s="9">
        <f>AJ7*0.59</f>
        <v>24.685600000000001</v>
      </c>
      <c r="AL7" s="2">
        <v>104.6</v>
      </c>
      <c r="AM7" s="9">
        <f>AL7*0.59</f>
        <v>61.713999999999992</v>
      </c>
      <c r="AN7" s="2" t="s">
        <v>61</v>
      </c>
      <c r="AO7" s="2" t="s">
        <v>61</v>
      </c>
      <c r="AP7" s="2">
        <v>59</v>
      </c>
      <c r="AQ7" s="19" t="str">
        <f t="shared" si="8"/>
        <v>1</v>
      </c>
      <c r="AR7" s="2">
        <v>1</v>
      </c>
      <c r="AS7" s="2">
        <v>1</v>
      </c>
      <c r="AT7" s="2">
        <v>1</v>
      </c>
      <c r="AU7" s="2">
        <v>1</v>
      </c>
      <c r="AV7" s="2">
        <v>1</v>
      </c>
      <c r="AW7" s="2" t="s">
        <v>61</v>
      </c>
      <c r="AX7" s="2">
        <v>1</v>
      </c>
      <c r="AY7" s="2">
        <v>2022</v>
      </c>
      <c r="AZ7" s="2">
        <f t="shared" si="9"/>
        <v>2</v>
      </c>
      <c r="BA7" s="2" t="str">
        <f t="shared" si="10"/>
        <v>1</v>
      </c>
      <c r="BB7" s="3">
        <f>(BA7+AX7+AS7+AQ7+AI7+AH7+Z7)/7</f>
        <v>1</v>
      </c>
      <c r="BC7" s="2" t="s">
        <v>107</v>
      </c>
      <c r="BD7" s="8" t="s">
        <v>120</v>
      </c>
      <c r="BE7" s="2"/>
      <c r="BF7" s="2"/>
      <c r="BG7" s="2"/>
      <c r="BH7" s="2"/>
      <c r="BI7" s="2">
        <v>21659</v>
      </c>
      <c r="BJ7" s="2">
        <v>86077</v>
      </c>
      <c r="BK7" s="2">
        <v>1</v>
      </c>
    </row>
    <row r="8" spans="1:63" ht="64" hidden="1" x14ac:dyDescent="0.2">
      <c r="A8" s="2">
        <v>20700377</v>
      </c>
      <c r="B8" s="2">
        <v>1079537152</v>
      </c>
      <c r="C8" s="2">
        <v>10000</v>
      </c>
      <c r="D8" s="2" t="s">
        <v>73</v>
      </c>
      <c r="E8" s="2" t="s">
        <v>121</v>
      </c>
      <c r="F8" s="2" t="s">
        <v>122</v>
      </c>
      <c r="G8" s="2" t="s">
        <v>58</v>
      </c>
      <c r="H8" s="2" t="s">
        <v>59</v>
      </c>
      <c r="I8" s="2" t="s">
        <v>81</v>
      </c>
      <c r="J8" s="2" t="s">
        <v>82</v>
      </c>
      <c r="K8" s="2" t="s">
        <v>66</v>
      </c>
      <c r="L8" s="2" t="s">
        <v>76</v>
      </c>
      <c r="M8" s="2" t="s">
        <v>60</v>
      </c>
      <c r="N8" s="2" t="s">
        <v>61</v>
      </c>
      <c r="O8" s="2" t="s">
        <v>83</v>
      </c>
      <c r="P8" s="2">
        <v>0.7</v>
      </c>
      <c r="Q8" s="2">
        <v>0.4</v>
      </c>
      <c r="R8" s="2">
        <v>0.1</v>
      </c>
      <c r="S8" s="2">
        <v>0.1</v>
      </c>
      <c r="T8" s="2">
        <v>19</v>
      </c>
      <c r="U8" s="2">
        <v>296</v>
      </c>
      <c r="V8" s="2">
        <v>0</v>
      </c>
      <c r="W8" s="2">
        <f t="shared" si="0"/>
        <v>316.3</v>
      </c>
      <c r="X8" s="2" t="str">
        <f t="shared" si="2"/>
        <v>1</v>
      </c>
      <c r="Y8" s="2" t="str">
        <f t="shared" si="1"/>
        <v>1</v>
      </c>
      <c r="Z8" s="3">
        <f t="shared" si="3"/>
        <v>1</v>
      </c>
      <c r="AA8" s="2">
        <v>53</v>
      </c>
      <c r="AB8" s="2">
        <v>7</v>
      </c>
      <c r="AC8" s="2">
        <v>0.02</v>
      </c>
      <c r="AD8" s="2">
        <v>52.5</v>
      </c>
      <c r="AE8" s="2">
        <f t="shared" si="4"/>
        <v>2625</v>
      </c>
      <c r="AF8" s="2" t="str">
        <f t="shared" si="5"/>
        <v>1</v>
      </c>
      <c r="AG8" s="2" t="str">
        <f t="shared" si="6"/>
        <v>1</v>
      </c>
      <c r="AH8" s="3">
        <f t="shared" si="7"/>
        <v>1</v>
      </c>
      <c r="AI8" s="2">
        <v>1</v>
      </c>
      <c r="AJ8" s="2">
        <v>167.3</v>
      </c>
      <c r="AK8" s="2">
        <f>AJ8/0.4</f>
        <v>418.25</v>
      </c>
      <c r="AL8" s="2">
        <v>418.4</v>
      </c>
      <c r="AM8" s="2">
        <f>AL8/0.4</f>
        <v>1045.9999999999998</v>
      </c>
      <c r="AN8" s="2" t="s">
        <v>61</v>
      </c>
      <c r="AO8" s="2" t="s">
        <v>61</v>
      </c>
      <c r="AP8" s="2">
        <v>40</v>
      </c>
      <c r="AQ8" s="19" t="str">
        <f t="shared" si="8"/>
        <v>1</v>
      </c>
      <c r="AR8" s="2">
        <v>1</v>
      </c>
      <c r="AS8" s="2">
        <v>1</v>
      </c>
      <c r="AT8" s="2">
        <v>1</v>
      </c>
      <c r="AU8" s="2">
        <v>1</v>
      </c>
      <c r="AV8" s="2">
        <v>1</v>
      </c>
      <c r="AW8" s="2" t="s">
        <v>61</v>
      </c>
      <c r="AX8" s="2">
        <v>1</v>
      </c>
      <c r="AY8" s="2">
        <v>2023</v>
      </c>
      <c r="AZ8" s="2">
        <f t="shared" si="9"/>
        <v>1</v>
      </c>
      <c r="BA8" s="2" t="str">
        <f t="shared" si="10"/>
        <v>1</v>
      </c>
      <c r="BB8" s="3">
        <f>(BA8+AX8+AS8+AQ8+AI8+AH8+Z8)/7</f>
        <v>1</v>
      </c>
      <c r="BC8" s="2" t="s">
        <v>107</v>
      </c>
      <c r="BD8" s="8" t="s">
        <v>120</v>
      </c>
      <c r="BE8" s="2"/>
      <c r="BF8" s="2"/>
      <c r="BG8" s="2"/>
      <c r="BH8" s="2"/>
      <c r="BI8" s="2">
        <v>16036</v>
      </c>
      <c r="BJ8" s="2">
        <v>54104</v>
      </c>
      <c r="BK8" s="2">
        <v>0</v>
      </c>
    </row>
    <row r="9" spans="1:63" s="25" customFormat="1" ht="96" hidden="1" x14ac:dyDescent="0.2">
      <c r="A9" s="21">
        <v>20056569</v>
      </c>
      <c r="B9" s="21">
        <v>200104</v>
      </c>
      <c r="C9" s="21">
        <v>6500</v>
      </c>
      <c r="D9" s="21" t="s">
        <v>73</v>
      </c>
      <c r="E9" s="21" t="s">
        <v>123</v>
      </c>
      <c r="F9" s="21" t="s">
        <v>124</v>
      </c>
      <c r="G9" s="21" t="s">
        <v>125</v>
      </c>
      <c r="H9" s="21" t="s">
        <v>126</v>
      </c>
      <c r="I9" s="21" t="s">
        <v>81</v>
      </c>
      <c r="J9" s="21" t="s">
        <v>82</v>
      </c>
      <c r="K9" s="21" t="s">
        <v>66</v>
      </c>
      <c r="L9" s="21" t="s">
        <v>76</v>
      </c>
      <c r="M9" s="21" t="s">
        <v>60</v>
      </c>
      <c r="N9" s="21" t="s">
        <v>61</v>
      </c>
      <c r="O9" s="21" t="s">
        <v>83</v>
      </c>
      <c r="P9" s="21">
        <v>0.5</v>
      </c>
      <c r="Q9" s="21">
        <v>0.9</v>
      </c>
      <c r="R9" s="21">
        <v>0.2</v>
      </c>
      <c r="S9" s="21">
        <v>0.1</v>
      </c>
      <c r="T9" s="21">
        <v>10.8</v>
      </c>
      <c r="U9" s="21">
        <v>62</v>
      </c>
      <c r="V9" s="21">
        <v>0</v>
      </c>
      <c r="W9" s="21">
        <f t="shared" si="0"/>
        <v>74.5</v>
      </c>
      <c r="X9" s="2" t="str">
        <f t="shared" si="2"/>
        <v>1</v>
      </c>
      <c r="Y9" s="2" t="str">
        <f t="shared" si="1"/>
        <v>1</v>
      </c>
      <c r="Z9" s="3">
        <f t="shared" si="3"/>
        <v>1</v>
      </c>
      <c r="AA9" s="21">
        <v>47</v>
      </c>
      <c r="AB9" s="21">
        <v>6</v>
      </c>
      <c r="AC9" s="21">
        <v>0.02</v>
      </c>
      <c r="AD9" s="21">
        <v>46.5</v>
      </c>
      <c r="AE9" s="21">
        <f t="shared" si="4"/>
        <v>2325</v>
      </c>
      <c r="AF9" s="21" t="str">
        <f t="shared" si="5"/>
        <v>1</v>
      </c>
      <c r="AG9" s="21" t="str">
        <f t="shared" si="6"/>
        <v>1</v>
      </c>
      <c r="AH9" s="22">
        <f t="shared" si="7"/>
        <v>1</v>
      </c>
      <c r="AI9" s="21">
        <v>2</v>
      </c>
      <c r="AJ9" s="21">
        <v>108.77</v>
      </c>
      <c r="AK9" s="22">
        <f>AJ9*0.8885</f>
        <v>96.642144999999985</v>
      </c>
      <c r="AL9" s="21">
        <v>271.95</v>
      </c>
      <c r="AM9" s="22">
        <f>AL9*0.8885</f>
        <v>241.62757499999998</v>
      </c>
      <c r="AN9" s="21" t="s">
        <v>61</v>
      </c>
      <c r="AO9" s="21" t="s">
        <v>61</v>
      </c>
      <c r="AP9" s="21">
        <v>88.85</v>
      </c>
      <c r="AQ9" s="23" t="str">
        <f t="shared" si="8"/>
        <v>3</v>
      </c>
      <c r="AR9" s="21">
        <v>1</v>
      </c>
      <c r="AS9" s="21">
        <v>1</v>
      </c>
      <c r="AT9" s="21">
        <v>1</v>
      </c>
      <c r="AU9" s="21">
        <v>1</v>
      </c>
      <c r="AV9" s="21">
        <v>1</v>
      </c>
      <c r="AW9" s="21" t="s">
        <v>61</v>
      </c>
      <c r="AX9" s="21">
        <v>1</v>
      </c>
      <c r="AY9" s="21">
        <v>1999</v>
      </c>
      <c r="AZ9" s="21">
        <f t="shared" si="9"/>
        <v>25</v>
      </c>
      <c r="BA9" s="21" t="str">
        <f t="shared" si="10"/>
        <v>3</v>
      </c>
      <c r="BB9" s="22">
        <f>(BA9+AX9+AS9+AQ9+AH9+Z9+AI9)/7</f>
        <v>1.7142857142857142</v>
      </c>
      <c r="BC9" s="21" t="s">
        <v>105</v>
      </c>
      <c r="BD9" s="24" t="s">
        <v>127</v>
      </c>
      <c r="BE9" s="21"/>
      <c r="BF9" s="21"/>
      <c r="BG9" s="21"/>
      <c r="BH9" s="21"/>
      <c r="BI9" s="21">
        <v>1830</v>
      </c>
      <c r="BJ9" s="21">
        <v>8530</v>
      </c>
      <c r="BK9" s="21">
        <v>0.3</v>
      </c>
    </row>
    <row r="10" spans="1:63" ht="64" hidden="1" x14ac:dyDescent="0.2">
      <c r="A10" s="2">
        <v>20700350</v>
      </c>
      <c r="B10" s="2">
        <v>1057609444</v>
      </c>
      <c r="C10" s="2">
        <v>6000</v>
      </c>
      <c r="D10" s="2" t="s">
        <v>73</v>
      </c>
      <c r="E10" s="51" t="s">
        <v>128</v>
      </c>
      <c r="F10" s="2" t="s">
        <v>129</v>
      </c>
      <c r="G10" s="2" t="s">
        <v>58</v>
      </c>
      <c r="H10" s="2" t="s">
        <v>70</v>
      </c>
      <c r="I10" s="2" t="s">
        <v>65</v>
      </c>
      <c r="J10" s="2" t="s">
        <v>82</v>
      </c>
      <c r="K10" s="2" t="s">
        <v>66</v>
      </c>
      <c r="L10" s="2" t="s">
        <v>76</v>
      </c>
      <c r="M10" s="2" t="s">
        <v>60</v>
      </c>
      <c r="N10" s="2" t="s">
        <v>61</v>
      </c>
      <c r="O10" s="2" t="s">
        <v>130</v>
      </c>
      <c r="P10" s="2">
        <v>4.3</v>
      </c>
      <c r="Q10" s="2">
        <v>35</v>
      </c>
      <c r="R10" s="2">
        <v>2.6</v>
      </c>
      <c r="S10" s="2">
        <v>9.5</v>
      </c>
      <c r="T10" s="2">
        <v>683</v>
      </c>
      <c r="U10" s="2">
        <v>7328</v>
      </c>
      <c r="V10" s="2">
        <v>0</v>
      </c>
      <c r="W10" s="2">
        <f t="shared" si="0"/>
        <v>8062.4</v>
      </c>
      <c r="X10" s="2" t="str">
        <f t="shared" si="2"/>
        <v>3</v>
      </c>
      <c r="Y10" s="2" t="str">
        <f t="shared" si="1"/>
        <v>1</v>
      </c>
      <c r="Z10" s="3">
        <f t="shared" si="3"/>
        <v>2</v>
      </c>
      <c r="AA10" s="2">
        <v>22</v>
      </c>
      <c r="AB10" s="2">
        <v>24</v>
      </c>
      <c r="AC10" s="2">
        <v>0.02</v>
      </c>
      <c r="AD10" s="2">
        <v>42.4</v>
      </c>
      <c r="AE10" s="2">
        <f t="shared" si="4"/>
        <v>2120</v>
      </c>
      <c r="AF10" s="2" t="str">
        <f t="shared" si="5"/>
        <v>4</v>
      </c>
      <c r="AG10" s="2" t="str">
        <f t="shared" si="6"/>
        <v>1</v>
      </c>
      <c r="AH10" s="3">
        <f t="shared" si="7"/>
        <v>2.5</v>
      </c>
      <c r="AI10" s="2">
        <v>3</v>
      </c>
      <c r="AJ10" s="2">
        <v>100.41</v>
      </c>
      <c r="AK10" s="2">
        <f>AJ10*1.25</f>
        <v>125.51249999999999</v>
      </c>
      <c r="AL10" s="2">
        <v>251.02</v>
      </c>
      <c r="AM10" s="9">
        <f>AL10*1.25</f>
        <v>313.77500000000003</v>
      </c>
      <c r="AN10" s="2" t="s">
        <v>61</v>
      </c>
      <c r="AO10" s="2" t="s">
        <v>61</v>
      </c>
      <c r="AP10" s="2">
        <v>125</v>
      </c>
      <c r="AQ10" s="19" t="str">
        <f t="shared" si="8"/>
        <v>5</v>
      </c>
      <c r="AR10" s="2">
        <v>1</v>
      </c>
      <c r="AS10" s="2">
        <v>1</v>
      </c>
      <c r="AT10" s="2">
        <v>1</v>
      </c>
      <c r="AU10" s="2">
        <v>1</v>
      </c>
      <c r="AV10" s="2">
        <v>1</v>
      </c>
      <c r="AW10" s="2" t="s">
        <v>61</v>
      </c>
      <c r="AX10" s="2">
        <v>1</v>
      </c>
      <c r="AY10" s="2">
        <v>2021</v>
      </c>
      <c r="AZ10" s="2">
        <f t="shared" si="9"/>
        <v>3</v>
      </c>
      <c r="BA10" s="2" t="str">
        <f t="shared" si="10"/>
        <v>1</v>
      </c>
      <c r="BB10" s="3">
        <f>(BA10+AX10+AS10+AQ10+AH10+Z10+AI10)/3</f>
        <v>5.166666666666667</v>
      </c>
      <c r="BC10" s="2" t="s">
        <v>114</v>
      </c>
      <c r="BD10" s="8" t="s">
        <v>131</v>
      </c>
      <c r="BE10" s="2" t="s">
        <v>132</v>
      </c>
      <c r="BF10" s="26">
        <v>110000000</v>
      </c>
      <c r="BG10" s="26"/>
      <c r="BH10" s="26">
        <v>9000000</v>
      </c>
      <c r="BI10" s="2">
        <v>2299</v>
      </c>
      <c r="BJ10" s="2">
        <v>75918</v>
      </c>
      <c r="BK10" s="2">
        <v>7.8</v>
      </c>
    </row>
    <row r="11" spans="1:63" ht="80" hidden="1" x14ac:dyDescent="0.2">
      <c r="A11" s="2">
        <v>20016689</v>
      </c>
      <c r="B11" s="2" t="s">
        <v>133</v>
      </c>
      <c r="C11" s="2">
        <v>60000</v>
      </c>
      <c r="D11" s="2" t="s">
        <v>134</v>
      </c>
      <c r="E11" s="2" t="s">
        <v>135</v>
      </c>
      <c r="F11" s="2" t="s">
        <v>136</v>
      </c>
      <c r="G11" s="2" t="s">
        <v>70</v>
      </c>
      <c r="H11" s="2" t="s">
        <v>70</v>
      </c>
      <c r="I11" s="2" t="s">
        <v>81</v>
      </c>
      <c r="J11" s="2" t="s">
        <v>82</v>
      </c>
      <c r="K11" s="2" t="s">
        <v>48</v>
      </c>
      <c r="L11" s="2">
        <v>66</v>
      </c>
      <c r="M11" s="2" t="s">
        <v>137</v>
      </c>
      <c r="N11" s="2" t="s">
        <v>60</v>
      </c>
      <c r="O11" s="2" t="s">
        <v>138</v>
      </c>
      <c r="P11" s="2">
        <v>3.4</v>
      </c>
      <c r="Q11" s="2">
        <v>18.7</v>
      </c>
      <c r="R11" s="2">
        <v>2.5</v>
      </c>
      <c r="S11" s="2">
        <v>4.3</v>
      </c>
      <c r="T11" s="2">
        <v>1380</v>
      </c>
      <c r="U11" s="2">
        <v>5435</v>
      </c>
      <c r="V11" s="2">
        <v>0</v>
      </c>
      <c r="W11" s="2">
        <f t="shared" si="0"/>
        <v>6843.9</v>
      </c>
      <c r="X11" s="2" t="str">
        <f t="shared" si="2"/>
        <v>3</v>
      </c>
      <c r="Y11" s="2" t="str">
        <f t="shared" si="1"/>
        <v>1</v>
      </c>
      <c r="Z11" s="3">
        <f t="shared" si="3"/>
        <v>2</v>
      </c>
      <c r="AA11" s="2">
        <v>52</v>
      </c>
      <c r="AB11" s="2">
        <v>8</v>
      </c>
      <c r="AC11" s="2">
        <v>0.02</v>
      </c>
      <c r="AD11" s="2">
        <v>40.5</v>
      </c>
      <c r="AE11" s="2">
        <f t="shared" si="4"/>
        <v>2025</v>
      </c>
      <c r="AF11" s="2" t="str">
        <f t="shared" si="5"/>
        <v>1</v>
      </c>
      <c r="AG11" s="2" t="str">
        <f t="shared" si="6"/>
        <v>1</v>
      </c>
      <c r="AH11" s="3">
        <f t="shared" si="7"/>
        <v>1</v>
      </c>
      <c r="AI11" s="2">
        <v>1</v>
      </c>
      <c r="AJ11" s="2">
        <v>524.9</v>
      </c>
      <c r="AK11" s="17">
        <f>AJ11*0.78</f>
        <v>409.42199999999997</v>
      </c>
      <c r="AL11" s="2">
        <v>602.5</v>
      </c>
      <c r="AM11" s="9">
        <f>AL11*0.78</f>
        <v>469.95</v>
      </c>
      <c r="AN11" s="2">
        <v>1004.1</v>
      </c>
      <c r="AO11" s="2">
        <f>AN11*0.78</f>
        <v>783.19800000000009</v>
      </c>
      <c r="AP11" s="2">
        <v>78</v>
      </c>
      <c r="AQ11" s="19" t="str">
        <f t="shared" si="8"/>
        <v>2</v>
      </c>
      <c r="AR11" s="2">
        <v>1</v>
      </c>
      <c r="AS11" s="2">
        <v>1</v>
      </c>
      <c r="AT11" s="2">
        <v>1</v>
      </c>
      <c r="AU11" s="2">
        <v>1</v>
      </c>
      <c r="AV11" s="2">
        <v>1</v>
      </c>
      <c r="AW11" s="2">
        <v>1</v>
      </c>
      <c r="AX11" s="2">
        <v>1</v>
      </c>
      <c r="AY11" s="2">
        <v>2011</v>
      </c>
      <c r="AZ11" s="2">
        <f t="shared" si="9"/>
        <v>13</v>
      </c>
      <c r="BA11" s="2" t="str">
        <f t="shared" si="10"/>
        <v>2</v>
      </c>
      <c r="BB11" s="3">
        <f>(BA11+AX11+AS11+AQ11+AI11+AH11+Z11)/7</f>
        <v>1.4285714285714286</v>
      </c>
      <c r="BC11" s="2" t="s">
        <v>107</v>
      </c>
      <c r="BD11" s="8" t="s">
        <v>139</v>
      </c>
      <c r="BE11" s="2" t="s">
        <v>140</v>
      </c>
      <c r="BF11" s="2"/>
      <c r="BG11" s="2"/>
      <c r="BH11" s="2"/>
      <c r="BI11" s="2">
        <v>6903</v>
      </c>
      <c r="BJ11" s="2">
        <v>67626</v>
      </c>
      <c r="BK11" s="2">
        <v>5.7</v>
      </c>
    </row>
    <row r="12" spans="1:63" ht="64" hidden="1" x14ac:dyDescent="0.2">
      <c r="A12" s="2">
        <v>20026669</v>
      </c>
      <c r="B12" s="2">
        <v>288055</v>
      </c>
      <c r="C12" s="2">
        <v>6500</v>
      </c>
      <c r="D12" s="2" t="s">
        <v>73</v>
      </c>
      <c r="E12" s="2" t="s">
        <v>141</v>
      </c>
      <c r="F12" s="2" t="s">
        <v>142</v>
      </c>
      <c r="G12" s="2" t="s">
        <v>58</v>
      </c>
      <c r="H12" s="2" t="s">
        <v>59</v>
      </c>
      <c r="I12" s="2" t="s">
        <v>81</v>
      </c>
      <c r="J12" s="2" t="s">
        <v>143</v>
      </c>
      <c r="K12" s="2" t="s">
        <v>66</v>
      </c>
      <c r="L12" s="2" t="s">
        <v>76</v>
      </c>
      <c r="M12" s="2" t="s">
        <v>60</v>
      </c>
      <c r="N12" s="2" t="s">
        <v>61</v>
      </c>
      <c r="O12" s="2" t="s">
        <v>83</v>
      </c>
      <c r="P12" s="2">
        <v>7.3</v>
      </c>
      <c r="Q12" s="2">
        <v>2.5</v>
      </c>
      <c r="R12" s="2">
        <v>25</v>
      </c>
      <c r="S12" s="2">
        <v>0.9</v>
      </c>
      <c r="T12" s="2">
        <v>251</v>
      </c>
      <c r="U12" s="2">
        <v>2935</v>
      </c>
      <c r="V12" s="2">
        <v>0</v>
      </c>
      <c r="W12" s="2">
        <f t="shared" si="0"/>
        <v>3221.7</v>
      </c>
      <c r="X12" s="2" t="str">
        <f t="shared" si="2"/>
        <v>1</v>
      </c>
      <c r="Y12" s="2" t="str">
        <f t="shared" si="1"/>
        <v>1</v>
      </c>
      <c r="Z12" s="3">
        <f t="shared" si="3"/>
        <v>1</v>
      </c>
      <c r="AA12" s="2">
        <v>21</v>
      </c>
      <c r="AB12" s="2">
        <v>27</v>
      </c>
      <c r="AC12" s="2">
        <v>0.02</v>
      </c>
      <c r="AD12" s="2">
        <v>33.5</v>
      </c>
      <c r="AE12" s="2">
        <f t="shared" si="4"/>
        <v>1675</v>
      </c>
      <c r="AF12" s="2" t="str">
        <f t="shared" si="5"/>
        <v>4</v>
      </c>
      <c r="AG12" s="2" t="str">
        <f t="shared" si="6"/>
        <v>1</v>
      </c>
      <c r="AH12" s="3">
        <f t="shared" si="7"/>
        <v>2.5</v>
      </c>
      <c r="AI12" s="2">
        <v>4</v>
      </c>
      <c r="AJ12" s="2">
        <v>108.8</v>
      </c>
      <c r="AK12" s="9">
        <f>AJ12*0.83</f>
        <v>90.303999999999988</v>
      </c>
      <c r="AL12" s="2">
        <v>271.89999999999998</v>
      </c>
      <c r="AM12" s="9">
        <f>AL12*0.83</f>
        <v>225.67699999999996</v>
      </c>
      <c r="AN12" s="2" t="s">
        <v>61</v>
      </c>
      <c r="AO12" s="2" t="s">
        <v>61</v>
      </c>
      <c r="AP12" s="2">
        <v>83</v>
      </c>
      <c r="AQ12" s="19" t="str">
        <f t="shared" si="8"/>
        <v>3</v>
      </c>
      <c r="AR12" s="2">
        <v>1</v>
      </c>
      <c r="AS12" s="2">
        <v>1</v>
      </c>
      <c r="AT12" s="2">
        <v>1</v>
      </c>
      <c r="AU12" s="2">
        <v>1</v>
      </c>
      <c r="AV12" s="2">
        <v>5</v>
      </c>
      <c r="AW12" s="2" t="s">
        <v>61</v>
      </c>
      <c r="AX12" s="2">
        <v>5</v>
      </c>
      <c r="AY12" s="2">
        <v>2007</v>
      </c>
      <c r="AZ12" s="2">
        <f t="shared" si="9"/>
        <v>17</v>
      </c>
      <c r="BA12" s="2" t="str">
        <f t="shared" si="10"/>
        <v>2</v>
      </c>
      <c r="BB12" s="3">
        <f>(BA12+AX12+AS12+AQ12+AH12+Z12+AI12)/6</f>
        <v>3.0833333333333335</v>
      </c>
      <c r="BC12" s="2" t="s">
        <v>111</v>
      </c>
      <c r="BD12" s="8" t="s">
        <v>144</v>
      </c>
      <c r="BE12" s="2" t="s">
        <v>145</v>
      </c>
      <c r="BF12" s="2"/>
      <c r="BG12" s="2">
        <v>68500000</v>
      </c>
      <c r="BH12" s="2">
        <v>9000000</v>
      </c>
      <c r="BI12" s="2">
        <v>25182</v>
      </c>
      <c r="BJ12" s="2">
        <v>60893</v>
      </c>
      <c r="BK12" s="2">
        <v>5</v>
      </c>
    </row>
    <row r="13" spans="1:63" s="25" customFormat="1" ht="32" hidden="1" x14ac:dyDescent="0.2">
      <c r="A13" s="21">
        <v>20700518</v>
      </c>
      <c r="B13" s="21">
        <v>200005</v>
      </c>
      <c r="C13" s="21">
        <v>4000</v>
      </c>
      <c r="D13" s="21" t="s">
        <v>73</v>
      </c>
      <c r="E13" s="21" t="s">
        <v>146</v>
      </c>
      <c r="F13" s="21" t="s">
        <v>147</v>
      </c>
      <c r="G13" s="21" t="s">
        <v>125</v>
      </c>
      <c r="H13" s="21" t="s">
        <v>148</v>
      </c>
      <c r="I13" s="21" t="s">
        <v>65</v>
      </c>
      <c r="J13" s="21" t="s">
        <v>61</v>
      </c>
      <c r="K13" s="21" t="s">
        <v>66</v>
      </c>
      <c r="L13" s="21" t="s">
        <v>76</v>
      </c>
      <c r="M13" s="21" t="s">
        <v>60</v>
      </c>
      <c r="N13" s="21" t="s">
        <v>61</v>
      </c>
      <c r="O13" s="21" t="s">
        <v>130</v>
      </c>
      <c r="P13" s="21">
        <v>6.1</v>
      </c>
      <c r="Q13" s="21">
        <v>14.1</v>
      </c>
      <c r="R13" s="21">
        <v>43</v>
      </c>
      <c r="S13" s="21">
        <v>7.5</v>
      </c>
      <c r="T13" s="21">
        <v>91</v>
      </c>
      <c r="U13" s="21">
        <v>1173</v>
      </c>
      <c r="V13" s="21">
        <v>0.7</v>
      </c>
      <c r="W13" s="21">
        <f t="shared" si="0"/>
        <v>1334.7</v>
      </c>
      <c r="X13" s="2" t="str">
        <f t="shared" si="2"/>
        <v>1</v>
      </c>
      <c r="Y13" s="2" t="str">
        <f t="shared" si="1"/>
        <v>1</v>
      </c>
      <c r="Z13" s="3">
        <f t="shared" si="3"/>
        <v>1</v>
      </c>
      <c r="AA13" s="21">
        <v>40</v>
      </c>
      <c r="AB13" s="21">
        <v>14</v>
      </c>
      <c r="AC13" s="21">
        <v>0.02</v>
      </c>
      <c r="AD13" s="21">
        <v>38.4</v>
      </c>
      <c r="AE13" s="21">
        <f t="shared" si="4"/>
        <v>1920</v>
      </c>
      <c r="AF13" s="21" t="str">
        <f t="shared" si="5"/>
        <v>1</v>
      </c>
      <c r="AG13" s="21" t="str">
        <f t="shared" si="6"/>
        <v>1</v>
      </c>
      <c r="AH13" s="22">
        <f t="shared" si="7"/>
        <v>1</v>
      </c>
      <c r="AI13" s="21">
        <v>1</v>
      </c>
      <c r="AJ13" s="21">
        <v>66.94</v>
      </c>
      <c r="AK13" s="21">
        <f>AJ13*0.4</f>
        <v>26.776</v>
      </c>
      <c r="AL13" s="21">
        <v>167.35</v>
      </c>
      <c r="AM13" s="21">
        <f>AL13*0.4</f>
        <v>66.94</v>
      </c>
      <c r="AN13" s="21" t="s">
        <v>61</v>
      </c>
      <c r="AO13" s="21" t="s">
        <v>61</v>
      </c>
      <c r="AP13" s="21">
        <v>40</v>
      </c>
      <c r="AQ13" s="23" t="str">
        <f t="shared" si="8"/>
        <v>1</v>
      </c>
      <c r="AR13" s="21">
        <v>1</v>
      </c>
      <c r="AS13" s="21">
        <v>1</v>
      </c>
      <c r="AT13" s="21">
        <v>5</v>
      </c>
      <c r="AU13" s="21">
        <v>1</v>
      </c>
      <c r="AV13" s="21">
        <v>1</v>
      </c>
      <c r="AW13" s="21">
        <v>1</v>
      </c>
      <c r="AX13" s="21">
        <v>4</v>
      </c>
      <c r="AY13" s="21">
        <v>1997</v>
      </c>
      <c r="AZ13" s="21">
        <f t="shared" si="9"/>
        <v>27</v>
      </c>
      <c r="BA13" s="21" t="str">
        <f t="shared" si="10"/>
        <v>3</v>
      </c>
      <c r="BB13" s="22">
        <f>(BA13+AX13+AS13+AQ13+AH13+Z13+AI13)/4</f>
        <v>3</v>
      </c>
      <c r="BC13" s="21" t="s">
        <v>111</v>
      </c>
      <c r="BD13" s="24" t="s">
        <v>149</v>
      </c>
      <c r="BE13" s="21" t="s">
        <v>150</v>
      </c>
      <c r="BF13" s="21"/>
      <c r="BG13" s="21"/>
      <c r="BH13" s="21">
        <v>9000000</v>
      </c>
      <c r="BI13" s="21">
        <v>26728</v>
      </c>
      <c r="BJ13" s="21">
        <v>68223</v>
      </c>
      <c r="BK13" s="21">
        <v>68</v>
      </c>
    </row>
    <row r="14" spans="1:63" s="25" customFormat="1" ht="48" hidden="1" x14ac:dyDescent="0.2">
      <c r="A14" s="21">
        <v>20016671</v>
      </c>
      <c r="B14" s="21" t="s">
        <v>151</v>
      </c>
      <c r="C14" s="21">
        <v>33000</v>
      </c>
      <c r="D14" s="21" t="s">
        <v>152</v>
      </c>
      <c r="E14" s="21" t="s">
        <v>153</v>
      </c>
      <c r="F14" s="21" t="s">
        <v>154</v>
      </c>
      <c r="G14" s="21" t="s">
        <v>70</v>
      </c>
      <c r="H14" s="21" t="s">
        <v>70</v>
      </c>
      <c r="I14" s="21" t="s">
        <v>81</v>
      </c>
      <c r="J14" s="21" t="s">
        <v>143</v>
      </c>
      <c r="K14" s="21" t="s">
        <v>66</v>
      </c>
      <c r="L14" s="21">
        <v>66</v>
      </c>
      <c r="M14" s="21" t="s">
        <v>60</v>
      </c>
      <c r="N14" s="21" t="s">
        <v>61</v>
      </c>
      <c r="O14" s="21" t="s">
        <v>155</v>
      </c>
      <c r="P14" s="21">
        <v>4.5999999999999996</v>
      </c>
      <c r="Q14" s="21">
        <v>2.6</v>
      </c>
      <c r="R14" s="21">
        <v>6.4</v>
      </c>
      <c r="S14" s="21">
        <v>1.3</v>
      </c>
      <c r="T14" s="21">
        <v>137</v>
      </c>
      <c r="U14" s="21">
        <v>3663</v>
      </c>
      <c r="V14" s="21">
        <v>0</v>
      </c>
      <c r="W14" s="21">
        <f t="shared" si="0"/>
        <v>3814.9</v>
      </c>
      <c r="X14" s="21" t="str">
        <f t="shared" si="2"/>
        <v>1</v>
      </c>
      <c r="Y14" s="21" t="str">
        <f t="shared" si="1"/>
        <v>1</v>
      </c>
      <c r="Z14" s="22">
        <f t="shared" si="3"/>
        <v>1</v>
      </c>
      <c r="AA14" s="21">
        <v>16</v>
      </c>
      <c r="AB14" s="21">
        <v>24</v>
      </c>
      <c r="AC14" s="21">
        <v>0.02</v>
      </c>
      <c r="AD14" s="21">
        <v>39.6</v>
      </c>
      <c r="AE14" s="21">
        <f t="shared" si="4"/>
        <v>1980</v>
      </c>
      <c r="AF14" s="21" t="str">
        <f t="shared" si="5"/>
        <v>5</v>
      </c>
      <c r="AG14" s="21" t="str">
        <f t="shared" si="6"/>
        <v>1</v>
      </c>
      <c r="AH14" s="22">
        <f t="shared" si="7"/>
        <v>3</v>
      </c>
      <c r="AI14" s="21">
        <v>1</v>
      </c>
      <c r="AJ14" s="21">
        <v>289</v>
      </c>
      <c r="AK14" s="21">
        <v>181.41</v>
      </c>
      <c r="AL14" s="21">
        <v>1381</v>
      </c>
      <c r="AM14" s="21">
        <v>911.12</v>
      </c>
      <c r="AN14" s="21" t="s">
        <v>61</v>
      </c>
      <c r="AO14" s="21" t="s">
        <v>61</v>
      </c>
      <c r="AP14" s="21">
        <v>64</v>
      </c>
      <c r="AQ14" s="23" t="str">
        <f t="shared" si="8"/>
        <v>1</v>
      </c>
      <c r="AR14" s="21">
        <v>1</v>
      </c>
      <c r="AS14" s="21">
        <v>1</v>
      </c>
      <c r="AT14" s="21">
        <v>5</v>
      </c>
      <c r="AU14" s="21">
        <v>1</v>
      </c>
      <c r="AV14" s="21">
        <v>1</v>
      </c>
      <c r="AW14" s="21" t="s">
        <v>61</v>
      </c>
      <c r="AX14" s="21">
        <v>4</v>
      </c>
      <c r="AY14" s="21">
        <v>1978</v>
      </c>
      <c r="AZ14" s="21">
        <f t="shared" si="9"/>
        <v>46</v>
      </c>
      <c r="BA14" s="21" t="str">
        <f t="shared" si="10"/>
        <v>5</v>
      </c>
      <c r="BB14" s="22">
        <f>(BA14+AX14+AS14+AQ14+AI14+AH14+Z14)/5</f>
        <v>3.2</v>
      </c>
      <c r="BC14" s="21" t="s">
        <v>111</v>
      </c>
      <c r="BD14" s="24" t="s">
        <v>156</v>
      </c>
      <c r="BE14" s="21" t="s">
        <v>157</v>
      </c>
      <c r="BF14" s="21"/>
      <c r="BG14" s="21">
        <v>115000000</v>
      </c>
      <c r="BH14" s="21">
        <v>9000000</v>
      </c>
      <c r="BI14" s="21">
        <v>24974</v>
      </c>
      <c r="BJ14" s="21">
        <v>56809</v>
      </c>
      <c r="BK14" s="21">
        <v>9.6</v>
      </c>
    </row>
    <row r="15" spans="1:63" s="25" customFormat="1" ht="48" hidden="1" x14ac:dyDescent="0.2">
      <c r="A15" s="21">
        <v>20016671</v>
      </c>
      <c r="B15" s="21" t="s">
        <v>158</v>
      </c>
      <c r="C15" s="21">
        <v>33000</v>
      </c>
      <c r="D15" s="21" t="s">
        <v>152</v>
      </c>
      <c r="E15" s="21" t="s">
        <v>153</v>
      </c>
      <c r="F15" s="21" t="s">
        <v>159</v>
      </c>
      <c r="G15" s="21" t="s">
        <v>70</v>
      </c>
      <c r="H15" s="21" t="s">
        <v>70</v>
      </c>
      <c r="I15" s="21" t="s">
        <v>81</v>
      </c>
      <c r="J15" s="21" t="s">
        <v>143</v>
      </c>
      <c r="K15" s="21" t="s">
        <v>66</v>
      </c>
      <c r="L15" s="21">
        <v>66</v>
      </c>
      <c r="M15" s="21" t="s">
        <v>60</v>
      </c>
      <c r="N15" s="21" t="s">
        <v>61</v>
      </c>
      <c r="O15" s="21" t="s">
        <v>155</v>
      </c>
      <c r="P15" s="21">
        <v>6.7</v>
      </c>
      <c r="Q15" s="21">
        <v>3.1</v>
      </c>
      <c r="R15" s="21">
        <v>7.8</v>
      </c>
      <c r="S15" s="21">
        <v>1.6</v>
      </c>
      <c r="T15" s="21">
        <v>171</v>
      </c>
      <c r="U15" s="21">
        <v>3488</v>
      </c>
      <c r="V15" s="21">
        <v>0</v>
      </c>
      <c r="W15" s="21">
        <f t="shared" si="0"/>
        <v>3678.2</v>
      </c>
      <c r="X15" s="21" t="str">
        <f t="shared" si="2"/>
        <v>1</v>
      </c>
      <c r="Y15" s="21" t="str">
        <f t="shared" si="1"/>
        <v>1</v>
      </c>
      <c r="Z15" s="22">
        <f t="shared" si="3"/>
        <v>1</v>
      </c>
      <c r="AA15" s="21">
        <v>20</v>
      </c>
      <c r="AB15" s="21">
        <v>24</v>
      </c>
      <c r="AC15" s="21">
        <v>0.02</v>
      </c>
      <c r="AD15" s="21">
        <v>41.8</v>
      </c>
      <c r="AE15" s="21">
        <f t="shared" si="4"/>
        <v>2090</v>
      </c>
      <c r="AF15" s="21" t="str">
        <f t="shared" si="5"/>
        <v>4</v>
      </c>
      <c r="AG15" s="21" t="str">
        <f t="shared" si="6"/>
        <v>1</v>
      </c>
      <c r="AH15" s="22">
        <f t="shared" si="7"/>
        <v>2.5</v>
      </c>
      <c r="AI15" s="21">
        <v>1</v>
      </c>
      <c r="AJ15" s="21">
        <v>289</v>
      </c>
      <c r="AK15" s="21">
        <v>178.68</v>
      </c>
      <c r="AL15" s="21">
        <v>1381</v>
      </c>
      <c r="AM15" s="21">
        <v>897.41</v>
      </c>
      <c r="AN15" s="21" t="s">
        <v>61</v>
      </c>
      <c r="AO15" s="21" t="s">
        <v>61</v>
      </c>
      <c r="AP15" s="21">
        <v>65</v>
      </c>
      <c r="AQ15" s="23" t="str">
        <f t="shared" si="8"/>
        <v>1</v>
      </c>
      <c r="AR15" s="21">
        <v>1</v>
      </c>
      <c r="AS15" s="21">
        <v>1</v>
      </c>
      <c r="AT15" s="21">
        <v>5</v>
      </c>
      <c r="AU15" s="21">
        <v>1</v>
      </c>
      <c r="AV15" s="21">
        <v>1</v>
      </c>
      <c r="AW15" s="21" t="s">
        <v>61</v>
      </c>
      <c r="AX15" s="21">
        <v>4</v>
      </c>
      <c r="AY15" s="21">
        <v>1978</v>
      </c>
      <c r="AZ15" s="21">
        <f t="shared" si="9"/>
        <v>46</v>
      </c>
      <c r="BA15" s="21" t="str">
        <f t="shared" si="10"/>
        <v>5</v>
      </c>
      <c r="BB15" s="22">
        <f>(BA15+AX15+AS15+AQ15+AI15+AH15+Z15)/5</f>
        <v>3.1</v>
      </c>
      <c r="BC15" s="21" t="s">
        <v>111</v>
      </c>
      <c r="BD15" s="24" t="s">
        <v>156</v>
      </c>
      <c r="BE15" s="21" t="s">
        <v>157</v>
      </c>
      <c r="BF15" s="21"/>
      <c r="BG15" s="21">
        <v>115000000</v>
      </c>
      <c r="BH15" s="21">
        <v>9000000</v>
      </c>
      <c r="BI15" s="21">
        <v>26130</v>
      </c>
      <c r="BJ15" s="21">
        <v>60470</v>
      </c>
      <c r="BK15" s="21">
        <v>10.5</v>
      </c>
    </row>
    <row r="16" spans="1:63" ht="64" hidden="1" x14ac:dyDescent="0.2">
      <c r="A16" s="2">
        <v>20700518</v>
      </c>
      <c r="B16" s="2">
        <v>288860</v>
      </c>
      <c r="C16" s="2">
        <v>3000</v>
      </c>
      <c r="D16" s="2" t="s">
        <v>73</v>
      </c>
      <c r="E16" s="2" t="s">
        <v>160</v>
      </c>
      <c r="F16" s="2" t="s">
        <v>161</v>
      </c>
      <c r="G16" s="2" t="s">
        <v>125</v>
      </c>
      <c r="H16" s="2" t="s">
        <v>126</v>
      </c>
      <c r="I16" s="2" t="s">
        <v>65</v>
      </c>
      <c r="J16" s="2" t="s">
        <v>61</v>
      </c>
      <c r="K16" s="2" t="s">
        <v>66</v>
      </c>
      <c r="L16" s="2" t="s">
        <v>76</v>
      </c>
      <c r="M16" s="2" t="s">
        <v>60</v>
      </c>
      <c r="N16" s="2" t="s">
        <v>61</v>
      </c>
      <c r="O16" s="2" t="s">
        <v>130</v>
      </c>
      <c r="P16" s="2">
        <v>28</v>
      </c>
      <c r="Q16" s="2">
        <v>2.5</v>
      </c>
      <c r="R16" s="2">
        <v>5.6</v>
      </c>
      <c r="S16" s="2">
        <v>0.3</v>
      </c>
      <c r="T16" s="2">
        <v>299</v>
      </c>
      <c r="U16" s="2">
        <v>1733</v>
      </c>
      <c r="V16" s="2">
        <v>0.3</v>
      </c>
      <c r="W16" s="2">
        <f t="shared" si="0"/>
        <v>2068.4</v>
      </c>
      <c r="X16" s="2" t="str">
        <f t="shared" si="2"/>
        <v>1</v>
      </c>
      <c r="Y16" s="2" t="str">
        <f t="shared" si="1"/>
        <v>1</v>
      </c>
      <c r="Z16" s="3">
        <f t="shared" si="3"/>
        <v>1</v>
      </c>
      <c r="AA16" s="2">
        <v>40</v>
      </c>
      <c r="AB16" s="2">
        <v>12</v>
      </c>
      <c r="AC16" s="2">
        <v>0.02</v>
      </c>
      <c r="AD16" s="2">
        <v>33.299999999999997</v>
      </c>
      <c r="AE16" s="2">
        <f t="shared" si="4"/>
        <v>1664.9999999999998</v>
      </c>
      <c r="AF16" s="2" t="str">
        <f t="shared" si="5"/>
        <v>1</v>
      </c>
      <c r="AG16" s="2" t="str">
        <f t="shared" si="6"/>
        <v>1</v>
      </c>
      <c r="AH16" s="3">
        <f t="shared" si="7"/>
        <v>1</v>
      </c>
      <c r="AI16" s="2">
        <v>1</v>
      </c>
      <c r="AJ16" s="2">
        <v>50.2</v>
      </c>
      <c r="AK16" s="2">
        <f>AJ16*0.44</f>
        <v>22.088000000000001</v>
      </c>
      <c r="AL16" s="2">
        <v>125.5</v>
      </c>
      <c r="AM16" s="2">
        <f>AL16*0.44</f>
        <v>55.22</v>
      </c>
      <c r="AN16" s="2" t="s">
        <v>61</v>
      </c>
      <c r="AO16" s="2" t="s">
        <v>61</v>
      </c>
      <c r="AP16" s="2">
        <v>44</v>
      </c>
      <c r="AQ16" s="19" t="str">
        <f t="shared" si="8"/>
        <v>1</v>
      </c>
      <c r="AR16" s="2">
        <v>1</v>
      </c>
      <c r="AS16" s="2">
        <v>1</v>
      </c>
      <c r="AT16" s="2">
        <v>1</v>
      </c>
      <c r="AU16" s="2">
        <v>1</v>
      </c>
      <c r="AV16" s="2">
        <v>1</v>
      </c>
      <c r="AW16" s="2" t="s">
        <v>61</v>
      </c>
      <c r="AX16" s="2">
        <v>1</v>
      </c>
      <c r="AY16" s="2">
        <v>2008</v>
      </c>
      <c r="AZ16" s="2">
        <f t="shared" si="9"/>
        <v>16</v>
      </c>
      <c r="BA16" s="2" t="str">
        <f t="shared" si="10"/>
        <v>2</v>
      </c>
      <c r="BB16" s="3">
        <f>(BA16+AX16+AS16+AQ16+AH16+Z16+AI16)/7</f>
        <v>1.1428571428571428</v>
      </c>
      <c r="BC16" s="2" t="s">
        <v>107</v>
      </c>
      <c r="BD16" s="8" t="s">
        <v>120</v>
      </c>
      <c r="BE16" s="2"/>
      <c r="BF16" s="2"/>
      <c r="BG16" s="2"/>
      <c r="BH16" s="2"/>
      <c r="BI16" s="2">
        <v>22599</v>
      </c>
      <c r="BJ16" s="2">
        <v>66493</v>
      </c>
      <c r="BK16" s="2">
        <v>2.2000000000000002</v>
      </c>
    </row>
    <row r="17" spans="1:63" ht="96" hidden="1" x14ac:dyDescent="0.2">
      <c r="A17" s="2">
        <v>20026667</v>
      </c>
      <c r="B17" s="2">
        <v>1056109597</v>
      </c>
      <c r="C17" s="2">
        <v>14000</v>
      </c>
      <c r="D17" s="2" t="s">
        <v>73</v>
      </c>
      <c r="E17" s="2" t="s">
        <v>162</v>
      </c>
      <c r="F17" s="2" t="s">
        <v>163</v>
      </c>
      <c r="G17" s="2" t="s">
        <v>58</v>
      </c>
      <c r="H17" s="2" t="s">
        <v>59</v>
      </c>
      <c r="I17" s="2" t="s">
        <v>81</v>
      </c>
      <c r="J17" s="2" t="s">
        <v>82</v>
      </c>
      <c r="K17" s="2" t="s">
        <v>48</v>
      </c>
      <c r="L17" s="2" t="s">
        <v>76</v>
      </c>
      <c r="M17" s="2" t="s">
        <v>60</v>
      </c>
      <c r="N17" s="2" t="s">
        <v>61</v>
      </c>
      <c r="O17" s="2" t="s">
        <v>164</v>
      </c>
      <c r="P17" s="2">
        <v>4</v>
      </c>
      <c r="Q17" s="2">
        <v>12.4</v>
      </c>
      <c r="R17" s="2">
        <v>4.2</v>
      </c>
      <c r="S17" s="2">
        <v>1.9</v>
      </c>
      <c r="T17" s="2">
        <v>1297</v>
      </c>
      <c r="U17" s="2">
        <v>5297</v>
      </c>
      <c r="V17" s="2">
        <v>0</v>
      </c>
      <c r="W17" s="2">
        <f t="shared" si="0"/>
        <v>6616.5</v>
      </c>
      <c r="X17" s="2" t="str">
        <f t="shared" si="2"/>
        <v>3</v>
      </c>
      <c r="Y17" s="2" t="str">
        <f t="shared" si="1"/>
        <v>1</v>
      </c>
      <c r="Z17" s="3">
        <f t="shared" si="3"/>
        <v>2</v>
      </c>
      <c r="AA17" s="2">
        <v>43</v>
      </c>
      <c r="AB17" s="2">
        <v>9</v>
      </c>
      <c r="AC17" s="2">
        <v>0.02</v>
      </c>
      <c r="AD17" s="2">
        <v>43.7</v>
      </c>
      <c r="AE17" s="2">
        <f t="shared" si="4"/>
        <v>2185</v>
      </c>
      <c r="AF17" s="2" t="str">
        <f t="shared" si="5"/>
        <v>1</v>
      </c>
      <c r="AG17" s="2" t="str">
        <f t="shared" si="6"/>
        <v>1</v>
      </c>
      <c r="AH17" s="3">
        <f t="shared" si="7"/>
        <v>1</v>
      </c>
      <c r="AI17" s="2">
        <v>3</v>
      </c>
      <c r="AJ17" s="2">
        <v>234.29</v>
      </c>
      <c r="AK17" s="2">
        <f>AJ17*0.92</f>
        <v>215.54679999999999</v>
      </c>
      <c r="AL17" s="2">
        <v>585.72</v>
      </c>
      <c r="AM17" s="2">
        <f>AL17*0.92</f>
        <v>538.86240000000009</v>
      </c>
      <c r="AN17" s="2" t="s">
        <v>61</v>
      </c>
      <c r="AO17" s="2" t="s">
        <v>61</v>
      </c>
      <c r="AP17" s="2">
        <v>92</v>
      </c>
      <c r="AQ17" s="19" t="str">
        <f t="shared" si="8"/>
        <v>4</v>
      </c>
      <c r="AR17" s="2">
        <v>1</v>
      </c>
      <c r="AS17" s="2">
        <v>1</v>
      </c>
      <c r="AT17" s="2">
        <v>1</v>
      </c>
      <c r="AU17" s="2">
        <v>1</v>
      </c>
      <c r="AV17" s="2">
        <v>1</v>
      </c>
      <c r="AW17" s="2">
        <v>1</v>
      </c>
      <c r="AX17" s="2">
        <v>1</v>
      </c>
      <c r="AY17" s="2">
        <v>2020</v>
      </c>
      <c r="AZ17" s="2">
        <f t="shared" si="9"/>
        <v>4</v>
      </c>
      <c r="BA17" s="2" t="str">
        <f t="shared" si="10"/>
        <v>1</v>
      </c>
      <c r="BB17" s="3">
        <f>(BA17+AX17+AS17+AQ17+AH17+Z17+AI17)/7</f>
        <v>1.8571428571428572</v>
      </c>
      <c r="BC17" s="2" t="s">
        <v>105</v>
      </c>
      <c r="BD17" s="8" t="s">
        <v>127</v>
      </c>
      <c r="BE17" s="2" t="s">
        <v>165</v>
      </c>
      <c r="BF17" s="2"/>
      <c r="BG17" s="2"/>
      <c r="BH17" s="2"/>
      <c r="BI17" s="2">
        <v>3698</v>
      </c>
      <c r="BJ17" s="2">
        <v>74146</v>
      </c>
      <c r="BK17" s="2">
        <v>6.6</v>
      </c>
    </row>
    <row r="18" spans="1:63" ht="64" hidden="1" x14ac:dyDescent="0.2">
      <c r="A18" s="2">
        <v>20016679</v>
      </c>
      <c r="B18" s="2" t="s">
        <v>166</v>
      </c>
      <c r="C18" s="2">
        <v>150000</v>
      </c>
      <c r="D18" s="2" t="s">
        <v>134</v>
      </c>
      <c r="E18" s="2" t="s">
        <v>167</v>
      </c>
      <c r="F18" s="2" t="s">
        <v>168</v>
      </c>
      <c r="G18" s="2" t="s">
        <v>70</v>
      </c>
      <c r="H18" s="2" t="s">
        <v>70</v>
      </c>
      <c r="I18" s="2" t="s">
        <v>81</v>
      </c>
      <c r="J18" s="2" t="s">
        <v>82</v>
      </c>
      <c r="K18" s="2" t="s">
        <v>48</v>
      </c>
      <c r="L18" s="2">
        <v>220</v>
      </c>
      <c r="M18" s="2" t="s">
        <v>60</v>
      </c>
      <c r="N18" s="2" t="s">
        <v>61</v>
      </c>
      <c r="O18" s="2" t="s">
        <v>169</v>
      </c>
      <c r="P18" s="2">
        <v>110</v>
      </c>
      <c r="Q18" s="2">
        <v>12.5</v>
      </c>
      <c r="R18" s="2">
        <v>5.0999999999999996</v>
      </c>
      <c r="S18" s="2">
        <v>3.5</v>
      </c>
      <c r="T18" s="2">
        <v>197</v>
      </c>
      <c r="U18" s="2">
        <v>2849</v>
      </c>
      <c r="V18" s="2">
        <v>0</v>
      </c>
      <c r="W18" s="2">
        <f t="shared" si="0"/>
        <v>3177.1</v>
      </c>
      <c r="X18" s="2" t="str">
        <f t="shared" si="2"/>
        <v>1</v>
      </c>
      <c r="Y18" s="2" t="str">
        <f t="shared" si="1"/>
        <v>1</v>
      </c>
      <c r="Z18" s="3">
        <f t="shared" si="3"/>
        <v>1</v>
      </c>
      <c r="AA18" s="2">
        <v>66</v>
      </c>
      <c r="AB18" s="2">
        <v>5</v>
      </c>
      <c r="AC18" s="2">
        <v>0.02</v>
      </c>
      <c r="AD18" s="2">
        <v>44.8</v>
      </c>
      <c r="AE18" s="2">
        <f t="shared" si="4"/>
        <v>2240</v>
      </c>
      <c r="AF18" s="2" t="str">
        <f t="shared" si="5"/>
        <v>1</v>
      </c>
      <c r="AG18" s="2" t="str">
        <f t="shared" si="6"/>
        <v>1</v>
      </c>
      <c r="AH18" s="3">
        <f t="shared" si="7"/>
        <v>1</v>
      </c>
      <c r="AI18" s="2">
        <v>1</v>
      </c>
      <c r="AJ18" s="2">
        <v>397.6</v>
      </c>
      <c r="AK18" s="2">
        <f>AJ18*0.45</f>
        <v>178.92000000000002</v>
      </c>
      <c r="AL18" s="2">
        <v>787.3</v>
      </c>
      <c r="AM18" s="2">
        <f>AL18*0.45</f>
        <v>354.28499999999997</v>
      </c>
      <c r="AN18" s="2">
        <v>1312.2</v>
      </c>
      <c r="AO18" s="2" t="s">
        <v>61</v>
      </c>
      <c r="AP18" s="2">
        <v>45</v>
      </c>
      <c r="AQ18" s="19" t="str">
        <f t="shared" si="8"/>
        <v>1</v>
      </c>
      <c r="AR18" s="2">
        <v>1</v>
      </c>
      <c r="AS18" s="2">
        <v>1</v>
      </c>
      <c r="AT18" s="2">
        <v>1</v>
      </c>
      <c r="AU18" s="2">
        <v>1</v>
      </c>
      <c r="AV18" s="2">
        <v>1</v>
      </c>
      <c r="AW18" s="2">
        <v>1</v>
      </c>
      <c r="AX18" s="2">
        <v>1</v>
      </c>
      <c r="AY18" s="2">
        <v>2010</v>
      </c>
      <c r="AZ18" s="2">
        <f t="shared" si="9"/>
        <v>14</v>
      </c>
      <c r="BA18" s="2" t="str">
        <f t="shared" si="10"/>
        <v>2</v>
      </c>
      <c r="BB18" s="3">
        <f>(BA18+AX18+AS18+AQ18+AH18+Z18)/7</f>
        <v>1</v>
      </c>
      <c r="BC18" s="2" t="s">
        <v>107</v>
      </c>
      <c r="BD18" s="8" t="s">
        <v>120</v>
      </c>
      <c r="BE18" s="2"/>
      <c r="BF18" s="2"/>
      <c r="BG18" s="2"/>
      <c r="BH18" s="2"/>
      <c r="BI18" s="2">
        <v>3126</v>
      </c>
      <c r="BJ18" s="2">
        <v>22336</v>
      </c>
      <c r="BK18" s="2">
        <v>10.6</v>
      </c>
    </row>
    <row r="19" spans="1:63" ht="80" hidden="1" x14ac:dyDescent="0.2">
      <c r="A19" s="2">
        <v>20016679</v>
      </c>
      <c r="B19" s="2" t="s">
        <v>170</v>
      </c>
      <c r="C19" s="2">
        <v>30000</v>
      </c>
      <c r="D19" s="2" t="s">
        <v>152</v>
      </c>
      <c r="E19" s="2" t="s">
        <v>167</v>
      </c>
      <c r="F19" s="2" t="s">
        <v>171</v>
      </c>
      <c r="G19" s="2" t="s">
        <v>70</v>
      </c>
      <c r="H19" s="2" t="s">
        <v>70</v>
      </c>
      <c r="I19" s="2" t="s">
        <v>81</v>
      </c>
      <c r="J19" s="2" t="s">
        <v>82</v>
      </c>
      <c r="K19" s="2" t="s">
        <v>48</v>
      </c>
      <c r="L19" s="2">
        <v>66</v>
      </c>
      <c r="M19" s="2" t="s">
        <v>60</v>
      </c>
      <c r="N19" s="2" t="s">
        <v>61</v>
      </c>
      <c r="O19" s="2" t="s">
        <v>172</v>
      </c>
      <c r="P19" s="2">
        <v>2</v>
      </c>
      <c r="Q19" s="2">
        <v>33</v>
      </c>
      <c r="R19" s="2">
        <v>2.4</v>
      </c>
      <c r="S19" s="2">
        <v>4.7</v>
      </c>
      <c r="T19" s="2">
        <v>540</v>
      </c>
      <c r="U19" s="2">
        <v>6917</v>
      </c>
      <c r="V19" s="2">
        <v>0</v>
      </c>
      <c r="W19" s="2">
        <f t="shared" si="0"/>
        <v>7499.1</v>
      </c>
      <c r="X19" s="2" t="str">
        <f t="shared" si="2"/>
        <v>3</v>
      </c>
      <c r="Y19" s="2" t="str">
        <f t="shared" si="1"/>
        <v>1</v>
      </c>
      <c r="Z19" s="3">
        <f t="shared" si="3"/>
        <v>2</v>
      </c>
      <c r="AA19" s="2">
        <v>52</v>
      </c>
      <c r="AB19" s="2">
        <v>9</v>
      </c>
      <c r="AC19" s="2">
        <v>0.02</v>
      </c>
      <c r="AD19" s="2">
        <v>40.1</v>
      </c>
      <c r="AE19" s="2">
        <f t="shared" si="4"/>
        <v>2005</v>
      </c>
      <c r="AF19" s="2" t="str">
        <f t="shared" si="5"/>
        <v>1</v>
      </c>
      <c r="AG19" s="2" t="str">
        <f t="shared" si="6"/>
        <v>1</v>
      </c>
      <c r="AH19" s="3">
        <f t="shared" si="7"/>
        <v>1</v>
      </c>
      <c r="AI19" s="2">
        <v>1</v>
      </c>
      <c r="AJ19" s="2">
        <v>262.39999999999998</v>
      </c>
      <c r="AK19" s="2">
        <f>AJ19*0.76</f>
        <v>199.42399999999998</v>
      </c>
      <c r="AL19" s="2">
        <v>1255.0999999999999</v>
      </c>
      <c r="AM19" s="2">
        <f>AL19*0.76</f>
        <v>953.87599999999998</v>
      </c>
      <c r="AN19" s="2" t="s">
        <v>61</v>
      </c>
      <c r="AO19" s="2" t="s">
        <v>61</v>
      </c>
      <c r="AP19" s="2">
        <v>76</v>
      </c>
      <c r="AQ19" s="19" t="str">
        <f t="shared" si="8"/>
        <v>2</v>
      </c>
      <c r="AR19" s="2">
        <v>1</v>
      </c>
      <c r="AS19" s="2">
        <v>1</v>
      </c>
      <c r="AT19" s="2">
        <v>1</v>
      </c>
      <c r="AU19" s="2">
        <v>5</v>
      </c>
      <c r="AV19" s="2">
        <v>1</v>
      </c>
      <c r="AW19" s="2">
        <v>1</v>
      </c>
      <c r="AX19" s="2">
        <v>1</v>
      </c>
      <c r="AY19" s="2">
        <v>2011</v>
      </c>
      <c r="AZ19" s="2">
        <f t="shared" si="9"/>
        <v>13</v>
      </c>
      <c r="BA19" s="2" t="str">
        <f t="shared" si="10"/>
        <v>2</v>
      </c>
      <c r="BB19" s="3">
        <f>(BA19+AX19+AS19+AQ19+AH19+Z19)/7</f>
        <v>1.2857142857142858</v>
      </c>
      <c r="BC19" s="2" t="s">
        <v>107</v>
      </c>
      <c r="BD19" s="8" t="s">
        <v>139</v>
      </c>
      <c r="BE19" s="2" t="s">
        <v>140</v>
      </c>
      <c r="BF19" s="2"/>
      <c r="BG19" s="2"/>
      <c r="BH19" s="2"/>
      <c r="BI19" s="2">
        <v>2885</v>
      </c>
      <c r="BJ19" s="2">
        <v>40517</v>
      </c>
      <c r="BK19" s="2">
        <v>5.9</v>
      </c>
    </row>
    <row r="20" spans="1:63" s="25" customFormat="1" ht="48" hidden="1" x14ac:dyDescent="0.2">
      <c r="A20" s="21">
        <v>20016679</v>
      </c>
      <c r="B20" s="21">
        <v>1081983130</v>
      </c>
      <c r="C20" s="21">
        <v>40000</v>
      </c>
      <c r="D20" s="21" t="s">
        <v>134</v>
      </c>
      <c r="E20" s="21" t="s">
        <v>167</v>
      </c>
      <c r="F20" s="21" t="s">
        <v>173</v>
      </c>
      <c r="G20" s="21" t="s">
        <v>70</v>
      </c>
      <c r="H20" s="21" t="s">
        <v>70</v>
      </c>
      <c r="I20" s="21" t="s">
        <v>81</v>
      </c>
      <c r="J20" s="21" t="s">
        <v>82</v>
      </c>
      <c r="K20" s="21" t="s">
        <v>48</v>
      </c>
      <c r="L20" s="21">
        <v>66</v>
      </c>
      <c r="M20" s="21" t="s">
        <v>60</v>
      </c>
      <c r="N20" s="21" t="s">
        <v>61</v>
      </c>
      <c r="O20" s="21" t="s">
        <v>155</v>
      </c>
      <c r="P20" s="21">
        <v>12.9</v>
      </c>
      <c r="Q20" s="21">
        <v>19.7</v>
      </c>
      <c r="R20" s="21">
        <v>74</v>
      </c>
      <c r="S20" s="21">
        <v>13.8</v>
      </c>
      <c r="T20" s="21">
        <v>293</v>
      </c>
      <c r="U20" s="21">
        <v>5295</v>
      </c>
      <c r="V20" s="21">
        <v>0.8</v>
      </c>
      <c r="W20" s="21">
        <f t="shared" si="0"/>
        <v>5708.4</v>
      </c>
      <c r="X20" s="21" t="str">
        <f t="shared" si="2"/>
        <v>2</v>
      </c>
      <c r="Y20" s="21" t="str">
        <f t="shared" si="1"/>
        <v>1</v>
      </c>
      <c r="Z20" s="22">
        <f t="shared" si="3"/>
        <v>1.5</v>
      </c>
      <c r="AA20" s="21">
        <v>20</v>
      </c>
      <c r="AB20" s="21">
        <v>25</v>
      </c>
      <c r="AC20" s="21">
        <v>0.02</v>
      </c>
      <c r="AD20" s="21">
        <v>33.200000000000003</v>
      </c>
      <c r="AE20" s="21">
        <f t="shared" si="4"/>
        <v>1660</v>
      </c>
      <c r="AF20" s="21" t="str">
        <f t="shared" si="5"/>
        <v>4</v>
      </c>
      <c r="AG20" s="21" t="str">
        <f t="shared" si="6"/>
        <v>1</v>
      </c>
      <c r="AH20" s="22">
        <f t="shared" si="7"/>
        <v>2.5</v>
      </c>
      <c r="AI20" s="21">
        <v>1</v>
      </c>
      <c r="AJ20" s="21">
        <v>289</v>
      </c>
      <c r="AK20" s="21">
        <f>AJ20*0.81</f>
        <v>234.09</v>
      </c>
      <c r="AL20" s="21">
        <v>1381</v>
      </c>
      <c r="AM20" s="21">
        <f>AL20*0.81</f>
        <v>1118.6100000000001</v>
      </c>
      <c r="AN20" s="21" t="s">
        <v>61</v>
      </c>
      <c r="AO20" s="21" t="s">
        <v>61</v>
      </c>
      <c r="AP20" s="21">
        <v>81</v>
      </c>
      <c r="AQ20" s="23" t="str">
        <f t="shared" si="8"/>
        <v>3</v>
      </c>
      <c r="AR20" s="21">
        <v>1</v>
      </c>
      <c r="AS20" s="21">
        <v>1</v>
      </c>
      <c r="AT20" s="21">
        <v>1</v>
      </c>
      <c r="AU20" s="21">
        <v>1</v>
      </c>
      <c r="AV20" s="21">
        <v>1</v>
      </c>
      <c r="AW20" s="21" t="s">
        <v>61</v>
      </c>
      <c r="AX20" s="21">
        <v>3</v>
      </c>
      <c r="AY20" s="21">
        <v>1978</v>
      </c>
      <c r="AZ20" s="21">
        <v>1</v>
      </c>
      <c r="BA20" s="21" t="str">
        <f t="shared" si="10"/>
        <v>1</v>
      </c>
      <c r="BB20" s="22">
        <v>1</v>
      </c>
      <c r="BC20" s="21" t="s">
        <v>107</v>
      </c>
      <c r="BD20" s="24" t="s">
        <v>174</v>
      </c>
      <c r="BE20" s="21" t="s">
        <v>175</v>
      </c>
      <c r="BF20" s="21"/>
      <c r="BG20" s="21">
        <v>89500000</v>
      </c>
      <c r="BH20" s="21">
        <v>9000000</v>
      </c>
      <c r="BI20" s="21">
        <v>27121</v>
      </c>
      <c r="BJ20" s="21">
        <v>67654</v>
      </c>
      <c r="BK20" s="21">
        <v>93</v>
      </c>
    </row>
    <row r="21" spans="1:63" ht="32" hidden="1" x14ac:dyDescent="0.2">
      <c r="A21" s="2">
        <v>20016679</v>
      </c>
      <c r="B21" s="2">
        <v>1933434</v>
      </c>
      <c r="C21" s="2">
        <v>20000</v>
      </c>
      <c r="D21" s="2" t="s">
        <v>152</v>
      </c>
      <c r="E21" s="9" t="s">
        <v>167</v>
      </c>
      <c r="F21" s="2" t="s">
        <v>176</v>
      </c>
      <c r="G21" s="2" t="s">
        <v>70</v>
      </c>
      <c r="H21" s="2" t="s">
        <v>70</v>
      </c>
      <c r="I21" s="2" t="s">
        <v>81</v>
      </c>
      <c r="J21" s="2" t="s">
        <v>82</v>
      </c>
      <c r="K21" s="2" t="s">
        <v>48</v>
      </c>
      <c r="L21" s="2">
        <v>66</v>
      </c>
      <c r="M21" s="2" t="s">
        <v>60</v>
      </c>
      <c r="N21" s="2" t="s">
        <v>61</v>
      </c>
      <c r="O21" s="2" t="s">
        <v>177</v>
      </c>
      <c r="P21" s="2">
        <v>519</v>
      </c>
      <c r="Q21" s="2">
        <v>3384</v>
      </c>
      <c r="R21" s="2">
        <v>8015</v>
      </c>
      <c r="S21" s="2">
        <v>2985</v>
      </c>
      <c r="T21" s="2">
        <v>856</v>
      </c>
      <c r="U21" s="2">
        <v>10757</v>
      </c>
      <c r="V21" s="2">
        <v>22</v>
      </c>
      <c r="W21" s="2">
        <f t="shared" si="0"/>
        <v>26516</v>
      </c>
      <c r="X21" s="2" t="str">
        <f t="shared" si="2"/>
        <v>5</v>
      </c>
      <c r="Y21" s="2" t="str">
        <f t="shared" si="1"/>
        <v>5</v>
      </c>
      <c r="Z21" s="3">
        <f t="shared" si="3"/>
        <v>5</v>
      </c>
      <c r="AA21" s="2">
        <v>20</v>
      </c>
      <c r="AB21" s="2">
        <v>33</v>
      </c>
      <c r="AC21" s="2">
        <v>0.02</v>
      </c>
      <c r="AD21" s="2">
        <v>35.5</v>
      </c>
      <c r="AE21" s="2">
        <f t="shared" si="4"/>
        <v>1775</v>
      </c>
      <c r="AF21" s="2" t="str">
        <f t="shared" si="5"/>
        <v>4</v>
      </c>
      <c r="AG21" s="2" t="str">
        <f t="shared" si="6"/>
        <v>1</v>
      </c>
      <c r="AH21" s="3">
        <f t="shared" si="7"/>
        <v>2.5</v>
      </c>
      <c r="AI21" s="2">
        <v>5</v>
      </c>
      <c r="AJ21" s="2">
        <v>175</v>
      </c>
      <c r="AK21" s="2">
        <f>AJ21*0.95</f>
        <v>166.25</v>
      </c>
      <c r="AL21" s="2">
        <v>837</v>
      </c>
      <c r="AM21" s="2">
        <f>AL21*0.95</f>
        <v>795.15</v>
      </c>
      <c r="AN21" s="2" t="s">
        <v>61</v>
      </c>
      <c r="AO21" s="2" t="s">
        <v>61</v>
      </c>
      <c r="AP21" s="2">
        <v>95</v>
      </c>
      <c r="AQ21" s="19" t="str">
        <f t="shared" si="8"/>
        <v>4</v>
      </c>
      <c r="AR21" s="2">
        <v>1</v>
      </c>
      <c r="AS21" s="2">
        <v>1</v>
      </c>
      <c r="AT21" s="2">
        <v>5</v>
      </c>
      <c r="AU21" s="2">
        <v>1</v>
      </c>
      <c r="AV21" s="2">
        <v>5</v>
      </c>
      <c r="AW21" s="2">
        <v>5</v>
      </c>
      <c r="AX21" s="2">
        <v>5</v>
      </c>
      <c r="AY21" s="2">
        <v>1993</v>
      </c>
      <c r="AZ21" s="2">
        <f t="shared" si="9"/>
        <v>31</v>
      </c>
      <c r="BA21" s="2" t="str">
        <f t="shared" si="10"/>
        <v>4</v>
      </c>
      <c r="BB21" s="3">
        <v>5</v>
      </c>
      <c r="BC21" s="2" t="s">
        <v>114</v>
      </c>
      <c r="BD21" s="8" t="s">
        <v>178</v>
      </c>
      <c r="BE21" s="2" t="s">
        <v>140</v>
      </c>
      <c r="BF21" s="2">
        <v>115000000</v>
      </c>
      <c r="BG21" s="2">
        <v>89500000</v>
      </c>
      <c r="BH21" s="2">
        <v>18000000</v>
      </c>
      <c r="BI21" s="2">
        <v>14256</v>
      </c>
      <c r="BJ21" s="2">
        <v>64173</v>
      </c>
      <c r="BK21" s="2">
        <v>11934</v>
      </c>
    </row>
    <row r="22" spans="1:63" s="25" customFormat="1" ht="96" hidden="1" x14ac:dyDescent="0.2">
      <c r="A22" s="21">
        <v>20036683</v>
      </c>
      <c r="B22" s="21">
        <v>58982</v>
      </c>
      <c r="C22" s="21">
        <v>60000</v>
      </c>
      <c r="D22" s="21" t="s">
        <v>134</v>
      </c>
      <c r="E22" s="21" t="s">
        <v>179</v>
      </c>
      <c r="F22" s="21" t="s">
        <v>180</v>
      </c>
      <c r="G22" s="21" t="s">
        <v>125</v>
      </c>
      <c r="H22" s="21" t="s">
        <v>148</v>
      </c>
      <c r="I22" s="21" t="s">
        <v>81</v>
      </c>
      <c r="J22" s="21" t="s">
        <v>82</v>
      </c>
      <c r="K22" s="21" t="s">
        <v>48</v>
      </c>
      <c r="L22" s="21">
        <v>110</v>
      </c>
      <c r="M22" s="21" t="s">
        <v>137</v>
      </c>
      <c r="N22" s="21" t="s">
        <v>60</v>
      </c>
      <c r="O22" s="21" t="s">
        <v>138</v>
      </c>
      <c r="P22" s="21">
        <v>42</v>
      </c>
      <c r="Q22" s="21">
        <v>82</v>
      </c>
      <c r="R22" s="21">
        <v>5.9</v>
      </c>
      <c r="S22" s="21">
        <v>39</v>
      </c>
      <c r="T22" s="21">
        <v>311</v>
      </c>
      <c r="U22" s="21">
        <v>3550</v>
      </c>
      <c r="V22" s="21">
        <v>0</v>
      </c>
      <c r="W22" s="21">
        <f t="shared" si="0"/>
        <v>4029.9</v>
      </c>
      <c r="X22" s="21" t="str">
        <f t="shared" si="2"/>
        <v>2</v>
      </c>
      <c r="Y22" s="21" t="str">
        <f t="shared" si="1"/>
        <v>1</v>
      </c>
      <c r="Z22" s="22">
        <f t="shared" si="3"/>
        <v>1.5</v>
      </c>
      <c r="AA22" s="21">
        <v>64</v>
      </c>
      <c r="AB22" s="21">
        <v>7</v>
      </c>
      <c r="AC22" s="21">
        <v>0.02</v>
      </c>
      <c r="AD22" s="21">
        <v>37.299999999999997</v>
      </c>
      <c r="AE22" s="21">
        <f t="shared" si="4"/>
        <v>1864.9999999999998</v>
      </c>
      <c r="AF22" s="21" t="str">
        <f t="shared" si="5"/>
        <v>1</v>
      </c>
      <c r="AG22" s="21" t="str">
        <f t="shared" si="6"/>
        <v>1</v>
      </c>
      <c r="AH22" s="22">
        <f t="shared" si="7"/>
        <v>1</v>
      </c>
      <c r="AI22" s="21">
        <v>1</v>
      </c>
      <c r="AJ22" s="21">
        <v>314.89999999999998</v>
      </c>
      <c r="AK22" s="21">
        <f>AJ22*0.89</f>
        <v>280.26099999999997</v>
      </c>
      <c r="AL22" s="21">
        <v>502.4</v>
      </c>
      <c r="AM22" s="21">
        <f>AL22*0.87</f>
        <v>437.08799999999997</v>
      </c>
      <c r="AN22" s="21">
        <v>1464.3</v>
      </c>
      <c r="AO22" s="21">
        <f>AN22*0.69</f>
        <v>1010.3669999999998</v>
      </c>
      <c r="AP22" s="21">
        <v>89</v>
      </c>
      <c r="AQ22" s="23" t="str">
        <f t="shared" si="8"/>
        <v>3</v>
      </c>
      <c r="AR22" s="21">
        <v>1</v>
      </c>
      <c r="AS22" s="21">
        <v>1</v>
      </c>
      <c r="AT22" s="21">
        <v>1</v>
      </c>
      <c r="AU22" s="21">
        <v>1</v>
      </c>
      <c r="AV22" s="21">
        <v>1</v>
      </c>
      <c r="AW22" s="21">
        <v>1</v>
      </c>
      <c r="AX22" s="21">
        <v>1</v>
      </c>
      <c r="AY22" s="21">
        <v>1991</v>
      </c>
      <c r="AZ22" s="21">
        <f t="shared" si="9"/>
        <v>33</v>
      </c>
      <c r="BA22" s="21" t="str">
        <f t="shared" si="10"/>
        <v>4</v>
      </c>
      <c r="BB22" s="22">
        <f t="shared" ref="BB22:BB30" si="11">(BA22+AX22+AS22+AQ22+AH22+Z22)/7</f>
        <v>1.6428571428571428</v>
      </c>
      <c r="BC22" s="21" t="s">
        <v>105</v>
      </c>
      <c r="BD22" s="24" t="s">
        <v>127</v>
      </c>
      <c r="BE22" s="21" t="s">
        <v>181</v>
      </c>
      <c r="BF22" s="21"/>
      <c r="BG22" s="21"/>
      <c r="BH22" s="21"/>
      <c r="BI22" s="21">
        <v>1270</v>
      </c>
      <c r="BJ22" s="21">
        <v>82550</v>
      </c>
      <c r="BK22" s="21">
        <v>27</v>
      </c>
    </row>
    <row r="23" spans="1:63" s="25" customFormat="1" ht="48" x14ac:dyDescent="0.2">
      <c r="A23" s="21">
        <v>20056686</v>
      </c>
      <c r="B23" s="21">
        <v>181656</v>
      </c>
      <c r="C23" s="21">
        <v>5000</v>
      </c>
      <c r="D23" s="21" t="s">
        <v>73</v>
      </c>
      <c r="E23" s="53" t="s">
        <v>182</v>
      </c>
      <c r="F23" s="21" t="s">
        <v>183</v>
      </c>
      <c r="G23" s="21" t="s">
        <v>125</v>
      </c>
      <c r="H23" s="21" t="s">
        <v>126</v>
      </c>
      <c r="I23" s="21" t="s">
        <v>81</v>
      </c>
      <c r="J23" s="21" t="s">
        <v>82</v>
      </c>
      <c r="K23" s="21" t="s">
        <v>66</v>
      </c>
      <c r="L23" s="21" t="s">
        <v>76</v>
      </c>
      <c r="M23" s="21" t="s">
        <v>60</v>
      </c>
      <c r="N23" s="21" t="s">
        <v>61</v>
      </c>
      <c r="O23" s="21" t="s">
        <v>130</v>
      </c>
      <c r="P23" s="21">
        <v>2038</v>
      </c>
      <c r="Q23" s="21">
        <v>263</v>
      </c>
      <c r="R23" s="21">
        <v>4.8</v>
      </c>
      <c r="S23" s="21">
        <v>52</v>
      </c>
      <c r="T23" s="21">
        <v>498</v>
      </c>
      <c r="U23" s="21">
        <v>5503</v>
      </c>
      <c r="V23" s="21">
        <v>3.1</v>
      </c>
      <c r="W23" s="21">
        <f t="shared" si="0"/>
        <v>8358.7999999999993</v>
      </c>
      <c r="X23" s="2" t="str">
        <f t="shared" si="2"/>
        <v>3</v>
      </c>
      <c r="Y23" s="2" t="str">
        <f t="shared" si="1"/>
        <v>1</v>
      </c>
      <c r="Z23" s="3">
        <f t="shared" si="3"/>
        <v>2</v>
      </c>
      <c r="AA23" s="21">
        <v>32</v>
      </c>
      <c r="AB23" s="21">
        <v>23</v>
      </c>
      <c r="AC23" s="21">
        <v>0.08</v>
      </c>
      <c r="AD23" s="21">
        <v>22.3</v>
      </c>
      <c r="AE23" s="21">
        <f t="shared" si="4"/>
        <v>278.75</v>
      </c>
      <c r="AF23" s="21" t="str">
        <f t="shared" si="5"/>
        <v>2</v>
      </c>
      <c r="AG23" s="21" t="str">
        <f t="shared" si="6"/>
        <v>5</v>
      </c>
      <c r="AH23" s="22">
        <v>5</v>
      </c>
      <c r="AI23" s="21">
        <v>2</v>
      </c>
      <c r="AJ23" s="21">
        <v>84</v>
      </c>
      <c r="AK23" s="21">
        <f>AJ23*0.504</f>
        <v>42.335999999999999</v>
      </c>
      <c r="AL23" s="21">
        <v>209</v>
      </c>
      <c r="AM23" s="21">
        <f>AL23*0.504</f>
        <v>105.336</v>
      </c>
      <c r="AN23" s="21" t="s">
        <v>61</v>
      </c>
      <c r="AO23" s="21" t="s">
        <v>61</v>
      </c>
      <c r="AP23" s="21">
        <v>50.4</v>
      </c>
      <c r="AQ23" s="23" t="str">
        <f t="shared" si="8"/>
        <v>1</v>
      </c>
      <c r="AR23" s="21">
        <v>1</v>
      </c>
      <c r="AS23" s="21">
        <v>1</v>
      </c>
      <c r="AT23" s="21">
        <v>1</v>
      </c>
      <c r="AU23" s="21">
        <v>1</v>
      </c>
      <c r="AV23" s="21">
        <v>1</v>
      </c>
      <c r="AW23" s="21" t="s">
        <v>61</v>
      </c>
      <c r="AX23" s="21">
        <v>1</v>
      </c>
      <c r="AY23" s="21">
        <v>1993</v>
      </c>
      <c r="AZ23" s="21">
        <f t="shared" si="9"/>
        <v>31</v>
      </c>
      <c r="BA23" s="21" t="str">
        <f t="shared" si="10"/>
        <v>4</v>
      </c>
      <c r="BB23" s="22">
        <f>(BA23+AX23+AS23+AQ23+AH23+Z23+AI23)/4</f>
        <v>4</v>
      </c>
      <c r="BC23" s="21" t="s">
        <v>184</v>
      </c>
      <c r="BD23" s="24" t="s">
        <v>185</v>
      </c>
      <c r="BE23" s="21" t="s">
        <v>186</v>
      </c>
      <c r="BF23" s="27"/>
      <c r="BG23" s="27">
        <v>115000000</v>
      </c>
      <c r="BH23" s="27">
        <v>4500000</v>
      </c>
      <c r="BI23" s="21">
        <v>16422</v>
      </c>
      <c r="BJ23" s="21">
        <v>90025</v>
      </c>
      <c r="BK23" s="21">
        <v>47</v>
      </c>
    </row>
    <row r="24" spans="1:63" s="25" customFormat="1" ht="64" hidden="1" x14ac:dyDescent="0.2">
      <c r="A24" s="21">
        <v>20017565</v>
      </c>
      <c r="B24" s="21">
        <v>1057609450</v>
      </c>
      <c r="C24" s="21">
        <v>12000</v>
      </c>
      <c r="D24" s="21" t="s">
        <v>73</v>
      </c>
      <c r="E24" s="21" t="s">
        <v>187</v>
      </c>
      <c r="F24" s="21" t="s">
        <v>188</v>
      </c>
      <c r="G24" s="21" t="s">
        <v>70</v>
      </c>
      <c r="H24" s="21" t="s">
        <v>70</v>
      </c>
      <c r="I24" s="21" t="s">
        <v>81</v>
      </c>
      <c r="J24" s="21" t="s">
        <v>82</v>
      </c>
      <c r="K24" s="21" t="s">
        <v>48</v>
      </c>
      <c r="L24" s="21">
        <v>66</v>
      </c>
      <c r="M24" s="21" t="s">
        <v>137</v>
      </c>
      <c r="N24" s="21" t="s">
        <v>60</v>
      </c>
      <c r="O24" s="21" t="s">
        <v>189</v>
      </c>
      <c r="P24" s="21">
        <v>13</v>
      </c>
      <c r="Q24" s="21">
        <v>5.7</v>
      </c>
      <c r="R24" s="21">
        <v>2</v>
      </c>
      <c r="S24" s="21">
        <v>0.8</v>
      </c>
      <c r="T24" s="21">
        <v>725</v>
      </c>
      <c r="U24" s="21">
        <v>3690</v>
      </c>
      <c r="V24" s="21">
        <v>0</v>
      </c>
      <c r="W24" s="21">
        <f t="shared" si="0"/>
        <v>4436.5</v>
      </c>
      <c r="X24" s="21" t="str">
        <f t="shared" si="2"/>
        <v>2</v>
      </c>
      <c r="Y24" s="21" t="str">
        <f t="shared" si="1"/>
        <v>1</v>
      </c>
      <c r="Z24" s="22">
        <f t="shared" si="3"/>
        <v>1.5</v>
      </c>
      <c r="AA24" s="21">
        <v>28</v>
      </c>
      <c r="AB24" s="21">
        <v>16</v>
      </c>
      <c r="AC24" s="21">
        <v>2E-3</v>
      </c>
      <c r="AD24" s="21">
        <v>46.3</v>
      </c>
      <c r="AE24" s="21">
        <f t="shared" si="4"/>
        <v>23149.999999999996</v>
      </c>
      <c r="AF24" s="21" t="str">
        <f t="shared" si="5"/>
        <v>2</v>
      </c>
      <c r="AG24" s="21" t="str">
        <f t="shared" si="6"/>
        <v>1</v>
      </c>
      <c r="AH24" s="22">
        <f t="shared" si="7"/>
        <v>1.5</v>
      </c>
      <c r="AI24" s="21">
        <v>1</v>
      </c>
      <c r="AJ24" s="21">
        <v>104.97</v>
      </c>
      <c r="AK24" s="21">
        <f>AJ24*0.56</f>
        <v>58.783200000000008</v>
      </c>
      <c r="AL24" s="21">
        <v>200.82</v>
      </c>
      <c r="AM24" s="21">
        <f>AL24*0.43</f>
        <v>86.352599999999995</v>
      </c>
      <c r="AN24" s="21">
        <v>167.35</v>
      </c>
      <c r="AO24" s="21">
        <f>AN24*0.94</f>
        <v>157.309</v>
      </c>
      <c r="AP24" s="21">
        <v>94</v>
      </c>
      <c r="AQ24" s="23" t="str">
        <f t="shared" si="8"/>
        <v>4</v>
      </c>
      <c r="AR24" s="21">
        <v>1</v>
      </c>
      <c r="AS24" s="21">
        <v>1</v>
      </c>
      <c r="AT24" s="21">
        <v>1</v>
      </c>
      <c r="AU24" s="21">
        <v>1</v>
      </c>
      <c r="AV24" s="21">
        <v>1</v>
      </c>
      <c r="AW24" s="21">
        <v>1</v>
      </c>
      <c r="AX24" s="21">
        <v>1</v>
      </c>
      <c r="AY24" s="21">
        <v>2021</v>
      </c>
      <c r="AZ24" s="21">
        <f t="shared" si="9"/>
        <v>3</v>
      </c>
      <c r="BA24" s="21" t="str">
        <f t="shared" si="10"/>
        <v>1</v>
      </c>
      <c r="BB24" s="22">
        <f t="shared" si="11"/>
        <v>1.4285714285714286</v>
      </c>
      <c r="BC24" s="21" t="s">
        <v>107</v>
      </c>
      <c r="BD24" s="24" t="s">
        <v>120</v>
      </c>
      <c r="BE24" s="21"/>
      <c r="BF24" s="21"/>
      <c r="BG24" s="21"/>
      <c r="BH24" s="21"/>
      <c r="BI24" s="21">
        <v>1620</v>
      </c>
      <c r="BJ24" s="21">
        <v>57163</v>
      </c>
      <c r="BK24" s="21">
        <v>2.2000000000000002</v>
      </c>
    </row>
    <row r="25" spans="1:63" s="25" customFormat="1" ht="16" hidden="1" x14ac:dyDescent="0.2">
      <c r="A25" s="21">
        <v>20017565</v>
      </c>
      <c r="B25" s="21" t="s">
        <v>190</v>
      </c>
      <c r="C25" s="21">
        <v>12000</v>
      </c>
      <c r="D25" s="21" t="s">
        <v>73</v>
      </c>
      <c r="E25" s="21" t="s">
        <v>187</v>
      </c>
      <c r="F25" s="21" t="s">
        <v>191</v>
      </c>
      <c r="G25" s="21" t="s">
        <v>70</v>
      </c>
      <c r="H25" s="21" t="s">
        <v>70</v>
      </c>
      <c r="I25" s="21" t="s">
        <v>81</v>
      </c>
      <c r="J25" s="21" t="s">
        <v>82</v>
      </c>
      <c r="K25" s="21" t="s">
        <v>48</v>
      </c>
      <c r="L25" s="21">
        <v>66</v>
      </c>
      <c r="M25" s="21" t="s">
        <v>137</v>
      </c>
      <c r="N25" s="21" t="s">
        <v>60</v>
      </c>
      <c r="O25" s="21" t="s">
        <v>189</v>
      </c>
      <c r="P25" s="21">
        <v>16.8</v>
      </c>
      <c r="Q25" s="21">
        <v>26</v>
      </c>
      <c r="R25" s="21">
        <v>34</v>
      </c>
      <c r="S25" s="21">
        <v>13</v>
      </c>
      <c r="T25" s="21">
        <v>1408</v>
      </c>
      <c r="U25" s="21">
        <v>5794</v>
      </c>
      <c r="V25" s="21">
        <v>0</v>
      </c>
      <c r="W25" s="21">
        <f t="shared" si="0"/>
        <v>7291.8</v>
      </c>
      <c r="X25" s="21" t="str">
        <f t="shared" si="2"/>
        <v>3</v>
      </c>
      <c r="Y25" s="21" t="str">
        <f t="shared" si="1"/>
        <v>1</v>
      </c>
      <c r="Z25" s="22">
        <f t="shared" si="3"/>
        <v>2</v>
      </c>
      <c r="AA25" s="21">
        <v>28</v>
      </c>
      <c r="AB25" s="21">
        <v>17</v>
      </c>
      <c r="AC25" s="21">
        <v>0.02</v>
      </c>
      <c r="AD25" s="21">
        <v>39.200000000000003</v>
      </c>
      <c r="AE25" s="21">
        <f t="shared" si="4"/>
        <v>1960</v>
      </c>
      <c r="AF25" s="21" t="str">
        <f t="shared" si="5"/>
        <v>2</v>
      </c>
      <c r="AG25" s="21" t="str">
        <f t="shared" si="6"/>
        <v>1</v>
      </c>
      <c r="AH25" s="22">
        <f t="shared" si="7"/>
        <v>1.5</v>
      </c>
      <c r="AI25" s="21">
        <v>5</v>
      </c>
      <c r="AJ25" s="21">
        <v>105</v>
      </c>
      <c r="AK25" s="21">
        <f>AJ25*0.56</f>
        <v>58.800000000000004</v>
      </c>
      <c r="AL25" s="21">
        <v>200.8</v>
      </c>
      <c r="AM25" s="21">
        <f>AL25*0.43</f>
        <v>86.344000000000008</v>
      </c>
      <c r="AN25" s="21">
        <v>167.3</v>
      </c>
      <c r="AO25" s="21">
        <f>AN25*0.94</f>
        <v>157.262</v>
      </c>
      <c r="AP25" s="21">
        <v>94</v>
      </c>
      <c r="AQ25" s="23" t="str">
        <f t="shared" si="8"/>
        <v>4</v>
      </c>
      <c r="AR25" s="21">
        <v>1</v>
      </c>
      <c r="AS25" s="21">
        <v>1</v>
      </c>
      <c r="AT25" s="21">
        <v>1</v>
      </c>
      <c r="AU25" s="21">
        <v>5</v>
      </c>
      <c r="AV25" s="21">
        <v>5</v>
      </c>
      <c r="AW25" s="21">
        <v>1</v>
      </c>
      <c r="AX25" s="21">
        <v>5</v>
      </c>
      <c r="AY25" s="21">
        <v>1984</v>
      </c>
      <c r="AZ25" s="21">
        <f t="shared" si="9"/>
        <v>40</v>
      </c>
      <c r="BA25" s="21" t="str">
        <f t="shared" si="10"/>
        <v>5</v>
      </c>
      <c r="BB25" s="22">
        <f t="shared" si="11"/>
        <v>2.6428571428571428</v>
      </c>
      <c r="BC25" s="21" t="s">
        <v>111</v>
      </c>
      <c r="BD25" s="24" t="s">
        <v>192</v>
      </c>
      <c r="BE25" s="21" t="s">
        <v>193</v>
      </c>
      <c r="BF25" s="21">
        <v>65400000</v>
      </c>
      <c r="BG25" s="21">
        <v>68900000</v>
      </c>
      <c r="BH25" s="21">
        <v>12000000</v>
      </c>
      <c r="BI25" s="21">
        <v>519</v>
      </c>
      <c r="BJ25" s="21">
        <v>71702</v>
      </c>
      <c r="BK25" s="21">
        <v>11.3</v>
      </c>
    </row>
    <row r="26" spans="1:63" ht="64" hidden="1" x14ac:dyDescent="0.2">
      <c r="A26" s="2">
        <v>20700071</v>
      </c>
      <c r="B26" s="2" t="s">
        <v>194</v>
      </c>
      <c r="C26" s="2">
        <v>150000</v>
      </c>
      <c r="D26" s="2" t="s">
        <v>134</v>
      </c>
      <c r="E26" s="2" t="s">
        <v>195</v>
      </c>
      <c r="F26" s="2" t="s">
        <v>196</v>
      </c>
      <c r="G26" s="2" t="s">
        <v>70</v>
      </c>
      <c r="H26" s="2" t="s">
        <v>70</v>
      </c>
      <c r="I26" s="2" t="s">
        <v>81</v>
      </c>
      <c r="J26" s="2" t="s">
        <v>82</v>
      </c>
      <c r="K26" s="2" t="s">
        <v>48</v>
      </c>
      <c r="L26" s="2">
        <v>220</v>
      </c>
      <c r="M26" s="2">
        <v>110</v>
      </c>
      <c r="N26" s="2" t="s">
        <v>61</v>
      </c>
      <c r="O26" s="2" t="s">
        <v>169</v>
      </c>
      <c r="P26" s="2">
        <v>5.8</v>
      </c>
      <c r="Q26" s="2">
        <v>34</v>
      </c>
      <c r="R26" s="2">
        <v>17.899999999999999</v>
      </c>
      <c r="S26" s="2">
        <v>7.4</v>
      </c>
      <c r="T26" s="2">
        <v>1274</v>
      </c>
      <c r="U26" s="2">
        <v>2944</v>
      </c>
      <c r="V26" s="2">
        <v>0</v>
      </c>
      <c r="W26" s="2">
        <f t="shared" si="0"/>
        <v>4283.1000000000004</v>
      </c>
      <c r="X26" s="2" t="str">
        <f t="shared" si="2"/>
        <v>2</v>
      </c>
      <c r="Y26" s="2" t="str">
        <f t="shared" si="1"/>
        <v>1</v>
      </c>
      <c r="Z26" s="3">
        <f t="shared" si="3"/>
        <v>1.5</v>
      </c>
      <c r="AA26" s="2">
        <v>51</v>
      </c>
      <c r="AB26" s="2">
        <v>10</v>
      </c>
      <c r="AC26" s="2">
        <v>0.02</v>
      </c>
      <c r="AD26" s="2">
        <v>46.5</v>
      </c>
      <c r="AE26" s="2">
        <f t="shared" si="4"/>
        <v>2325</v>
      </c>
      <c r="AF26" s="2" t="str">
        <f t="shared" si="5"/>
        <v>1</v>
      </c>
      <c r="AG26" s="2" t="str">
        <f t="shared" si="6"/>
        <v>1</v>
      </c>
      <c r="AH26" s="3">
        <f t="shared" si="7"/>
        <v>1</v>
      </c>
      <c r="AI26" s="2">
        <v>3</v>
      </c>
      <c r="AJ26" s="2">
        <v>393.6</v>
      </c>
      <c r="AK26" s="2">
        <f>AJ26*0.42</f>
        <v>165.31200000000001</v>
      </c>
      <c r="AL26" s="2">
        <v>783.3</v>
      </c>
      <c r="AM26" s="2">
        <f>AL26*0.42</f>
        <v>328.98599999999999</v>
      </c>
      <c r="AN26" s="2">
        <v>2091.8000000000002</v>
      </c>
      <c r="AO26" s="2">
        <v>0</v>
      </c>
      <c r="AP26" s="2">
        <v>42</v>
      </c>
      <c r="AQ26" s="19" t="str">
        <f t="shared" si="8"/>
        <v>1</v>
      </c>
      <c r="AR26" s="2">
        <v>1</v>
      </c>
      <c r="AS26" s="2">
        <v>1</v>
      </c>
      <c r="AT26" s="2">
        <v>1</v>
      </c>
      <c r="AU26" s="2">
        <v>1</v>
      </c>
      <c r="AV26" s="2">
        <v>1</v>
      </c>
      <c r="AW26" s="2">
        <v>1</v>
      </c>
      <c r="AX26" s="2">
        <v>1</v>
      </c>
      <c r="AY26" s="2">
        <v>2012</v>
      </c>
      <c r="AZ26" s="2">
        <f t="shared" si="9"/>
        <v>12</v>
      </c>
      <c r="BA26" s="2" t="str">
        <f t="shared" si="10"/>
        <v>2</v>
      </c>
      <c r="BB26" s="3">
        <f t="shared" si="11"/>
        <v>1.0714285714285714</v>
      </c>
      <c r="BC26" s="2" t="s">
        <v>107</v>
      </c>
      <c r="BD26" s="8" t="s">
        <v>120</v>
      </c>
      <c r="BE26" s="2"/>
      <c r="BF26" s="2"/>
      <c r="BG26" s="2"/>
      <c r="BH26" s="2"/>
      <c r="BI26" s="2">
        <v>1532</v>
      </c>
      <c r="BJ26" s="2">
        <v>54609</v>
      </c>
      <c r="BK26" s="2">
        <v>17.7</v>
      </c>
    </row>
    <row r="27" spans="1:63" ht="64" hidden="1" x14ac:dyDescent="0.2">
      <c r="A27" s="2">
        <v>20700071</v>
      </c>
      <c r="B27" s="2">
        <v>316115</v>
      </c>
      <c r="C27" s="2">
        <v>100000</v>
      </c>
      <c r="D27" s="2" t="s">
        <v>134</v>
      </c>
      <c r="E27" s="2" t="s">
        <v>195</v>
      </c>
      <c r="F27" s="2" t="s">
        <v>197</v>
      </c>
      <c r="G27" s="2" t="s">
        <v>70</v>
      </c>
      <c r="H27" s="2" t="s">
        <v>70</v>
      </c>
      <c r="I27" s="2" t="s">
        <v>81</v>
      </c>
      <c r="J27" s="2" t="s">
        <v>82</v>
      </c>
      <c r="K27" s="2" t="s">
        <v>48</v>
      </c>
      <c r="L27" s="2">
        <v>220</v>
      </c>
      <c r="M27" s="2">
        <v>110</v>
      </c>
      <c r="N27" s="2" t="s">
        <v>61</v>
      </c>
      <c r="O27" s="2" t="s">
        <v>198</v>
      </c>
      <c r="P27" s="2">
        <v>7.8</v>
      </c>
      <c r="Q27" s="2">
        <v>95</v>
      </c>
      <c r="R27" s="2">
        <v>11.7</v>
      </c>
      <c r="S27" s="2">
        <v>25</v>
      </c>
      <c r="T27" s="2">
        <v>394</v>
      </c>
      <c r="U27" s="2">
        <v>5629</v>
      </c>
      <c r="V27" s="2">
        <v>0.1</v>
      </c>
      <c r="W27" s="2">
        <f t="shared" si="0"/>
        <v>6162.5</v>
      </c>
      <c r="X27" s="2" t="str">
        <f t="shared" si="2"/>
        <v>2</v>
      </c>
      <c r="Y27" s="2" t="str">
        <f t="shared" si="1"/>
        <v>1</v>
      </c>
      <c r="Z27" s="3">
        <f t="shared" si="3"/>
        <v>1.5</v>
      </c>
      <c r="AA27" s="2">
        <v>61</v>
      </c>
      <c r="AB27" s="2">
        <v>9</v>
      </c>
      <c r="AC27" s="2">
        <v>0.02</v>
      </c>
      <c r="AD27" s="2">
        <v>41.3</v>
      </c>
      <c r="AE27" s="2">
        <f t="shared" si="4"/>
        <v>2065</v>
      </c>
      <c r="AF27" s="2" t="str">
        <f t="shared" si="5"/>
        <v>1</v>
      </c>
      <c r="AG27" s="2" t="str">
        <f t="shared" si="6"/>
        <v>1</v>
      </c>
      <c r="AH27" s="3">
        <f t="shared" si="7"/>
        <v>1</v>
      </c>
      <c r="AI27" s="2">
        <v>3</v>
      </c>
      <c r="AJ27" s="2">
        <v>262.39999999999998</v>
      </c>
      <c r="AK27" s="2">
        <f>AJ27*0.42</f>
        <v>110.20799999999998</v>
      </c>
      <c r="AL27" s="2">
        <v>524.9</v>
      </c>
      <c r="AM27" s="2">
        <f>AL27*0.42</f>
        <v>220.45799999999997</v>
      </c>
      <c r="AN27" s="2" t="s">
        <v>61</v>
      </c>
      <c r="AO27" s="2" t="s">
        <v>61</v>
      </c>
      <c r="AP27" s="2">
        <v>42</v>
      </c>
      <c r="AQ27" s="19" t="str">
        <f t="shared" si="8"/>
        <v>1</v>
      </c>
      <c r="AR27" s="2">
        <v>1</v>
      </c>
      <c r="AS27" s="2">
        <v>1</v>
      </c>
      <c r="AT27" s="2">
        <v>1</v>
      </c>
      <c r="AU27" s="2">
        <v>1</v>
      </c>
      <c r="AV27" s="2">
        <v>1</v>
      </c>
      <c r="AW27" s="2">
        <v>1</v>
      </c>
      <c r="AX27" s="2">
        <v>1</v>
      </c>
      <c r="AY27" s="2">
        <v>2021</v>
      </c>
      <c r="AZ27" s="2">
        <f t="shared" si="9"/>
        <v>3</v>
      </c>
      <c r="BA27" s="2" t="str">
        <f t="shared" si="10"/>
        <v>1</v>
      </c>
      <c r="BB27" s="3">
        <f t="shared" si="11"/>
        <v>0.9285714285714286</v>
      </c>
      <c r="BC27" s="2" t="s">
        <v>107</v>
      </c>
      <c r="BD27" s="8" t="s">
        <v>120</v>
      </c>
      <c r="BE27" s="2"/>
      <c r="BF27" s="2"/>
      <c r="BG27" s="2"/>
      <c r="BH27" s="2"/>
      <c r="BI27" s="2">
        <v>2902</v>
      </c>
      <c r="BJ27" s="2">
        <v>70683</v>
      </c>
      <c r="BK27" s="2">
        <v>14.8</v>
      </c>
    </row>
    <row r="28" spans="1:63" ht="96" hidden="1" x14ac:dyDescent="0.2">
      <c r="A28" s="2">
        <v>20700071</v>
      </c>
      <c r="B28" s="2">
        <v>1076935363</v>
      </c>
      <c r="C28" s="2">
        <v>30000</v>
      </c>
      <c r="D28" s="2" t="s">
        <v>152</v>
      </c>
      <c r="E28" s="2" t="s">
        <v>195</v>
      </c>
      <c r="F28" s="2" t="s">
        <v>199</v>
      </c>
      <c r="G28" s="2" t="s">
        <v>70</v>
      </c>
      <c r="H28" s="2" t="s">
        <v>70</v>
      </c>
      <c r="I28" s="2" t="s">
        <v>81</v>
      </c>
      <c r="J28" s="2" t="s">
        <v>82</v>
      </c>
      <c r="K28" s="2" t="s">
        <v>48</v>
      </c>
      <c r="L28" s="2">
        <v>110</v>
      </c>
      <c r="M28" s="2" t="s">
        <v>60</v>
      </c>
      <c r="N28" s="2" t="s">
        <v>61</v>
      </c>
      <c r="O28" s="2" t="s">
        <v>172</v>
      </c>
      <c r="P28" s="2">
        <v>0</v>
      </c>
      <c r="Q28" s="2">
        <v>0</v>
      </c>
      <c r="R28" s="2">
        <v>0</v>
      </c>
      <c r="S28" s="2">
        <v>0</v>
      </c>
      <c r="T28" s="2">
        <v>0</v>
      </c>
      <c r="U28" s="2">
        <v>27</v>
      </c>
      <c r="V28" s="2">
        <v>0</v>
      </c>
      <c r="W28" s="2">
        <f t="shared" si="0"/>
        <v>27</v>
      </c>
      <c r="X28" s="2" t="str">
        <f t="shared" si="2"/>
        <v>1</v>
      </c>
      <c r="Y28" s="2" t="str">
        <f t="shared" si="1"/>
        <v>1</v>
      </c>
      <c r="Z28" s="3">
        <f t="shared" si="3"/>
        <v>1</v>
      </c>
      <c r="AA28" s="2">
        <v>94</v>
      </c>
      <c r="AB28" s="2">
        <v>2.9</v>
      </c>
      <c r="AC28" s="2">
        <v>0.01</v>
      </c>
      <c r="AD28" s="2">
        <v>42.9</v>
      </c>
      <c r="AE28" s="2">
        <f t="shared" si="4"/>
        <v>4290</v>
      </c>
      <c r="AF28" s="2" t="str">
        <f t="shared" si="5"/>
        <v>1</v>
      </c>
      <c r="AG28" s="2" t="str">
        <f t="shared" si="6"/>
        <v>1</v>
      </c>
      <c r="AH28" s="3">
        <f t="shared" si="7"/>
        <v>1</v>
      </c>
      <c r="AI28" s="2">
        <v>1</v>
      </c>
      <c r="AJ28" s="2">
        <v>157.5</v>
      </c>
      <c r="AK28" s="2">
        <f>AJ28*0.58</f>
        <v>91.35</v>
      </c>
      <c r="AL28" s="2">
        <v>1255</v>
      </c>
      <c r="AM28" s="2">
        <f>AL28*0.58</f>
        <v>727.9</v>
      </c>
      <c r="AN28" s="2" t="s">
        <v>61</v>
      </c>
      <c r="AO28" s="2" t="s">
        <v>61</v>
      </c>
      <c r="AP28" s="2">
        <v>58</v>
      </c>
      <c r="AQ28" s="19" t="str">
        <f t="shared" si="8"/>
        <v>1</v>
      </c>
      <c r="AR28" s="2">
        <v>1</v>
      </c>
      <c r="AS28" s="2">
        <v>1</v>
      </c>
      <c r="AT28" s="2">
        <v>1</v>
      </c>
      <c r="AU28" s="2">
        <v>1</v>
      </c>
      <c r="AV28" s="2">
        <v>1</v>
      </c>
      <c r="AW28" s="2">
        <v>1</v>
      </c>
      <c r="AX28" s="2">
        <v>1</v>
      </c>
      <c r="AY28" s="2">
        <v>2023</v>
      </c>
      <c r="AZ28" s="2">
        <f t="shared" si="9"/>
        <v>1</v>
      </c>
      <c r="BA28" s="2" t="str">
        <f t="shared" si="10"/>
        <v>1</v>
      </c>
      <c r="BB28" s="3">
        <v>2</v>
      </c>
      <c r="BC28" s="2" t="s">
        <v>105</v>
      </c>
      <c r="BD28" s="8" t="s">
        <v>127</v>
      </c>
      <c r="BE28" s="2" t="s">
        <v>200</v>
      </c>
      <c r="BF28" s="2"/>
      <c r="BG28" s="2"/>
      <c r="BH28" s="2"/>
      <c r="BI28" s="2">
        <v>3178</v>
      </c>
      <c r="BJ28" s="2">
        <v>12905</v>
      </c>
      <c r="BK28" s="2">
        <v>0</v>
      </c>
    </row>
    <row r="29" spans="1:63" ht="80" hidden="1" x14ac:dyDescent="0.2">
      <c r="A29" s="2">
        <v>20700278</v>
      </c>
      <c r="B29" s="2">
        <v>1057609404</v>
      </c>
      <c r="C29" s="2">
        <v>2000</v>
      </c>
      <c r="D29" s="2" t="s">
        <v>73</v>
      </c>
      <c r="E29" s="2" t="s">
        <v>201</v>
      </c>
      <c r="F29" s="2" t="s">
        <v>202</v>
      </c>
      <c r="G29" s="2" t="s">
        <v>70</v>
      </c>
      <c r="H29" s="2" t="s">
        <v>70</v>
      </c>
      <c r="I29" s="2" t="s">
        <v>65</v>
      </c>
      <c r="J29" s="2" t="s">
        <v>61</v>
      </c>
      <c r="K29" s="2" t="s">
        <v>66</v>
      </c>
      <c r="L29" s="2" t="s">
        <v>76</v>
      </c>
      <c r="M29" s="2" t="s">
        <v>60</v>
      </c>
      <c r="N29" s="2" t="s">
        <v>61</v>
      </c>
      <c r="O29" s="2" t="s">
        <v>77</v>
      </c>
      <c r="P29" s="2">
        <v>27</v>
      </c>
      <c r="Q29" s="2">
        <v>8.5</v>
      </c>
      <c r="R29" s="2">
        <v>4.9000000000000004</v>
      </c>
      <c r="S29" s="2">
        <v>1.8</v>
      </c>
      <c r="T29" s="2">
        <v>879</v>
      </c>
      <c r="U29" s="2">
        <v>1669</v>
      </c>
      <c r="V29" s="2">
        <v>0</v>
      </c>
      <c r="W29" s="2">
        <f t="shared" si="0"/>
        <v>2590.1999999999998</v>
      </c>
      <c r="X29" s="2" t="str">
        <f t="shared" si="2"/>
        <v>1</v>
      </c>
      <c r="Y29" s="2" t="str">
        <f t="shared" si="1"/>
        <v>1</v>
      </c>
      <c r="Z29" s="3">
        <f t="shared" si="3"/>
        <v>1</v>
      </c>
      <c r="AA29" s="2">
        <v>46</v>
      </c>
      <c r="AB29" s="2">
        <v>9</v>
      </c>
      <c r="AC29" s="2">
        <v>0.02</v>
      </c>
      <c r="AD29" s="2">
        <v>42.1</v>
      </c>
      <c r="AE29" s="2">
        <f t="shared" si="4"/>
        <v>2105</v>
      </c>
      <c r="AF29" s="2" t="str">
        <f t="shared" si="5"/>
        <v>1</v>
      </c>
      <c r="AG29" s="2" t="str">
        <f t="shared" si="6"/>
        <v>1</v>
      </c>
      <c r="AH29" s="3">
        <f t="shared" si="7"/>
        <v>1</v>
      </c>
      <c r="AI29" s="2"/>
      <c r="AJ29" s="2">
        <v>33.47</v>
      </c>
      <c r="AK29" s="2">
        <f>AJ29*0.71</f>
        <v>23.763699999999996</v>
      </c>
      <c r="AL29" s="2">
        <v>83.67</v>
      </c>
      <c r="AM29" s="2">
        <f>AL29*0.71</f>
        <v>59.405699999999996</v>
      </c>
      <c r="AN29" s="2" t="s">
        <v>61</v>
      </c>
      <c r="AO29" s="2" t="s">
        <v>61</v>
      </c>
      <c r="AP29" s="2">
        <v>71</v>
      </c>
      <c r="AQ29" s="19" t="str">
        <f t="shared" si="8"/>
        <v>2</v>
      </c>
      <c r="AR29" s="2">
        <v>1</v>
      </c>
      <c r="AS29" s="2">
        <v>1</v>
      </c>
      <c r="AT29" s="2">
        <v>1</v>
      </c>
      <c r="AU29" s="2">
        <v>1</v>
      </c>
      <c r="AV29" s="2">
        <v>1</v>
      </c>
      <c r="AW29" s="2" t="s">
        <v>61</v>
      </c>
      <c r="AX29" s="2">
        <v>1</v>
      </c>
      <c r="AY29" s="2">
        <v>2020</v>
      </c>
      <c r="AZ29" s="2">
        <f t="shared" si="9"/>
        <v>4</v>
      </c>
      <c r="BA29" s="2" t="str">
        <f t="shared" si="10"/>
        <v>1</v>
      </c>
      <c r="BB29" s="3">
        <f>(BA29+AX29+AS29+AQ29+AH29+Z29)/7</f>
        <v>1</v>
      </c>
      <c r="BC29" s="2" t="s">
        <v>107</v>
      </c>
      <c r="BD29" s="8" t="s">
        <v>139</v>
      </c>
      <c r="BE29" s="2" t="s">
        <v>203</v>
      </c>
      <c r="BF29" s="2"/>
      <c r="BG29" s="2"/>
      <c r="BH29" s="2"/>
      <c r="BI29" s="2">
        <v>5039</v>
      </c>
      <c r="BJ29" s="2">
        <v>113678</v>
      </c>
      <c r="BK29" s="2">
        <v>6.3</v>
      </c>
    </row>
    <row r="30" spans="1:63" ht="64" hidden="1" x14ac:dyDescent="0.2">
      <c r="A30" s="2">
        <v>20700518</v>
      </c>
      <c r="B30" s="2">
        <v>98330</v>
      </c>
      <c r="C30" s="2">
        <v>2000</v>
      </c>
      <c r="D30" s="2" t="s">
        <v>73</v>
      </c>
      <c r="E30" s="2" t="s">
        <v>204</v>
      </c>
      <c r="F30" s="2" t="s">
        <v>205</v>
      </c>
      <c r="G30" s="2" t="s">
        <v>58</v>
      </c>
      <c r="H30" s="2" t="s">
        <v>59</v>
      </c>
      <c r="I30" s="2" t="s">
        <v>65</v>
      </c>
      <c r="J30" s="2" t="s">
        <v>61</v>
      </c>
      <c r="K30" s="2" t="s">
        <v>66</v>
      </c>
      <c r="L30" s="2" t="s">
        <v>76</v>
      </c>
      <c r="M30" s="2" t="s">
        <v>60</v>
      </c>
      <c r="N30" s="2" t="s">
        <v>61</v>
      </c>
      <c r="O30" s="2" t="s">
        <v>77</v>
      </c>
      <c r="P30" s="2">
        <v>5.0999999999999996</v>
      </c>
      <c r="Q30" s="2">
        <v>2.9</v>
      </c>
      <c r="R30" s="2">
        <v>9.1999999999999993</v>
      </c>
      <c r="S30" s="2">
        <v>0.6</v>
      </c>
      <c r="T30" s="2">
        <v>348</v>
      </c>
      <c r="U30" s="2">
        <v>1678</v>
      </c>
      <c r="V30" s="2">
        <v>0.3</v>
      </c>
      <c r="W30" s="2">
        <f t="shared" si="0"/>
        <v>2043.8</v>
      </c>
      <c r="X30" s="2" t="str">
        <f t="shared" si="2"/>
        <v>1</v>
      </c>
      <c r="Y30" s="2" t="str">
        <f t="shared" si="1"/>
        <v>1</v>
      </c>
      <c r="Z30" s="3">
        <f t="shared" si="3"/>
        <v>1</v>
      </c>
      <c r="AA30" s="2">
        <v>47</v>
      </c>
      <c r="AB30" s="2">
        <v>12</v>
      </c>
      <c r="AC30" s="2">
        <v>0.02</v>
      </c>
      <c r="AD30" s="2">
        <v>31.2</v>
      </c>
      <c r="AE30" s="2">
        <f t="shared" si="4"/>
        <v>1560</v>
      </c>
      <c r="AF30" s="2" t="str">
        <f t="shared" si="5"/>
        <v>1</v>
      </c>
      <c r="AG30" s="2" t="str">
        <f t="shared" si="6"/>
        <v>1</v>
      </c>
      <c r="AH30" s="3">
        <f t="shared" si="7"/>
        <v>1</v>
      </c>
      <c r="AI30" s="2">
        <v>3</v>
      </c>
      <c r="AJ30" s="2">
        <v>33.47</v>
      </c>
      <c r="AK30" s="2">
        <f>AJ30*0.12</f>
        <v>4.0164</v>
      </c>
      <c r="AL30" s="2">
        <v>83.67</v>
      </c>
      <c r="AM30" s="2">
        <f>AL30*0.12</f>
        <v>10.0404</v>
      </c>
      <c r="AN30" s="2" t="s">
        <v>61</v>
      </c>
      <c r="AO30" s="2" t="s">
        <v>61</v>
      </c>
      <c r="AP30" s="2">
        <v>12</v>
      </c>
      <c r="AQ30" s="19" t="str">
        <f t="shared" si="8"/>
        <v>1</v>
      </c>
      <c r="AR30" s="2">
        <v>1</v>
      </c>
      <c r="AS30" s="2">
        <v>1</v>
      </c>
      <c r="AT30" s="2">
        <v>1</v>
      </c>
      <c r="AU30" s="2">
        <v>1</v>
      </c>
      <c r="AV30" s="2">
        <v>1</v>
      </c>
      <c r="AW30" s="2">
        <v>1</v>
      </c>
      <c r="AX30" s="2">
        <v>1</v>
      </c>
      <c r="AY30" s="2">
        <v>2010</v>
      </c>
      <c r="AZ30" s="2">
        <f t="shared" si="9"/>
        <v>14</v>
      </c>
      <c r="BA30" s="2" t="str">
        <f t="shared" si="10"/>
        <v>2</v>
      </c>
      <c r="BB30" s="3">
        <f t="shared" si="11"/>
        <v>1</v>
      </c>
      <c r="BC30" s="2" t="s">
        <v>107</v>
      </c>
      <c r="BD30" s="8" t="s">
        <v>120</v>
      </c>
      <c r="BE30" s="2"/>
      <c r="BF30" s="2"/>
      <c r="BG30" s="2"/>
      <c r="BH30" s="2"/>
      <c r="BI30" s="2">
        <v>25934</v>
      </c>
      <c r="BJ30" s="2">
        <v>69057</v>
      </c>
      <c r="BK30" s="2">
        <v>2.8</v>
      </c>
    </row>
    <row r="31" spans="1:63" ht="64" hidden="1" x14ac:dyDescent="0.2">
      <c r="A31" s="2">
        <v>20026783</v>
      </c>
      <c r="B31" s="2">
        <v>518711157</v>
      </c>
      <c r="C31" s="2">
        <v>5000</v>
      </c>
      <c r="D31" s="2" t="s">
        <v>73</v>
      </c>
      <c r="E31" s="2" t="s">
        <v>206</v>
      </c>
      <c r="F31" s="2" t="s">
        <v>205</v>
      </c>
      <c r="G31" s="2" t="s">
        <v>58</v>
      </c>
      <c r="H31" s="2" t="s">
        <v>59</v>
      </c>
      <c r="I31" s="2" t="s">
        <v>65</v>
      </c>
      <c r="J31" s="2" t="s">
        <v>61</v>
      </c>
      <c r="K31" s="2" t="s">
        <v>66</v>
      </c>
      <c r="L31" s="2" t="s">
        <v>76</v>
      </c>
      <c r="M31" s="2" t="s">
        <v>60</v>
      </c>
      <c r="N31" s="2" t="s">
        <v>61</v>
      </c>
      <c r="O31" s="2" t="s">
        <v>77</v>
      </c>
      <c r="P31" s="2">
        <v>56</v>
      </c>
      <c r="Q31" s="2">
        <v>116</v>
      </c>
      <c r="R31" s="2">
        <v>34</v>
      </c>
      <c r="S31" s="2">
        <v>46</v>
      </c>
      <c r="T31" s="2">
        <v>1174</v>
      </c>
      <c r="U31" s="2">
        <v>30270</v>
      </c>
      <c r="V31" s="2">
        <v>0</v>
      </c>
      <c r="W31" s="2">
        <f t="shared" si="0"/>
        <v>31696</v>
      </c>
      <c r="X31" s="2" t="str">
        <f t="shared" si="2"/>
        <v>5</v>
      </c>
      <c r="Y31" s="2" t="str">
        <f t="shared" si="1"/>
        <v>1</v>
      </c>
      <c r="Z31" s="3">
        <f t="shared" si="3"/>
        <v>3</v>
      </c>
      <c r="AA31" s="2">
        <v>14</v>
      </c>
      <c r="AB31" s="2">
        <v>74</v>
      </c>
      <c r="AC31" s="2">
        <v>0.08</v>
      </c>
      <c r="AD31" s="2">
        <v>25.1</v>
      </c>
      <c r="AE31" s="2">
        <f t="shared" si="4"/>
        <v>313.75</v>
      </c>
      <c r="AF31" s="2" t="str">
        <f t="shared" si="5"/>
        <v>5</v>
      </c>
      <c r="AG31" s="2" t="str">
        <f t="shared" si="6"/>
        <v>5</v>
      </c>
      <c r="AH31" s="3">
        <f t="shared" si="7"/>
        <v>5</v>
      </c>
      <c r="AI31" s="2">
        <v>1</v>
      </c>
      <c r="AJ31" s="2">
        <v>83.67</v>
      </c>
      <c r="AK31" s="2">
        <f>AJ31*0.31</f>
        <v>25.9377</v>
      </c>
      <c r="AL31" s="2">
        <v>200.5</v>
      </c>
      <c r="AM31" s="2">
        <f>AL31*0.31</f>
        <v>62.155000000000001</v>
      </c>
      <c r="AN31" s="2" t="s">
        <v>61</v>
      </c>
      <c r="AO31" s="2" t="s">
        <v>61</v>
      </c>
      <c r="AP31" s="2">
        <v>31</v>
      </c>
      <c r="AQ31" s="19" t="str">
        <f t="shared" si="8"/>
        <v>1</v>
      </c>
      <c r="AR31" s="2">
        <v>1</v>
      </c>
      <c r="AS31" s="2">
        <v>1</v>
      </c>
      <c r="AT31" s="2">
        <v>5</v>
      </c>
      <c r="AU31" s="2">
        <v>1</v>
      </c>
      <c r="AV31" s="2">
        <v>5</v>
      </c>
      <c r="AW31" s="2" t="s">
        <v>61</v>
      </c>
      <c r="AX31" s="2">
        <v>5</v>
      </c>
      <c r="AY31" s="2">
        <v>1998</v>
      </c>
      <c r="AZ31" s="2">
        <f t="shared" si="9"/>
        <v>26</v>
      </c>
      <c r="BA31" s="2" t="str">
        <f t="shared" si="10"/>
        <v>3</v>
      </c>
      <c r="BB31" s="3">
        <f>(BA31+AX31+AS31+AQ31+AH31+Z31)/6</f>
        <v>3</v>
      </c>
      <c r="BC31" s="2" t="s">
        <v>111</v>
      </c>
      <c r="BD31" s="8" t="s">
        <v>207</v>
      </c>
      <c r="BE31" s="2" t="s">
        <v>208</v>
      </c>
      <c r="BF31" s="26"/>
      <c r="BG31" s="26"/>
      <c r="BH31" s="26">
        <v>9000000</v>
      </c>
      <c r="BI31" s="2">
        <v>1704</v>
      </c>
      <c r="BJ31" s="2">
        <v>89511</v>
      </c>
      <c r="BK31" s="2">
        <v>148</v>
      </c>
    </row>
    <row r="32" spans="1:63" s="25" customFormat="1" ht="16" hidden="1" x14ac:dyDescent="0.2">
      <c r="A32" s="21">
        <v>20056776</v>
      </c>
      <c r="B32" s="21">
        <v>7739</v>
      </c>
      <c r="C32" s="21">
        <v>2000</v>
      </c>
      <c r="D32" s="21" t="s">
        <v>73</v>
      </c>
      <c r="E32" s="21" t="s">
        <v>209</v>
      </c>
      <c r="F32" s="21" t="s">
        <v>210</v>
      </c>
      <c r="G32" s="21" t="s">
        <v>125</v>
      </c>
      <c r="H32" s="21" t="s">
        <v>126</v>
      </c>
      <c r="I32" s="21" t="s">
        <v>65</v>
      </c>
      <c r="J32" s="21" t="s">
        <v>61</v>
      </c>
      <c r="K32" s="21" t="s">
        <v>66</v>
      </c>
      <c r="L32" s="21" t="s">
        <v>76</v>
      </c>
      <c r="M32" s="21" t="s">
        <v>60</v>
      </c>
      <c r="N32" s="21" t="s">
        <v>61</v>
      </c>
      <c r="O32" s="21" t="s">
        <v>77</v>
      </c>
      <c r="P32" s="21">
        <v>5.4</v>
      </c>
      <c r="Q32" s="21">
        <v>4</v>
      </c>
      <c r="R32" s="21">
        <v>16.399999999999999</v>
      </c>
      <c r="S32" s="21">
        <v>0.9</v>
      </c>
      <c r="T32" s="21">
        <v>431</v>
      </c>
      <c r="U32" s="21">
        <v>3273</v>
      </c>
      <c r="V32" s="21">
        <v>0</v>
      </c>
      <c r="W32" s="21">
        <f t="shared" si="0"/>
        <v>3730.7</v>
      </c>
      <c r="X32" s="2" t="str">
        <f t="shared" si="2"/>
        <v>1</v>
      </c>
      <c r="Y32" s="2" t="str">
        <f t="shared" si="1"/>
        <v>1</v>
      </c>
      <c r="Z32" s="3">
        <f t="shared" si="3"/>
        <v>1</v>
      </c>
      <c r="AA32" s="21">
        <v>31</v>
      </c>
      <c r="AB32" s="21">
        <v>14</v>
      </c>
      <c r="AC32" s="21">
        <v>0.02</v>
      </c>
      <c r="AD32" s="21">
        <v>39.1</v>
      </c>
      <c r="AE32" s="21">
        <f t="shared" si="4"/>
        <v>1955</v>
      </c>
      <c r="AF32" s="21" t="str">
        <f t="shared" si="5"/>
        <v>2</v>
      </c>
      <c r="AG32" s="21" t="str">
        <f t="shared" si="6"/>
        <v>1</v>
      </c>
      <c r="AH32" s="22">
        <f t="shared" si="7"/>
        <v>1.5</v>
      </c>
      <c r="AI32" s="21">
        <v>3</v>
      </c>
      <c r="AJ32" s="21">
        <v>33.47</v>
      </c>
      <c r="AK32" s="21">
        <f>AJ32*0.72</f>
        <v>24.098399999999998</v>
      </c>
      <c r="AL32" s="21">
        <v>83.67</v>
      </c>
      <c r="AM32" s="21">
        <f>AL32*0.72</f>
        <v>60.242399999999996</v>
      </c>
      <c r="AN32" s="21" t="s">
        <v>61</v>
      </c>
      <c r="AO32" s="21" t="s">
        <v>61</v>
      </c>
      <c r="AP32" s="21">
        <v>72</v>
      </c>
      <c r="AQ32" s="23" t="str">
        <f t="shared" si="8"/>
        <v>2</v>
      </c>
      <c r="AR32" s="21">
        <v>1</v>
      </c>
      <c r="AS32" s="21">
        <v>1</v>
      </c>
      <c r="AT32" s="21">
        <v>5</v>
      </c>
      <c r="AU32" s="21">
        <v>1</v>
      </c>
      <c r="AV32" s="21">
        <v>1</v>
      </c>
      <c r="AW32" s="21" t="s">
        <v>61</v>
      </c>
      <c r="AX32" s="21">
        <v>5</v>
      </c>
      <c r="AY32" s="21">
        <v>1998</v>
      </c>
      <c r="AZ32" s="21">
        <f t="shared" si="9"/>
        <v>26</v>
      </c>
      <c r="BA32" s="21" t="str">
        <f t="shared" si="10"/>
        <v>3</v>
      </c>
      <c r="BB32" s="22">
        <f>(BA32+AX32+AS32+AQ32+AH32+Z32+AI32)/5</f>
        <v>3.3</v>
      </c>
      <c r="BC32" s="21" t="s">
        <v>111</v>
      </c>
      <c r="BD32" s="24" t="s">
        <v>192</v>
      </c>
      <c r="BE32" s="21" t="s">
        <v>211</v>
      </c>
      <c r="BF32" s="21"/>
      <c r="BG32" s="21"/>
      <c r="BH32" s="21"/>
      <c r="BI32" s="21">
        <v>29527</v>
      </c>
      <c r="BJ32" s="21">
        <v>73091</v>
      </c>
      <c r="BK32" s="21">
        <v>3.6</v>
      </c>
    </row>
    <row r="33" spans="1:63" s="25" customFormat="1" ht="80" hidden="1" x14ac:dyDescent="0.2">
      <c r="A33" s="21">
        <v>20056769</v>
      </c>
      <c r="B33" s="21">
        <v>201790</v>
      </c>
      <c r="C33" s="21">
        <v>30000</v>
      </c>
      <c r="D33" s="21" t="s">
        <v>152</v>
      </c>
      <c r="E33" s="21" t="s">
        <v>212</v>
      </c>
      <c r="F33" s="21" t="s">
        <v>213</v>
      </c>
      <c r="G33" s="21" t="s">
        <v>125</v>
      </c>
      <c r="H33" s="21" t="s">
        <v>126</v>
      </c>
      <c r="I33" s="21" t="s">
        <v>81</v>
      </c>
      <c r="J33" s="21" t="s">
        <v>82</v>
      </c>
      <c r="K33" s="21" t="s">
        <v>48</v>
      </c>
      <c r="L33" s="21">
        <v>110</v>
      </c>
      <c r="M33" s="21" t="s">
        <v>137</v>
      </c>
      <c r="N33" s="21" t="s">
        <v>61</v>
      </c>
      <c r="O33" s="21" t="s">
        <v>172</v>
      </c>
      <c r="P33" s="21">
        <v>7.8</v>
      </c>
      <c r="Q33" s="21">
        <v>7.6</v>
      </c>
      <c r="R33" s="21">
        <v>1.3</v>
      </c>
      <c r="S33" s="21">
        <v>1.1000000000000001</v>
      </c>
      <c r="T33" s="21">
        <v>645</v>
      </c>
      <c r="U33" s="21">
        <v>1614</v>
      </c>
      <c r="V33" s="21">
        <v>0</v>
      </c>
      <c r="W33" s="21">
        <f t="shared" si="0"/>
        <v>2276.8000000000002</v>
      </c>
      <c r="X33" s="21" t="str">
        <f t="shared" si="2"/>
        <v>1</v>
      </c>
      <c r="Y33" s="21" t="str">
        <f t="shared" si="1"/>
        <v>1</v>
      </c>
      <c r="Z33" s="22">
        <f t="shared" si="3"/>
        <v>1</v>
      </c>
      <c r="AA33" s="21">
        <v>70</v>
      </c>
      <c r="AB33" s="21">
        <v>27</v>
      </c>
      <c r="AC33" s="21">
        <v>0.02</v>
      </c>
      <c r="AD33" s="21">
        <v>39.1</v>
      </c>
      <c r="AE33" s="21">
        <f t="shared" si="4"/>
        <v>1955</v>
      </c>
      <c r="AF33" s="21" t="str">
        <f t="shared" si="5"/>
        <v>1</v>
      </c>
      <c r="AG33" s="21" t="str">
        <f t="shared" si="6"/>
        <v>1</v>
      </c>
      <c r="AH33" s="22">
        <f t="shared" si="7"/>
        <v>1</v>
      </c>
      <c r="AI33" s="21">
        <v>1</v>
      </c>
      <c r="AJ33" s="21">
        <v>157</v>
      </c>
      <c r="AK33" s="21">
        <f>AJ33*0.8</f>
        <v>125.60000000000001</v>
      </c>
      <c r="AL33" s="21">
        <v>502</v>
      </c>
      <c r="AM33" s="21">
        <f>AL33*0.8</f>
        <v>401.6</v>
      </c>
      <c r="AN33" s="21" t="s">
        <v>61</v>
      </c>
      <c r="AO33" s="21" t="s">
        <v>61</v>
      </c>
      <c r="AP33" s="21">
        <v>80</v>
      </c>
      <c r="AQ33" s="23" t="str">
        <f t="shared" si="8"/>
        <v>2</v>
      </c>
      <c r="AR33" s="21">
        <v>1</v>
      </c>
      <c r="AS33" s="21">
        <v>1</v>
      </c>
      <c r="AT33" s="21">
        <v>1</v>
      </c>
      <c r="AU33" s="21">
        <v>1</v>
      </c>
      <c r="AV33" s="21">
        <v>1</v>
      </c>
      <c r="AW33" s="21">
        <v>1</v>
      </c>
      <c r="AX33" s="21">
        <v>1</v>
      </c>
      <c r="AY33" s="21">
        <v>2020</v>
      </c>
      <c r="AZ33" s="21">
        <f t="shared" si="9"/>
        <v>4</v>
      </c>
      <c r="BA33" s="21" t="str">
        <f t="shared" si="10"/>
        <v>1</v>
      </c>
      <c r="BB33" s="22">
        <f>(BA33+AX33+AS33+AQ33+AH33+Z33)/7</f>
        <v>1</v>
      </c>
      <c r="BC33" s="21" t="s">
        <v>107</v>
      </c>
      <c r="BD33" s="24" t="s">
        <v>139</v>
      </c>
      <c r="BE33" s="21" t="s">
        <v>214</v>
      </c>
      <c r="BF33" s="21"/>
      <c r="BG33" s="21"/>
      <c r="BH33" s="21"/>
      <c r="BI33" s="21">
        <v>8808</v>
      </c>
      <c r="BJ33" s="21">
        <v>52945</v>
      </c>
      <c r="BK33" s="21">
        <v>2.4</v>
      </c>
    </row>
    <row r="34" spans="1:63" s="25" customFormat="1" ht="80" hidden="1" x14ac:dyDescent="0.2">
      <c r="A34" s="21">
        <v>20056769</v>
      </c>
      <c r="B34" s="21">
        <v>201791</v>
      </c>
      <c r="C34" s="21">
        <v>30000</v>
      </c>
      <c r="D34" s="21" t="s">
        <v>152</v>
      </c>
      <c r="E34" s="21" t="s">
        <v>212</v>
      </c>
      <c r="F34" s="21" t="s">
        <v>215</v>
      </c>
      <c r="G34" s="21" t="s">
        <v>125</v>
      </c>
      <c r="H34" s="21" t="s">
        <v>126</v>
      </c>
      <c r="I34" s="21" t="s">
        <v>81</v>
      </c>
      <c r="J34" s="21" t="s">
        <v>82</v>
      </c>
      <c r="K34" s="21" t="s">
        <v>48</v>
      </c>
      <c r="L34" s="21">
        <v>110</v>
      </c>
      <c r="M34" s="21" t="s">
        <v>137</v>
      </c>
      <c r="N34" s="21" t="s">
        <v>61</v>
      </c>
      <c r="O34" s="21" t="s">
        <v>172</v>
      </c>
      <c r="P34" s="21">
        <v>5.2</v>
      </c>
      <c r="Q34" s="21">
        <v>9.5</v>
      </c>
      <c r="R34" s="21">
        <v>1.3</v>
      </c>
      <c r="S34" s="21">
        <v>1.3</v>
      </c>
      <c r="T34" s="21">
        <v>551</v>
      </c>
      <c r="U34" s="21">
        <v>1984</v>
      </c>
      <c r="V34" s="21">
        <v>0</v>
      </c>
      <c r="W34" s="21">
        <f t="shared" si="0"/>
        <v>2552.3000000000002</v>
      </c>
      <c r="X34" s="21" t="str">
        <f t="shared" si="2"/>
        <v>1</v>
      </c>
      <c r="Y34" s="21" t="str">
        <f t="shared" si="1"/>
        <v>1</v>
      </c>
      <c r="Z34" s="22">
        <f t="shared" si="3"/>
        <v>1</v>
      </c>
      <c r="AA34" s="21">
        <v>68</v>
      </c>
      <c r="AB34" s="21">
        <v>13</v>
      </c>
      <c r="AC34" s="21">
        <v>0.02</v>
      </c>
      <c r="AD34" s="21">
        <v>42.2</v>
      </c>
      <c r="AE34" s="21">
        <f t="shared" si="4"/>
        <v>2110</v>
      </c>
      <c r="AF34" s="21" t="str">
        <f t="shared" si="5"/>
        <v>1</v>
      </c>
      <c r="AG34" s="21" t="str">
        <f t="shared" si="6"/>
        <v>1</v>
      </c>
      <c r="AH34" s="22">
        <f t="shared" si="7"/>
        <v>1</v>
      </c>
      <c r="AI34" s="21">
        <v>1</v>
      </c>
      <c r="AJ34" s="21">
        <v>157</v>
      </c>
      <c r="AK34" s="21">
        <f>AJ34*0.8</f>
        <v>125.60000000000001</v>
      </c>
      <c r="AL34" s="21">
        <v>502</v>
      </c>
      <c r="AM34" s="21">
        <f>AL34*0.8</f>
        <v>401.6</v>
      </c>
      <c r="AN34" s="21" t="s">
        <v>61</v>
      </c>
      <c r="AO34" s="21" t="s">
        <v>61</v>
      </c>
      <c r="AP34" s="21">
        <v>80</v>
      </c>
      <c r="AQ34" s="23" t="str">
        <f t="shared" si="8"/>
        <v>2</v>
      </c>
      <c r="AR34" s="21">
        <v>1</v>
      </c>
      <c r="AS34" s="21">
        <v>1</v>
      </c>
      <c r="AT34" s="21">
        <v>1</v>
      </c>
      <c r="AU34" s="21">
        <v>1</v>
      </c>
      <c r="AV34" s="21">
        <v>1</v>
      </c>
      <c r="AW34" s="21">
        <v>1</v>
      </c>
      <c r="AX34" s="21">
        <v>1</v>
      </c>
      <c r="AY34" s="21">
        <v>2020</v>
      </c>
      <c r="AZ34" s="21">
        <f t="shared" si="9"/>
        <v>4</v>
      </c>
      <c r="BA34" s="21" t="str">
        <f t="shared" si="10"/>
        <v>1</v>
      </c>
      <c r="BB34" s="21">
        <f>(BA34+AX34+AS34+AQ34+AH34+Z34)/7</f>
        <v>1</v>
      </c>
      <c r="BC34" s="21" t="s">
        <v>107</v>
      </c>
      <c r="BD34" s="24" t="s">
        <v>139</v>
      </c>
      <c r="BE34" s="21" t="s">
        <v>214</v>
      </c>
      <c r="BF34" s="21"/>
      <c r="BG34" s="21"/>
      <c r="BH34" s="21"/>
      <c r="BI34" s="21">
        <v>10910</v>
      </c>
      <c r="BJ34" s="21">
        <v>56431</v>
      </c>
      <c r="BK34" s="21">
        <v>3.4</v>
      </c>
    </row>
    <row r="35" spans="1:63" s="25" customFormat="1" ht="96" hidden="1" x14ac:dyDescent="0.2">
      <c r="A35" s="21">
        <v>20056769</v>
      </c>
      <c r="B35" s="21">
        <v>358516</v>
      </c>
      <c r="C35" s="21">
        <v>15000</v>
      </c>
      <c r="D35" s="21" t="s">
        <v>73</v>
      </c>
      <c r="E35" s="21" t="s">
        <v>212</v>
      </c>
      <c r="F35" s="21" t="s">
        <v>216</v>
      </c>
      <c r="G35" s="21" t="s">
        <v>125</v>
      </c>
      <c r="H35" s="21" t="s">
        <v>126</v>
      </c>
      <c r="I35" s="21" t="s">
        <v>81</v>
      </c>
      <c r="J35" s="21" t="s">
        <v>82</v>
      </c>
      <c r="K35" s="21" t="s">
        <v>66</v>
      </c>
      <c r="L35" s="21" t="s">
        <v>76</v>
      </c>
      <c r="M35" s="21" t="s">
        <v>60</v>
      </c>
      <c r="N35" s="21" t="s">
        <v>61</v>
      </c>
      <c r="O35" s="21" t="s">
        <v>164</v>
      </c>
      <c r="P35" s="21">
        <v>5</v>
      </c>
      <c r="Q35" s="21">
        <v>18.600000000000001</v>
      </c>
      <c r="R35" s="21">
        <v>13.8</v>
      </c>
      <c r="S35" s="21">
        <v>4.4000000000000004</v>
      </c>
      <c r="T35" s="21">
        <v>1657</v>
      </c>
      <c r="U35" s="21">
        <v>7175</v>
      </c>
      <c r="V35" s="21">
        <v>0</v>
      </c>
      <c r="W35" s="21">
        <f t="shared" ref="W35:W64" si="12">(P35+Q35+T35+R35+S35+U35)</f>
        <v>8873.7999999999993</v>
      </c>
      <c r="X35" s="2" t="str">
        <f t="shared" si="2"/>
        <v>3</v>
      </c>
      <c r="Y35" s="2" t="str">
        <f t="shared" ref="Y35:Y64" si="13">IF(V35&gt;=16,"5",IF(V35&gt;=15,"4",IF(V35&gt;=12,"3",IF(V35&gt;=7,"2","1"))))</f>
        <v>1</v>
      </c>
      <c r="Z35" s="3">
        <f t="shared" si="3"/>
        <v>2</v>
      </c>
      <c r="AA35" s="21">
        <v>51</v>
      </c>
      <c r="AB35" s="21">
        <v>11</v>
      </c>
      <c r="AC35" s="21">
        <v>0.02</v>
      </c>
      <c r="AD35" s="21">
        <v>37.9</v>
      </c>
      <c r="AE35" s="21">
        <f t="shared" si="4"/>
        <v>1895</v>
      </c>
      <c r="AF35" s="21" t="str">
        <f t="shared" si="5"/>
        <v>1</v>
      </c>
      <c r="AG35" s="21" t="str">
        <f t="shared" si="6"/>
        <v>1</v>
      </c>
      <c r="AH35" s="22">
        <f t="shared" si="7"/>
        <v>1</v>
      </c>
      <c r="AI35" s="21">
        <v>1</v>
      </c>
      <c r="AJ35" s="21">
        <v>251</v>
      </c>
      <c r="AK35" s="21">
        <f>AJ35*0.85</f>
        <v>213.35</v>
      </c>
      <c r="AL35" s="21">
        <v>628</v>
      </c>
      <c r="AM35" s="21">
        <f>AL35*0.85</f>
        <v>533.79999999999995</v>
      </c>
      <c r="AN35" s="21" t="s">
        <v>61</v>
      </c>
      <c r="AO35" s="21" t="s">
        <v>61</v>
      </c>
      <c r="AP35" s="21">
        <v>85</v>
      </c>
      <c r="AQ35" s="23" t="str">
        <f t="shared" si="8"/>
        <v>3</v>
      </c>
      <c r="AR35" s="21">
        <v>1</v>
      </c>
      <c r="AS35" s="21">
        <v>1</v>
      </c>
      <c r="AT35" s="21">
        <v>1</v>
      </c>
      <c r="AU35" s="21">
        <v>1</v>
      </c>
      <c r="AV35" s="21">
        <v>1</v>
      </c>
      <c r="AW35" s="21" t="s">
        <v>61</v>
      </c>
      <c r="AX35" s="21">
        <v>1</v>
      </c>
      <c r="AY35" s="21">
        <v>2013</v>
      </c>
      <c r="AZ35" s="21">
        <f t="shared" si="9"/>
        <v>11</v>
      </c>
      <c r="BA35" s="21" t="str">
        <f t="shared" si="10"/>
        <v>2</v>
      </c>
      <c r="BB35" s="22">
        <f>(BA35+AX35+AS35+AQ35+AH35+Z35+AI35)/7</f>
        <v>1.5714285714285714</v>
      </c>
      <c r="BC35" s="21" t="s">
        <v>105</v>
      </c>
      <c r="BD35" s="24" t="s">
        <v>127</v>
      </c>
      <c r="BE35" s="21"/>
      <c r="BF35" s="21"/>
      <c r="BG35" s="21"/>
      <c r="BH35" s="21"/>
      <c r="BI35" s="21">
        <v>7340</v>
      </c>
      <c r="BJ35" s="21">
        <v>93707</v>
      </c>
      <c r="BK35" s="21">
        <v>20</v>
      </c>
    </row>
    <row r="36" spans="1:63" s="25" customFormat="1" ht="64" hidden="1" x14ac:dyDescent="0.2">
      <c r="A36" s="21">
        <v>20056769</v>
      </c>
      <c r="B36" s="21">
        <v>1079537174</v>
      </c>
      <c r="C36" s="21">
        <v>20000</v>
      </c>
      <c r="D36" s="21" t="s">
        <v>152</v>
      </c>
      <c r="E36" s="21" t="s">
        <v>212</v>
      </c>
      <c r="F36" s="21" t="s">
        <v>217</v>
      </c>
      <c r="G36" s="21" t="s">
        <v>125</v>
      </c>
      <c r="H36" s="21" t="s">
        <v>126</v>
      </c>
      <c r="I36" s="21" t="s">
        <v>81</v>
      </c>
      <c r="J36" s="21" t="s">
        <v>82</v>
      </c>
      <c r="K36" s="21" t="s">
        <v>48</v>
      </c>
      <c r="L36" s="21" t="s">
        <v>76</v>
      </c>
      <c r="M36" s="21" t="s">
        <v>60</v>
      </c>
      <c r="N36" s="21" t="s">
        <v>61</v>
      </c>
      <c r="O36" s="21" t="s">
        <v>218</v>
      </c>
      <c r="P36" s="21">
        <v>1.1000000000000001</v>
      </c>
      <c r="Q36" s="21">
        <v>0.6</v>
      </c>
      <c r="R36" s="21">
        <v>0.1</v>
      </c>
      <c r="S36" s="21">
        <v>0.1</v>
      </c>
      <c r="T36" s="21">
        <v>21</v>
      </c>
      <c r="U36" s="21">
        <v>222</v>
      </c>
      <c r="V36" s="21">
        <v>0</v>
      </c>
      <c r="W36" s="21">
        <f t="shared" si="12"/>
        <v>244.9</v>
      </c>
      <c r="X36" s="21" t="str">
        <f t="shared" si="2"/>
        <v>1</v>
      </c>
      <c r="Y36" s="21" t="str">
        <f t="shared" si="13"/>
        <v>1</v>
      </c>
      <c r="Z36" s="22">
        <f t="shared" si="3"/>
        <v>1</v>
      </c>
      <c r="AA36" s="21">
        <v>63</v>
      </c>
      <c r="AB36" s="21">
        <v>6</v>
      </c>
      <c r="AC36" s="21">
        <v>0.02</v>
      </c>
      <c r="AD36" s="21">
        <v>48.6</v>
      </c>
      <c r="AE36" s="21">
        <f t="shared" si="4"/>
        <v>2430</v>
      </c>
      <c r="AF36" s="21" t="str">
        <f t="shared" si="5"/>
        <v>1</v>
      </c>
      <c r="AG36" s="21" t="str">
        <f t="shared" si="6"/>
        <v>1</v>
      </c>
      <c r="AH36" s="22">
        <f t="shared" si="7"/>
        <v>1</v>
      </c>
      <c r="AI36" s="21">
        <v>1</v>
      </c>
      <c r="AJ36" s="21">
        <v>334.7</v>
      </c>
      <c r="AK36" s="21">
        <f>AJ36*0.36</f>
        <v>120.49199999999999</v>
      </c>
      <c r="AL36" s="21">
        <v>836.74</v>
      </c>
      <c r="AM36" s="21">
        <f>AL36*0.36</f>
        <v>301.22640000000001</v>
      </c>
      <c r="AN36" s="21" t="s">
        <v>61</v>
      </c>
      <c r="AO36" s="21" t="s">
        <v>61</v>
      </c>
      <c r="AP36" s="21">
        <v>36</v>
      </c>
      <c r="AQ36" s="23" t="str">
        <f t="shared" si="8"/>
        <v>1</v>
      </c>
      <c r="AR36" s="21">
        <v>1</v>
      </c>
      <c r="AS36" s="21">
        <v>1</v>
      </c>
      <c r="AT36" s="21">
        <v>1</v>
      </c>
      <c r="AU36" s="21">
        <v>1</v>
      </c>
      <c r="AV36" s="21">
        <v>1</v>
      </c>
      <c r="AW36" s="21">
        <v>1</v>
      </c>
      <c r="AX36" s="21">
        <v>1</v>
      </c>
      <c r="AY36" s="21">
        <v>2023</v>
      </c>
      <c r="AZ36" s="21">
        <f t="shared" si="9"/>
        <v>1</v>
      </c>
      <c r="BA36" s="21" t="str">
        <f t="shared" si="10"/>
        <v>1</v>
      </c>
      <c r="BB36" s="22">
        <f>(BA36+AX36+AS36+AQ36+AH36+Z36+AI36)/7</f>
        <v>1</v>
      </c>
      <c r="BC36" s="21" t="s">
        <v>107</v>
      </c>
      <c r="BD36" s="24" t="s">
        <v>120</v>
      </c>
      <c r="BE36" s="21"/>
      <c r="BF36" s="21"/>
      <c r="BG36" s="21"/>
      <c r="BH36" s="21"/>
      <c r="BI36" s="21">
        <v>19512</v>
      </c>
      <c r="BJ36" s="21">
        <v>89966</v>
      </c>
      <c r="BK36" s="21">
        <v>0.2</v>
      </c>
    </row>
    <row r="37" spans="1:63" hidden="1" x14ac:dyDescent="0.2">
      <c r="A37" s="2">
        <v>20016785</v>
      </c>
      <c r="B37" s="2" t="s">
        <v>67</v>
      </c>
      <c r="C37" s="2">
        <v>50000</v>
      </c>
      <c r="D37" s="2" t="s">
        <v>134</v>
      </c>
      <c r="E37" s="2" t="s">
        <v>68</v>
      </c>
      <c r="F37" s="2" t="s">
        <v>69</v>
      </c>
      <c r="G37" s="2" t="s">
        <v>70</v>
      </c>
      <c r="H37" s="2" t="s">
        <v>70</v>
      </c>
      <c r="I37" s="2" t="s">
        <v>81</v>
      </c>
      <c r="J37" s="2" t="s">
        <v>143</v>
      </c>
      <c r="K37" s="2" t="s">
        <v>48</v>
      </c>
      <c r="L37" s="2">
        <v>66</v>
      </c>
      <c r="M37" s="2" t="s">
        <v>60</v>
      </c>
      <c r="N37" s="2" t="s">
        <v>61</v>
      </c>
      <c r="O37" s="2" t="s">
        <v>219</v>
      </c>
      <c r="P37" s="2">
        <v>2.9</v>
      </c>
      <c r="Q37" s="2">
        <v>24</v>
      </c>
      <c r="R37" s="2">
        <v>2.1</v>
      </c>
      <c r="S37" s="2">
        <v>3.7</v>
      </c>
      <c r="T37" s="2">
        <v>821</v>
      </c>
      <c r="U37" s="2">
        <v>5282</v>
      </c>
      <c r="V37" s="2">
        <v>0</v>
      </c>
      <c r="W37" s="2">
        <f t="shared" si="12"/>
        <v>6135.7</v>
      </c>
      <c r="X37" s="2" t="str">
        <f t="shared" si="2"/>
        <v>2</v>
      </c>
      <c r="Y37" s="2" t="str">
        <f t="shared" si="13"/>
        <v>1</v>
      </c>
      <c r="Z37" s="3">
        <f t="shared" si="3"/>
        <v>1.5</v>
      </c>
      <c r="AA37" s="2">
        <v>52</v>
      </c>
      <c r="AB37" s="2">
        <v>8</v>
      </c>
      <c r="AC37" s="2">
        <v>0.02</v>
      </c>
      <c r="AD37" s="2">
        <v>41.3</v>
      </c>
      <c r="AE37" s="2">
        <f t="shared" si="4"/>
        <v>2065</v>
      </c>
      <c r="AF37" s="2" t="str">
        <f t="shared" si="5"/>
        <v>1</v>
      </c>
      <c r="AG37" s="2" t="str">
        <f t="shared" si="6"/>
        <v>1</v>
      </c>
      <c r="AH37" s="3">
        <f t="shared" si="7"/>
        <v>1</v>
      </c>
      <c r="AI37" s="2">
        <v>1</v>
      </c>
      <c r="AJ37" s="2">
        <v>437.4</v>
      </c>
      <c r="AK37" s="2">
        <f>AJ37*0.68</f>
        <v>297.43200000000002</v>
      </c>
      <c r="AL37" s="2">
        <v>2091.8000000000002</v>
      </c>
      <c r="AM37" s="2">
        <f>AL37*0.68</f>
        <v>1422.4240000000002</v>
      </c>
      <c r="AN37" s="2" t="s">
        <v>61</v>
      </c>
      <c r="AO37" s="2" t="s">
        <v>61</v>
      </c>
      <c r="AP37" s="2">
        <v>68</v>
      </c>
      <c r="AQ37" s="19" t="str">
        <f t="shared" si="8"/>
        <v>1</v>
      </c>
      <c r="AR37" s="2">
        <v>1</v>
      </c>
      <c r="AS37" s="2">
        <v>1</v>
      </c>
      <c r="AT37" s="2">
        <v>1</v>
      </c>
      <c r="AU37" s="2">
        <v>1</v>
      </c>
      <c r="AV37" s="2">
        <v>1</v>
      </c>
      <c r="AW37" s="2">
        <v>1</v>
      </c>
      <c r="AX37" s="2">
        <v>1</v>
      </c>
      <c r="AY37" s="2">
        <v>2011</v>
      </c>
      <c r="AZ37" s="2">
        <f t="shared" si="9"/>
        <v>13</v>
      </c>
      <c r="BA37" s="2" t="str">
        <f t="shared" si="10"/>
        <v>2</v>
      </c>
      <c r="BB37" s="3">
        <v>3</v>
      </c>
      <c r="BC37" s="2" t="s">
        <v>111</v>
      </c>
      <c r="BD37" s="2" t="s">
        <v>220</v>
      </c>
      <c r="BE37" s="2" t="s">
        <v>221</v>
      </c>
      <c r="BF37" s="2"/>
      <c r="BG37" s="2"/>
      <c r="BH37" s="2"/>
      <c r="BI37" s="2">
        <v>3812</v>
      </c>
      <c r="BJ37" s="2">
        <v>46353</v>
      </c>
      <c r="BK37" s="2">
        <v>5.7</v>
      </c>
    </row>
    <row r="38" spans="1:63" ht="32" hidden="1" x14ac:dyDescent="0.2">
      <c r="A38" s="2">
        <v>20016785</v>
      </c>
      <c r="B38" s="2">
        <v>200756</v>
      </c>
      <c r="C38" s="2">
        <v>50000</v>
      </c>
      <c r="D38" s="2" t="s">
        <v>134</v>
      </c>
      <c r="E38" s="2" t="s">
        <v>68</v>
      </c>
      <c r="F38" s="2" t="s">
        <v>71</v>
      </c>
      <c r="G38" s="2" t="s">
        <v>70</v>
      </c>
      <c r="H38" s="2" t="s">
        <v>70</v>
      </c>
      <c r="I38" s="2" t="s">
        <v>81</v>
      </c>
      <c r="J38" s="2" t="s">
        <v>82</v>
      </c>
      <c r="K38" s="2" t="s">
        <v>48</v>
      </c>
      <c r="L38" s="2">
        <v>66</v>
      </c>
      <c r="M38" s="2" t="s">
        <v>60</v>
      </c>
      <c r="N38" s="2" t="s">
        <v>61</v>
      </c>
      <c r="O38" s="2" t="s">
        <v>219</v>
      </c>
      <c r="P38" s="2">
        <v>12.8</v>
      </c>
      <c r="Q38" s="2">
        <v>177</v>
      </c>
      <c r="R38" s="2">
        <v>20</v>
      </c>
      <c r="S38" s="2">
        <v>190</v>
      </c>
      <c r="T38" s="2">
        <v>285</v>
      </c>
      <c r="U38" s="2">
        <v>4868</v>
      </c>
      <c r="V38" s="2">
        <v>0</v>
      </c>
      <c r="W38" s="2">
        <f t="shared" si="12"/>
        <v>5552.8</v>
      </c>
      <c r="X38" s="2" t="str">
        <f t="shared" si="2"/>
        <v>2</v>
      </c>
      <c r="Y38" s="2" t="str">
        <f t="shared" si="13"/>
        <v>1</v>
      </c>
      <c r="Z38" s="3">
        <f t="shared" si="3"/>
        <v>1.5</v>
      </c>
      <c r="AA38" s="2">
        <v>44</v>
      </c>
      <c r="AB38" s="2">
        <v>9</v>
      </c>
      <c r="AC38" s="2">
        <v>0.02</v>
      </c>
      <c r="AD38" s="2">
        <v>37.200000000000003</v>
      </c>
      <c r="AE38" s="2">
        <f t="shared" si="4"/>
        <v>1860</v>
      </c>
      <c r="AF38" s="2" t="str">
        <f t="shared" si="5"/>
        <v>1</v>
      </c>
      <c r="AG38" s="2" t="str">
        <f t="shared" si="6"/>
        <v>1</v>
      </c>
      <c r="AH38" s="3">
        <f t="shared" si="7"/>
        <v>1</v>
      </c>
      <c r="AI38" s="2">
        <v>1</v>
      </c>
      <c r="AJ38" s="2">
        <v>437.4</v>
      </c>
      <c r="AK38" s="2">
        <f>AJ38*0.9</f>
        <v>393.65999999999997</v>
      </c>
      <c r="AL38" s="2">
        <v>2091.9</v>
      </c>
      <c r="AM38" s="2">
        <f>AL38*0.9</f>
        <v>1882.71</v>
      </c>
      <c r="AN38" s="2" t="s">
        <v>61</v>
      </c>
      <c r="AO38" s="2" t="s">
        <v>61</v>
      </c>
      <c r="AP38" s="2">
        <v>90</v>
      </c>
      <c r="AQ38" s="19" t="str">
        <f>IF(AP38&lt;70,"1",IF(AP38&lt;=80,"2",IF(AP38&lt;=90,"3",IF(AP38&lt;=100,"4","5"))))</f>
        <v>3</v>
      </c>
      <c r="AR38" s="2">
        <v>1</v>
      </c>
      <c r="AS38" s="2">
        <v>1</v>
      </c>
      <c r="AT38" s="2">
        <v>1</v>
      </c>
      <c r="AU38" s="2">
        <v>1</v>
      </c>
      <c r="AV38" s="2">
        <v>5</v>
      </c>
      <c r="AW38" s="2">
        <v>1</v>
      </c>
      <c r="AX38" s="2">
        <v>5</v>
      </c>
      <c r="AY38" s="2">
        <v>2010</v>
      </c>
      <c r="AZ38" s="2">
        <f t="shared" si="9"/>
        <v>14</v>
      </c>
      <c r="BA38" s="2" t="str">
        <f t="shared" si="10"/>
        <v>2</v>
      </c>
      <c r="BB38" s="3">
        <f>(BA38+AX38+AS38+AQ38+AH38+Z38)/5</f>
        <v>2.7</v>
      </c>
      <c r="BC38" s="2" t="s">
        <v>111</v>
      </c>
      <c r="BD38" s="8" t="s">
        <v>222</v>
      </c>
      <c r="BE38" s="2" t="s">
        <v>223</v>
      </c>
      <c r="BF38" s="2"/>
      <c r="BG38" s="2"/>
      <c r="BH38" s="2"/>
      <c r="BI38" s="2">
        <v>5071</v>
      </c>
      <c r="BJ38" s="2">
        <v>66376</v>
      </c>
      <c r="BK38" s="2">
        <v>159</v>
      </c>
    </row>
    <row r="39" spans="1:63" ht="64" hidden="1" x14ac:dyDescent="0.2">
      <c r="A39" s="2">
        <v>20056780</v>
      </c>
      <c r="B39" s="2">
        <v>1056008748</v>
      </c>
      <c r="C39" s="2">
        <v>60000</v>
      </c>
      <c r="D39" s="2" t="s">
        <v>134</v>
      </c>
      <c r="E39" s="2" t="s">
        <v>224</v>
      </c>
      <c r="F39" s="2" t="s">
        <v>225</v>
      </c>
      <c r="G39" s="2" t="s">
        <v>125</v>
      </c>
      <c r="H39" s="2" t="s">
        <v>126</v>
      </c>
      <c r="I39" s="2" t="s">
        <v>81</v>
      </c>
      <c r="J39" s="2" t="s">
        <v>82</v>
      </c>
      <c r="K39" s="2" t="s">
        <v>48</v>
      </c>
      <c r="L39" s="2">
        <v>110</v>
      </c>
      <c r="M39" s="2" t="s">
        <v>137</v>
      </c>
      <c r="N39" s="2" t="s">
        <v>61</v>
      </c>
      <c r="O39" s="2" t="s">
        <v>226</v>
      </c>
      <c r="P39" s="2">
        <v>13</v>
      </c>
      <c r="Q39" s="2">
        <v>3.1</v>
      </c>
      <c r="R39" s="2">
        <v>0.2</v>
      </c>
      <c r="S39" s="2">
        <v>0.3</v>
      </c>
      <c r="T39" s="2">
        <v>342</v>
      </c>
      <c r="U39" s="2">
        <v>720</v>
      </c>
      <c r="V39" s="2">
        <v>0</v>
      </c>
      <c r="W39" s="2">
        <f t="shared" si="12"/>
        <v>1078.5999999999999</v>
      </c>
      <c r="X39" s="2" t="str">
        <f t="shared" si="2"/>
        <v>1</v>
      </c>
      <c r="Y39" s="2" t="str">
        <f t="shared" si="13"/>
        <v>1</v>
      </c>
      <c r="Z39" s="3">
        <f t="shared" si="3"/>
        <v>1</v>
      </c>
      <c r="AA39" s="2">
        <v>65</v>
      </c>
      <c r="AB39" s="2">
        <v>4</v>
      </c>
      <c r="AC39" s="2">
        <v>3.0000000000000001E-3</v>
      </c>
      <c r="AD39" s="2">
        <v>45.2</v>
      </c>
      <c r="AE39" s="2">
        <f t="shared" si="4"/>
        <v>15066.666666666668</v>
      </c>
      <c r="AF39" s="2" t="str">
        <f t="shared" si="5"/>
        <v>1</v>
      </c>
      <c r="AG39" s="2" t="str">
        <f t="shared" si="6"/>
        <v>1</v>
      </c>
      <c r="AH39" s="3">
        <f t="shared" si="7"/>
        <v>1</v>
      </c>
      <c r="AI39" s="2">
        <v>1</v>
      </c>
      <c r="AJ39" s="2">
        <v>314.92</v>
      </c>
      <c r="AK39" s="2">
        <f>AJ39*0.55</f>
        <v>173.20600000000002</v>
      </c>
      <c r="AL39" s="2">
        <v>1004.1</v>
      </c>
      <c r="AM39" s="2">
        <f>AL39*0.55</f>
        <v>552.25500000000011</v>
      </c>
      <c r="AN39" s="2" t="s">
        <v>61</v>
      </c>
      <c r="AO39" s="2" t="s">
        <v>61</v>
      </c>
      <c r="AP39" s="2">
        <v>55</v>
      </c>
      <c r="AQ39" s="19" t="str">
        <f t="shared" si="8"/>
        <v>1</v>
      </c>
      <c r="AR39" s="2">
        <v>1</v>
      </c>
      <c r="AS39" s="2">
        <v>1</v>
      </c>
      <c r="AT39" s="2">
        <v>1</v>
      </c>
      <c r="AU39" s="2">
        <v>1</v>
      </c>
      <c r="AV39" s="2">
        <v>1</v>
      </c>
      <c r="AW39" s="2">
        <v>1</v>
      </c>
      <c r="AX39" s="2">
        <v>1</v>
      </c>
      <c r="AY39" s="2">
        <v>2021</v>
      </c>
      <c r="AZ39" s="2">
        <f t="shared" si="9"/>
        <v>3</v>
      </c>
      <c r="BA39" s="2" t="str">
        <f t="shared" si="10"/>
        <v>1</v>
      </c>
      <c r="BB39" s="3">
        <f>(BA39+AX39+AS39+AQ39+AH39+Z39)/7</f>
        <v>0.8571428571428571</v>
      </c>
      <c r="BC39" s="2" t="s">
        <v>107</v>
      </c>
      <c r="BD39" s="8" t="s">
        <v>120</v>
      </c>
      <c r="BE39" s="2"/>
      <c r="BF39" s="2"/>
      <c r="BG39" s="2"/>
      <c r="BH39" s="2"/>
      <c r="BI39" s="2">
        <v>10322</v>
      </c>
      <c r="BJ39" s="2">
        <v>67922</v>
      </c>
      <c r="BK39" s="2">
        <v>0.9</v>
      </c>
    </row>
    <row r="40" spans="1:63" ht="80" hidden="1" x14ac:dyDescent="0.2">
      <c r="A40" s="2">
        <v>20056780</v>
      </c>
      <c r="B40" s="2">
        <v>201508</v>
      </c>
      <c r="C40" s="2">
        <v>60000</v>
      </c>
      <c r="D40" s="2" t="s">
        <v>134</v>
      </c>
      <c r="E40" s="2" t="s">
        <v>224</v>
      </c>
      <c r="F40" s="2" t="s">
        <v>227</v>
      </c>
      <c r="G40" s="2" t="s">
        <v>125</v>
      </c>
      <c r="H40" s="2" t="s">
        <v>126</v>
      </c>
      <c r="I40" s="2" t="s">
        <v>81</v>
      </c>
      <c r="J40" s="2" t="s">
        <v>82</v>
      </c>
      <c r="K40" s="2" t="s">
        <v>48</v>
      </c>
      <c r="L40" s="2">
        <v>110</v>
      </c>
      <c r="M40" s="2" t="s">
        <v>137</v>
      </c>
      <c r="N40" s="2" t="s">
        <v>61</v>
      </c>
      <c r="O40" s="2" t="s">
        <v>226</v>
      </c>
      <c r="P40" s="2">
        <v>1.5</v>
      </c>
      <c r="Q40" s="2">
        <v>13.9</v>
      </c>
      <c r="R40" s="2">
        <v>1.9</v>
      </c>
      <c r="S40" s="2">
        <v>2.2000000000000002</v>
      </c>
      <c r="T40" s="2">
        <v>760</v>
      </c>
      <c r="U40" s="2">
        <v>2449</v>
      </c>
      <c r="V40" s="2">
        <v>0</v>
      </c>
      <c r="W40" s="2">
        <f t="shared" si="12"/>
        <v>3228.5</v>
      </c>
      <c r="X40" s="2" t="str">
        <f t="shared" si="2"/>
        <v>1</v>
      </c>
      <c r="Y40" s="2" t="str">
        <f t="shared" si="13"/>
        <v>1</v>
      </c>
      <c r="Z40" s="3">
        <f t="shared" si="3"/>
        <v>1</v>
      </c>
      <c r="AA40" s="2">
        <v>63</v>
      </c>
      <c r="AB40" s="2">
        <v>5</v>
      </c>
      <c r="AC40" s="2">
        <v>4.0000000000000001E-3</v>
      </c>
      <c r="AD40" s="2">
        <v>40</v>
      </c>
      <c r="AE40" s="2">
        <f t="shared" si="4"/>
        <v>10000</v>
      </c>
      <c r="AF40" s="2" t="str">
        <f t="shared" si="5"/>
        <v>1</v>
      </c>
      <c r="AG40" s="2" t="str">
        <f t="shared" si="6"/>
        <v>1</v>
      </c>
      <c r="AH40" s="3">
        <f t="shared" si="7"/>
        <v>1</v>
      </c>
      <c r="AI40" s="2">
        <v>1</v>
      </c>
      <c r="AJ40" s="2">
        <v>315</v>
      </c>
      <c r="AK40" s="2">
        <f>AJ40*0.47</f>
        <v>148.04999999999998</v>
      </c>
      <c r="AL40" s="2">
        <v>1004</v>
      </c>
      <c r="AM40" s="2">
        <f>AL40*0.46</f>
        <v>461.84000000000003</v>
      </c>
      <c r="AN40" s="2" t="s">
        <v>61</v>
      </c>
      <c r="AO40" s="2" t="s">
        <v>61</v>
      </c>
      <c r="AP40" s="2">
        <v>47</v>
      </c>
      <c r="AQ40" s="19" t="str">
        <f t="shared" si="8"/>
        <v>1</v>
      </c>
      <c r="AR40" s="2">
        <v>1</v>
      </c>
      <c r="AS40" s="2">
        <v>1</v>
      </c>
      <c r="AT40" s="2">
        <v>1</v>
      </c>
      <c r="AU40" s="2">
        <v>1</v>
      </c>
      <c r="AV40" s="2">
        <v>1</v>
      </c>
      <c r="AW40" s="2">
        <v>1</v>
      </c>
      <c r="AX40" s="2">
        <v>1</v>
      </c>
      <c r="AY40" s="2">
        <v>2017</v>
      </c>
      <c r="AZ40" s="2">
        <f t="shared" si="9"/>
        <v>7</v>
      </c>
      <c r="BA40" s="2" t="str">
        <f t="shared" si="10"/>
        <v>2</v>
      </c>
      <c r="BB40" s="3">
        <f>(BA40+AX40+AS40+AQ40+AH40+Z40)/7</f>
        <v>1</v>
      </c>
      <c r="BC40" s="2" t="s">
        <v>107</v>
      </c>
      <c r="BD40" s="8" t="s">
        <v>139</v>
      </c>
      <c r="BE40" s="2" t="s">
        <v>228</v>
      </c>
      <c r="BF40" s="2"/>
      <c r="BG40" s="2"/>
      <c r="BH40" s="2"/>
      <c r="BI40" s="2">
        <v>2235</v>
      </c>
      <c r="BJ40" s="2">
        <v>29717</v>
      </c>
      <c r="BK40" s="2">
        <v>3.4</v>
      </c>
    </row>
    <row r="41" spans="1:63" ht="80" hidden="1" x14ac:dyDescent="0.2">
      <c r="A41" s="2">
        <v>20056780</v>
      </c>
      <c r="B41" s="2">
        <v>386780</v>
      </c>
      <c r="C41" s="2">
        <v>20000</v>
      </c>
      <c r="D41" s="2" t="s">
        <v>152</v>
      </c>
      <c r="E41" s="2" t="s">
        <v>224</v>
      </c>
      <c r="F41" s="2" t="s">
        <v>229</v>
      </c>
      <c r="G41" s="2" t="s">
        <v>125</v>
      </c>
      <c r="H41" s="2" t="s">
        <v>126</v>
      </c>
      <c r="I41" s="2" t="s">
        <v>81</v>
      </c>
      <c r="J41" s="2" t="s">
        <v>82</v>
      </c>
      <c r="K41" s="2" t="s">
        <v>48</v>
      </c>
      <c r="L41" s="2" t="s">
        <v>137</v>
      </c>
      <c r="M41" s="2" t="s">
        <v>60</v>
      </c>
      <c r="N41" s="2" t="s">
        <v>61</v>
      </c>
      <c r="O41" s="2" t="s">
        <v>218</v>
      </c>
      <c r="P41" s="2">
        <v>2.2999999999999998</v>
      </c>
      <c r="Q41" s="2">
        <v>1.6</v>
      </c>
      <c r="R41" s="2">
        <v>5.9</v>
      </c>
      <c r="S41" s="2">
        <v>0.4</v>
      </c>
      <c r="T41" s="2">
        <v>208</v>
      </c>
      <c r="U41" s="2">
        <v>1304</v>
      </c>
      <c r="V41" s="2">
        <v>0</v>
      </c>
      <c r="W41" s="2">
        <f t="shared" si="12"/>
        <v>1522.2</v>
      </c>
      <c r="X41" s="2" t="str">
        <f t="shared" si="2"/>
        <v>1</v>
      </c>
      <c r="Y41" s="2" t="str">
        <f t="shared" si="13"/>
        <v>1</v>
      </c>
      <c r="Z41" s="3">
        <f t="shared" si="3"/>
        <v>1</v>
      </c>
      <c r="AA41" s="2">
        <v>55</v>
      </c>
      <c r="AB41" s="2">
        <v>7</v>
      </c>
      <c r="AC41" s="2">
        <v>6.0000000000000001E-3</v>
      </c>
      <c r="AD41" s="2">
        <v>44.2</v>
      </c>
      <c r="AE41" s="2">
        <f t="shared" si="4"/>
        <v>7366.666666666667</v>
      </c>
      <c r="AF41" s="2" t="str">
        <f t="shared" si="5"/>
        <v>1</v>
      </c>
      <c r="AG41" s="2" t="str">
        <f t="shared" si="6"/>
        <v>1</v>
      </c>
      <c r="AH41" s="3">
        <f t="shared" si="7"/>
        <v>1</v>
      </c>
      <c r="AI41" s="2">
        <v>1</v>
      </c>
      <c r="AJ41" s="2">
        <v>335</v>
      </c>
      <c r="AK41" s="2">
        <f>AJ41*0.85</f>
        <v>284.75</v>
      </c>
      <c r="AL41" s="2">
        <v>837</v>
      </c>
      <c r="AM41" s="2">
        <f>AL41*0.83</f>
        <v>694.70999999999992</v>
      </c>
      <c r="AN41" s="2" t="s">
        <v>61</v>
      </c>
      <c r="AO41" s="2" t="s">
        <v>61</v>
      </c>
      <c r="AP41" s="2">
        <v>85</v>
      </c>
      <c r="AQ41" s="19" t="str">
        <f t="shared" si="8"/>
        <v>3</v>
      </c>
      <c r="AR41" s="2">
        <v>1</v>
      </c>
      <c r="AS41" s="2">
        <v>1</v>
      </c>
      <c r="AT41" s="2">
        <v>1</v>
      </c>
      <c r="AU41" s="2">
        <v>1</v>
      </c>
      <c r="AV41" s="2">
        <v>1</v>
      </c>
      <c r="AW41" s="2">
        <v>1</v>
      </c>
      <c r="AX41" s="2">
        <v>1</v>
      </c>
      <c r="AY41" s="2">
        <v>2014</v>
      </c>
      <c r="AZ41" s="2">
        <f t="shared" si="9"/>
        <v>10</v>
      </c>
      <c r="BA41" s="2" t="str">
        <f t="shared" si="10"/>
        <v>2</v>
      </c>
      <c r="BB41" s="3">
        <f>(BA41+AX41+AS41+AQ41+AH41+Z41)/7</f>
        <v>1.2857142857142858</v>
      </c>
      <c r="BC41" s="2" t="s">
        <v>107</v>
      </c>
      <c r="BD41" s="8" t="s">
        <v>139</v>
      </c>
      <c r="BE41" s="2" t="s">
        <v>230</v>
      </c>
      <c r="BF41" s="2"/>
      <c r="BG41" s="2"/>
      <c r="BH41" s="2"/>
      <c r="BI41" s="2">
        <v>29497</v>
      </c>
      <c r="BJ41" s="2">
        <v>66609</v>
      </c>
      <c r="BK41" s="2">
        <v>3.9</v>
      </c>
    </row>
    <row r="42" spans="1:63" ht="48" hidden="1" x14ac:dyDescent="0.2">
      <c r="A42" s="2">
        <v>20026771</v>
      </c>
      <c r="B42" s="2" t="s">
        <v>231</v>
      </c>
      <c r="C42" s="2">
        <v>12500</v>
      </c>
      <c r="D42" s="2" t="s">
        <v>73</v>
      </c>
      <c r="E42" s="2" t="s">
        <v>232</v>
      </c>
      <c r="F42" s="2" t="s">
        <v>233</v>
      </c>
      <c r="G42" s="2" t="s">
        <v>58</v>
      </c>
      <c r="H42" s="2" t="s">
        <v>59</v>
      </c>
      <c r="I42" s="2" t="s">
        <v>81</v>
      </c>
      <c r="J42" s="2" t="s">
        <v>143</v>
      </c>
      <c r="K42" s="2" t="s">
        <v>48</v>
      </c>
      <c r="L42" s="2" t="s">
        <v>76</v>
      </c>
      <c r="M42" s="2" t="s">
        <v>234</v>
      </c>
      <c r="N42" s="2" t="s">
        <v>61</v>
      </c>
      <c r="O42" s="2" t="s">
        <v>164</v>
      </c>
      <c r="P42" s="2">
        <v>5.3</v>
      </c>
      <c r="Q42" s="2">
        <v>43</v>
      </c>
      <c r="R42" s="2">
        <v>121</v>
      </c>
      <c r="S42" s="2">
        <v>19.7</v>
      </c>
      <c r="T42" s="2">
        <v>941</v>
      </c>
      <c r="U42" s="2">
        <v>9628</v>
      </c>
      <c r="V42" s="2">
        <v>0</v>
      </c>
      <c r="W42" s="2">
        <f t="shared" si="12"/>
        <v>10758</v>
      </c>
      <c r="X42" s="2" t="str">
        <f t="shared" si="2"/>
        <v>3</v>
      </c>
      <c r="Y42" s="2" t="str">
        <f t="shared" si="13"/>
        <v>1</v>
      </c>
      <c r="Z42" s="3">
        <f t="shared" si="3"/>
        <v>2</v>
      </c>
      <c r="AA42" s="2">
        <v>21</v>
      </c>
      <c r="AB42" s="2">
        <v>32</v>
      </c>
      <c r="AC42" s="2">
        <v>0.02</v>
      </c>
      <c r="AD42" s="2">
        <v>41.4</v>
      </c>
      <c r="AE42" s="2">
        <f t="shared" si="4"/>
        <v>2070</v>
      </c>
      <c r="AF42" s="2" t="str">
        <f t="shared" si="5"/>
        <v>4</v>
      </c>
      <c r="AG42" s="2" t="str">
        <f t="shared" si="6"/>
        <v>1</v>
      </c>
      <c r="AH42" s="3">
        <f t="shared" si="7"/>
        <v>2.5</v>
      </c>
      <c r="AI42" s="2">
        <v>3</v>
      </c>
      <c r="AJ42" s="2">
        <v>209</v>
      </c>
      <c r="AK42" s="2">
        <f>AJ42*0.59</f>
        <v>123.30999999999999</v>
      </c>
      <c r="AL42" s="2">
        <v>487</v>
      </c>
      <c r="AM42" s="2">
        <f>AL42*0.59</f>
        <v>287.33</v>
      </c>
      <c r="AN42" s="2" t="s">
        <v>61</v>
      </c>
      <c r="AO42" s="2" t="s">
        <v>61</v>
      </c>
      <c r="AP42" s="2">
        <v>59</v>
      </c>
      <c r="AQ42" s="19" t="str">
        <f t="shared" si="8"/>
        <v>1</v>
      </c>
      <c r="AR42" s="2">
        <v>1</v>
      </c>
      <c r="AS42" s="2">
        <v>1</v>
      </c>
      <c r="AT42" s="2">
        <v>1</v>
      </c>
      <c r="AU42" s="2">
        <v>1</v>
      </c>
      <c r="AV42" s="2">
        <v>1</v>
      </c>
      <c r="AW42" s="2">
        <v>1</v>
      </c>
      <c r="AX42" s="2">
        <v>1</v>
      </c>
      <c r="AY42" s="2">
        <v>1980</v>
      </c>
      <c r="AZ42" s="2">
        <f t="shared" si="9"/>
        <v>44</v>
      </c>
      <c r="BA42" s="2" t="str">
        <f t="shared" si="10"/>
        <v>5</v>
      </c>
      <c r="BB42" s="3">
        <f>(BA42+AX42+AS42+AQ42+AH42+Z42)/5</f>
        <v>2.5</v>
      </c>
      <c r="BC42" s="2" t="s">
        <v>111</v>
      </c>
      <c r="BD42" s="8" t="s">
        <v>235</v>
      </c>
      <c r="BE42" s="2" t="s">
        <v>236</v>
      </c>
      <c r="BF42" s="2"/>
      <c r="BG42" s="2">
        <v>67500000</v>
      </c>
      <c r="BH42" s="2">
        <v>9000000</v>
      </c>
      <c r="BI42" s="2">
        <v>2915</v>
      </c>
      <c r="BJ42" s="2">
        <v>76705</v>
      </c>
      <c r="BK42" s="2">
        <v>68</v>
      </c>
    </row>
    <row r="43" spans="1:63" s="25" customFormat="1" ht="80" hidden="1" x14ac:dyDescent="0.2">
      <c r="A43" s="21">
        <v>20056774</v>
      </c>
      <c r="B43" s="21">
        <v>1057609479</v>
      </c>
      <c r="C43" s="21">
        <v>6500</v>
      </c>
      <c r="D43" s="21" t="s">
        <v>73</v>
      </c>
      <c r="E43" s="21" t="s">
        <v>237</v>
      </c>
      <c r="F43" s="21" t="s">
        <v>238</v>
      </c>
      <c r="G43" s="21" t="s">
        <v>125</v>
      </c>
      <c r="H43" s="21" t="s">
        <v>126</v>
      </c>
      <c r="I43" s="21" t="s">
        <v>81</v>
      </c>
      <c r="J43" s="21" t="s">
        <v>82</v>
      </c>
      <c r="K43" s="21" t="s">
        <v>66</v>
      </c>
      <c r="L43" s="21" t="s">
        <v>76</v>
      </c>
      <c r="M43" s="21" t="s">
        <v>60</v>
      </c>
      <c r="N43" s="21" t="s">
        <v>61</v>
      </c>
      <c r="O43" s="21" t="s">
        <v>83</v>
      </c>
      <c r="P43" s="21">
        <v>8.8000000000000007</v>
      </c>
      <c r="Q43" s="21">
        <v>6.2</v>
      </c>
      <c r="R43" s="21">
        <v>3.2</v>
      </c>
      <c r="S43" s="21">
        <v>1.2</v>
      </c>
      <c r="T43" s="21">
        <v>703</v>
      </c>
      <c r="U43" s="21">
        <v>1522</v>
      </c>
      <c r="V43" s="21">
        <v>0</v>
      </c>
      <c r="W43" s="21">
        <f t="shared" si="12"/>
        <v>2244.4</v>
      </c>
      <c r="X43" s="2" t="str">
        <f t="shared" si="2"/>
        <v>1</v>
      </c>
      <c r="Y43" s="2" t="str">
        <f t="shared" si="13"/>
        <v>1</v>
      </c>
      <c r="Z43" s="3">
        <f t="shared" si="3"/>
        <v>1</v>
      </c>
      <c r="AA43" s="21">
        <v>55</v>
      </c>
      <c r="AB43" s="21">
        <v>7</v>
      </c>
      <c r="AC43" s="21">
        <v>2E-3</v>
      </c>
      <c r="AD43" s="21">
        <v>46.1</v>
      </c>
      <c r="AE43" s="21">
        <f t="shared" si="4"/>
        <v>23050</v>
      </c>
      <c r="AF43" s="21" t="str">
        <f t="shared" si="5"/>
        <v>1</v>
      </c>
      <c r="AG43" s="21" t="str">
        <f t="shared" si="6"/>
        <v>1</v>
      </c>
      <c r="AH43" s="22">
        <f t="shared" si="7"/>
        <v>1</v>
      </c>
      <c r="AI43" s="21">
        <v>3</v>
      </c>
      <c r="AJ43" s="21">
        <v>108.78</v>
      </c>
      <c r="AK43" s="21">
        <f>AJ43*0.56</f>
        <v>60.916800000000009</v>
      </c>
      <c r="AL43" s="21">
        <v>271.94</v>
      </c>
      <c r="AM43" s="21">
        <f>AL43*0.56</f>
        <v>152.28640000000001</v>
      </c>
      <c r="AN43" s="21" t="s">
        <v>61</v>
      </c>
      <c r="AO43" s="21" t="s">
        <v>61</v>
      </c>
      <c r="AP43" s="21">
        <v>56</v>
      </c>
      <c r="AQ43" s="23" t="str">
        <f t="shared" si="8"/>
        <v>1</v>
      </c>
      <c r="AR43" s="21">
        <v>1</v>
      </c>
      <c r="AS43" s="21">
        <v>1</v>
      </c>
      <c r="AT43" s="21">
        <v>1</v>
      </c>
      <c r="AU43" s="21">
        <v>1</v>
      </c>
      <c r="AV43" s="21">
        <v>1</v>
      </c>
      <c r="AW43" s="21" t="s">
        <v>61</v>
      </c>
      <c r="AX43" s="21">
        <v>1</v>
      </c>
      <c r="AY43" s="21">
        <v>2021</v>
      </c>
      <c r="AZ43" s="21">
        <f t="shared" si="9"/>
        <v>3</v>
      </c>
      <c r="BA43" s="21" t="str">
        <f t="shared" si="10"/>
        <v>1</v>
      </c>
      <c r="BB43" s="22">
        <f>(BA43+AX43+AS43+AQ43+AH43+Z43)/7</f>
        <v>0.8571428571428571</v>
      </c>
      <c r="BC43" s="21" t="s">
        <v>107</v>
      </c>
      <c r="BD43" s="24" t="s">
        <v>139</v>
      </c>
      <c r="BE43" s="21" t="s">
        <v>203</v>
      </c>
      <c r="BF43" s="21"/>
      <c r="BG43" s="21"/>
      <c r="BH43" s="21"/>
      <c r="BI43" s="21">
        <v>2857</v>
      </c>
      <c r="BJ43" s="21">
        <v>73545</v>
      </c>
      <c r="BK43" s="21">
        <v>3.3</v>
      </c>
    </row>
    <row r="44" spans="1:63" s="25" customFormat="1" ht="96" hidden="1" x14ac:dyDescent="0.2">
      <c r="A44" s="21">
        <v>20056774</v>
      </c>
      <c r="B44" s="21">
        <v>200100</v>
      </c>
      <c r="C44" s="21">
        <v>6500</v>
      </c>
      <c r="D44" s="21" t="s">
        <v>73</v>
      </c>
      <c r="E44" s="21" t="s">
        <v>237</v>
      </c>
      <c r="F44" s="21" t="s">
        <v>239</v>
      </c>
      <c r="G44" s="21" t="s">
        <v>125</v>
      </c>
      <c r="H44" s="21" t="s">
        <v>126</v>
      </c>
      <c r="I44" s="21" t="s">
        <v>81</v>
      </c>
      <c r="J44" s="21" t="s">
        <v>82</v>
      </c>
      <c r="K44" s="21" t="s">
        <v>66</v>
      </c>
      <c r="L44" s="21" t="s">
        <v>76</v>
      </c>
      <c r="M44" s="21" t="s">
        <v>60</v>
      </c>
      <c r="N44" s="21" t="s">
        <v>61</v>
      </c>
      <c r="O44" s="21" t="s">
        <v>83</v>
      </c>
      <c r="P44" s="21">
        <v>2.4</v>
      </c>
      <c r="Q44" s="21">
        <v>18.2</v>
      </c>
      <c r="R44" s="21">
        <v>70</v>
      </c>
      <c r="S44" s="21">
        <v>5.2</v>
      </c>
      <c r="T44" s="21">
        <v>1568</v>
      </c>
      <c r="U44" s="21">
        <v>5514</v>
      </c>
      <c r="V44" s="21">
        <v>3.2</v>
      </c>
      <c r="W44" s="21">
        <f t="shared" si="12"/>
        <v>7177.8</v>
      </c>
      <c r="X44" s="2" t="str">
        <f t="shared" si="2"/>
        <v>3</v>
      </c>
      <c r="Y44" s="2" t="str">
        <f t="shared" si="13"/>
        <v>1</v>
      </c>
      <c r="Z44" s="3">
        <f t="shared" si="3"/>
        <v>2</v>
      </c>
      <c r="AA44" s="21">
        <v>40</v>
      </c>
      <c r="AB44" s="21">
        <v>14</v>
      </c>
      <c r="AC44" s="21">
        <v>0.02</v>
      </c>
      <c r="AD44" s="21">
        <v>30.8</v>
      </c>
      <c r="AE44" s="21">
        <f t="shared" si="4"/>
        <v>1540</v>
      </c>
      <c r="AF44" s="21" t="str">
        <f t="shared" si="5"/>
        <v>1</v>
      </c>
      <c r="AG44" s="21" t="str">
        <f t="shared" si="6"/>
        <v>1</v>
      </c>
      <c r="AH44" s="22">
        <f t="shared" si="7"/>
        <v>1</v>
      </c>
      <c r="AI44" s="21">
        <v>3</v>
      </c>
      <c r="AJ44" s="21">
        <v>108.78</v>
      </c>
      <c r="AK44" s="21">
        <f>AJ44*0.56</f>
        <v>60.916800000000009</v>
      </c>
      <c r="AL44" s="21">
        <v>271.94</v>
      </c>
      <c r="AM44" s="21">
        <f>AL44*0.56</f>
        <v>152.28640000000001</v>
      </c>
      <c r="AN44" s="21" t="s">
        <v>61</v>
      </c>
      <c r="AO44" s="21" t="s">
        <v>61</v>
      </c>
      <c r="AP44" s="21">
        <v>56</v>
      </c>
      <c r="AQ44" s="23" t="str">
        <f t="shared" si="8"/>
        <v>1</v>
      </c>
      <c r="AR44" s="21">
        <v>1</v>
      </c>
      <c r="AS44" s="21">
        <v>1</v>
      </c>
      <c r="AT44" s="21">
        <v>1</v>
      </c>
      <c r="AU44" s="21">
        <v>1</v>
      </c>
      <c r="AV44" s="21">
        <v>1</v>
      </c>
      <c r="AW44" s="21" t="s">
        <v>61</v>
      </c>
      <c r="AX44" s="21">
        <v>1</v>
      </c>
      <c r="AY44" s="21">
        <v>1999</v>
      </c>
      <c r="AZ44" s="21">
        <f t="shared" si="9"/>
        <v>25</v>
      </c>
      <c r="BA44" s="21" t="str">
        <f t="shared" si="10"/>
        <v>3</v>
      </c>
      <c r="BB44" s="22">
        <f>(BA44+AX44+AS44+AQ44+AH44+Z44)/6</f>
        <v>1.5</v>
      </c>
      <c r="BC44" s="21" t="s">
        <v>105</v>
      </c>
      <c r="BD44" s="24" t="s">
        <v>127</v>
      </c>
      <c r="BE44" s="21" t="s">
        <v>203</v>
      </c>
      <c r="BF44" s="21"/>
      <c r="BG44" s="21"/>
      <c r="BH44" s="21"/>
      <c r="BI44" s="21">
        <v>3529</v>
      </c>
      <c r="BJ44" s="21">
        <v>103530</v>
      </c>
      <c r="BK44" s="21">
        <v>36</v>
      </c>
    </row>
    <row r="45" spans="1:63" hidden="1" x14ac:dyDescent="0.2">
      <c r="A45" s="2">
        <v>20026790</v>
      </c>
      <c r="B45" s="2" t="s">
        <v>240</v>
      </c>
      <c r="C45" s="2">
        <v>25000</v>
      </c>
      <c r="D45" s="2" t="s">
        <v>152</v>
      </c>
      <c r="E45" s="2" t="s">
        <v>241</v>
      </c>
      <c r="F45" s="2" t="s">
        <v>242</v>
      </c>
      <c r="G45" s="2" t="s">
        <v>58</v>
      </c>
      <c r="H45" s="2" t="s">
        <v>59</v>
      </c>
      <c r="I45" s="2" t="s">
        <v>81</v>
      </c>
      <c r="J45" s="2" t="s">
        <v>82</v>
      </c>
      <c r="K45" s="2" t="s">
        <v>48</v>
      </c>
      <c r="L45" s="2">
        <v>110</v>
      </c>
      <c r="M45" s="2" t="s">
        <v>137</v>
      </c>
      <c r="N45" s="2" t="s">
        <v>60</v>
      </c>
      <c r="O45" s="2" t="s">
        <v>243</v>
      </c>
      <c r="P45" s="2">
        <v>6.9</v>
      </c>
      <c r="Q45" s="2">
        <v>14.6</v>
      </c>
      <c r="R45" s="2">
        <v>2.8</v>
      </c>
      <c r="S45" s="2">
        <v>1.9</v>
      </c>
      <c r="T45" s="2">
        <v>289</v>
      </c>
      <c r="U45" s="2">
        <v>3476</v>
      </c>
      <c r="V45" s="2">
        <v>0</v>
      </c>
      <c r="W45" s="2">
        <f t="shared" si="12"/>
        <v>3791.2</v>
      </c>
      <c r="X45" s="2" t="str">
        <f t="shared" si="2"/>
        <v>1</v>
      </c>
      <c r="Y45" s="2" t="str">
        <f t="shared" si="13"/>
        <v>1</v>
      </c>
      <c r="Z45" s="3">
        <f t="shared" si="3"/>
        <v>1</v>
      </c>
      <c r="AA45" s="2">
        <v>44</v>
      </c>
      <c r="AB45" s="2">
        <v>15</v>
      </c>
      <c r="AC45" s="2">
        <v>0.02</v>
      </c>
      <c r="AD45" s="2">
        <v>41.1</v>
      </c>
      <c r="AE45" s="2">
        <f t="shared" si="4"/>
        <v>2055</v>
      </c>
      <c r="AF45" s="2" t="str">
        <f t="shared" si="5"/>
        <v>1</v>
      </c>
      <c r="AG45" s="2" t="str">
        <f t="shared" si="6"/>
        <v>1</v>
      </c>
      <c r="AH45" s="3">
        <f t="shared" si="7"/>
        <v>1</v>
      </c>
      <c r="AI45" s="2">
        <v>1</v>
      </c>
      <c r="AJ45" s="2">
        <v>131</v>
      </c>
      <c r="AK45" s="2">
        <f>AJ45*0.5</f>
        <v>65.5</v>
      </c>
      <c r="AL45" s="2">
        <v>251</v>
      </c>
      <c r="AM45" s="2">
        <f>AL45*0.64</f>
        <v>160.64000000000001</v>
      </c>
      <c r="AN45" s="2">
        <v>502</v>
      </c>
      <c r="AO45" s="2">
        <f>AN45*0.61</f>
        <v>306.21999999999997</v>
      </c>
      <c r="AP45" s="2">
        <v>62</v>
      </c>
      <c r="AQ45" s="19" t="str">
        <f t="shared" si="8"/>
        <v>1</v>
      </c>
      <c r="AR45" s="2">
        <v>1</v>
      </c>
      <c r="AS45" s="2">
        <v>1</v>
      </c>
      <c r="AT45" s="2">
        <v>1</v>
      </c>
      <c r="AU45" s="2">
        <v>1</v>
      </c>
      <c r="AV45" s="2">
        <v>1</v>
      </c>
      <c r="AW45" s="2">
        <v>1</v>
      </c>
      <c r="AX45" s="2">
        <v>1</v>
      </c>
      <c r="AY45" s="2">
        <v>1984</v>
      </c>
      <c r="AZ45" s="2">
        <f t="shared" si="9"/>
        <v>40</v>
      </c>
      <c r="BA45" s="2" t="str">
        <f t="shared" si="10"/>
        <v>5</v>
      </c>
      <c r="BB45" s="3">
        <f t="shared" ref="BB45:BB52" si="14">(BA45+AX45+AS45+AQ45+AH45+Z45)/7</f>
        <v>1.4285714285714286</v>
      </c>
      <c r="BC45" s="2" t="s">
        <v>107</v>
      </c>
      <c r="BD45" s="28" t="s">
        <v>244</v>
      </c>
      <c r="BE45" s="2" t="s">
        <v>230</v>
      </c>
      <c r="BF45" s="2"/>
      <c r="BG45" s="2"/>
      <c r="BH45" s="2"/>
      <c r="BI45" s="2">
        <v>2465</v>
      </c>
      <c r="BJ45" s="2">
        <v>35205</v>
      </c>
      <c r="BK45" s="2">
        <v>3</v>
      </c>
    </row>
    <row r="46" spans="1:63" hidden="1" x14ac:dyDescent="0.2">
      <c r="A46" s="2">
        <v>20026790</v>
      </c>
      <c r="B46" s="2">
        <v>1057474126</v>
      </c>
      <c r="C46" s="2">
        <v>25000</v>
      </c>
      <c r="D46" s="2" t="s">
        <v>152</v>
      </c>
      <c r="E46" s="2" t="s">
        <v>241</v>
      </c>
      <c r="F46" s="2" t="s">
        <v>245</v>
      </c>
      <c r="G46" s="2" t="s">
        <v>58</v>
      </c>
      <c r="H46" s="2" t="s">
        <v>59</v>
      </c>
      <c r="I46" s="2" t="s">
        <v>81</v>
      </c>
      <c r="J46" s="2" t="s">
        <v>82</v>
      </c>
      <c r="K46" s="2" t="s">
        <v>48</v>
      </c>
      <c r="L46" s="2">
        <v>110</v>
      </c>
      <c r="M46" s="2" t="s">
        <v>137</v>
      </c>
      <c r="N46" s="2" t="s">
        <v>60</v>
      </c>
      <c r="O46" s="2" t="s">
        <v>243</v>
      </c>
      <c r="P46" s="2">
        <v>14.3</v>
      </c>
      <c r="Q46" s="2">
        <v>8.3000000000000007</v>
      </c>
      <c r="R46" s="2">
        <v>0.6</v>
      </c>
      <c r="S46" s="2">
        <v>2.2999999999999998</v>
      </c>
      <c r="T46" s="2">
        <v>469</v>
      </c>
      <c r="U46" s="2">
        <v>1327</v>
      </c>
      <c r="V46" s="2">
        <v>0</v>
      </c>
      <c r="W46" s="2">
        <f t="shared" si="12"/>
        <v>1821.5</v>
      </c>
      <c r="X46" s="2" t="str">
        <f t="shared" si="2"/>
        <v>1</v>
      </c>
      <c r="Y46" s="2" t="str">
        <f t="shared" si="13"/>
        <v>1</v>
      </c>
      <c r="Z46" s="3">
        <f t="shared" si="3"/>
        <v>1</v>
      </c>
      <c r="AA46" s="2">
        <v>45</v>
      </c>
      <c r="AB46" s="2">
        <v>10</v>
      </c>
      <c r="AC46" s="2">
        <v>0.02</v>
      </c>
      <c r="AD46" s="2">
        <v>43.7</v>
      </c>
      <c r="AE46" s="2">
        <f t="shared" si="4"/>
        <v>2185</v>
      </c>
      <c r="AF46" s="2" t="str">
        <f t="shared" si="5"/>
        <v>1</v>
      </c>
      <c r="AG46" s="2" t="str">
        <f t="shared" si="6"/>
        <v>1</v>
      </c>
      <c r="AH46" s="3">
        <f t="shared" si="7"/>
        <v>1</v>
      </c>
      <c r="AI46" s="2">
        <v>1</v>
      </c>
      <c r="AJ46" s="2">
        <v>131.19999999999999</v>
      </c>
      <c r="AK46" s="2">
        <f>AJ46*0.5</f>
        <v>65.599999999999994</v>
      </c>
      <c r="AL46" s="2">
        <v>251</v>
      </c>
      <c r="AM46" s="2">
        <f>AL46*0.64</f>
        <v>160.64000000000001</v>
      </c>
      <c r="AN46" s="2">
        <v>502.04</v>
      </c>
      <c r="AO46" s="2">
        <f>AN46*0.61</f>
        <v>306.24439999999998</v>
      </c>
      <c r="AP46" s="2">
        <v>62</v>
      </c>
      <c r="AQ46" s="19" t="str">
        <f t="shared" si="8"/>
        <v>1</v>
      </c>
      <c r="AR46" s="2">
        <v>1</v>
      </c>
      <c r="AS46" s="2">
        <v>1</v>
      </c>
      <c r="AT46" s="2">
        <v>1</v>
      </c>
      <c r="AU46" s="2">
        <v>1</v>
      </c>
      <c r="AV46" s="2">
        <v>1</v>
      </c>
      <c r="AW46" s="2">
        <v>1</v>
      </c>
      <c r="AX46" s="2">
        <v>1</v>
      </c>
      <c r="AY46" s="2">
        <v>2021</v>
      </c>
      <c r="AZ46" s="2">
        <f t="shared" si="9"/>
        <v>3</v>
      </c>
      <c r="BA46" s="2" t="str">
        <f t="shared" si="10"/>
        <v>1</v>
      </c>
      <c r="BB46" s="3">
        <f t="shared" si="14"/>
        <v>0.8571428571428571</v>
      </c>
      <c r="BC46" s="2" t="s">
        <v>107</v>
      </c>
      <c r="BD46" s="28" t="s">
        <v>246</v>
      </c>
      <c r="BE46" s="2" t="s">
        <v>203</v>
      </c>
      <c r="BF46" s="2"/>
      <c r="BG46" s="2"/>
      <c r="BH46" s="2"/>
      <c r="BI46" s="2">
        <v>741</v>
      </c>
      <c r="BJ46" s="2">
        <v>20853</v>
      </c>
      <c r="BK46" s="2">
        <v>2</v>
      </c>
    </row>
    <row r="47" spans="1:63" s="25" customFormat="1" hidden="1" x14ac:dyDescent="0.2">
      <c r="A47" s="21">
        <v>20056766</v>
      </c>
      <c r="B47" s="21" t="s">
        <v>247</v>
      </c>
      <c r="C47" s="21">
        <v>2500</v>
      </c>
      <c r="D47" s="21" t="s">
        <v>73</v>
      </c>
      <c r="E47" s="21" t="s">
        <v>248</v>
      </c>
      <c r="F47" s="21" t="s">
        <v>249</v>
      </c>
      <c r="G47" s="21" t="s">
        <v>125</v>
      </c>
      <c r="H47" s="21" t="s">
        <v>126</v>
      </c>
      <c r="I47" s="21" t="s">
        <v>65</v>
      </c>
      <c r="J47" s="21" t="s">
        <v>61</v>
      </c>
      <c r="K47" s="21" t="s">
        <v>66</v>
      </c>
      <c r="L47" s="21" t="s">
        <v>76</v>
      </c>
      <c r="M47" s="21" t="s">
        <v>60</v>
      </c>
      <c r="N47" s="21" t="s">
        <v>61</v>
      </c>
      <c r="O47" s="21" t="s">
        <v>77</v>
      </c>
      <c r="P47" s="21">
        <v>3.9</v>
      </c>
      <c r="Q47" s="21">
        <v>1.4</v>
      </c>
      <c r="R47" s="21">
        <v>0.4</v>
      </c>
      <c r="S47" s="21">
        <v>0.1</v>
      </c>
      <c r="T47" s="21">
        <v>82</v>
      </c>
      <c r="U47" s="21">
        <v>286</v>
      </c>
      <c r="V47" s="21">
        <v>0.1</v>
      </c>
      <c r="W47" s="21">
        <f t="shared" si="12"/>
        <v>373.8</v>
      </c>
      <c r="X47" s="2" t="str">
        <f t="shared" si="2"/>
        <v>1</v>
      </c>
      <c r="Y47" s="2" t="str">
        <f t="shared" si="13"/>
        <v>1</v>
      </c>
      <c r="Z47" s="3">
        <f t="shared" si="3"/>
        <v>1</v>
      </c>
      <c r="AA47" s="21">
        <v>54</v>
      </c>
      <c r="AB47" s="21">
        <v>5</v>
      </c>
      <c r="AC47" s="21">
        <v>1E-3</v>
      </c>
      <c r="AD47" s="21">
        <v>42.8</v>
      </c>
      <c r="AE47" s="21">
        <f t="shared" si="4"/>
        <v>42799.999999999993</v>
      </c>
      <c r="AF47" s="21" t="str">
        <f t="shared" si="5"/>
        <v>1</v>
      </c>
      <c r="AG47" s="21" t="str">
        <f t="shared" si="6"/>
        <v>1</v>
      </c>
      <c r="AH47" s="22">
        <f t="shared" si="7"/>
        <v>1</v>
      </c>
      <c r="AI47" s="21">
        <v>1</v>
      </c>
      <c r="AJ47" s="21">
        <v>41.84</v>
      </c>
      <c r="AK47" s="21">
        <f>AJ47*0.81</f>
        <v>33.890400000000007</v>
      </c>
      <c r="AL47" s="21">
        <v>104.6</v>
      </c>
      <c r="AM47" s="21">
        <f>AL47*0.81</f>
        <v>84.725999999999999</v>
      </c>
      <c r="AN47" s="21" t="s">
        <v>61</v>
      </c>
      <c r="AO47" s="21" t="s">
        <v>61</v>
      </c>
      <c r="AP47" s="21">
        <v>81</v>
      </c>
      <c r="AQ47" s="23" t="str">
        <f t="shared" si="8"/>
        <v>3</v>
      </c>
      <c r="AR47" s="21">
        <v>1</v>
      </c>
      <c r="AS47" s="21">
        <v>1</v>
      </c>
      <c r="AT47" s="21">
        <v>1</v>
      </c>
      <c r="AU47" s="21">
        <v>1</v>
      </c>
      <c r="AV47" s="21">
        <v>1</v>
      </c>
      <c r="AW47" s="21" t="s">
        <v>61</v>
      </c>
      <c r="AX47" s="21">
        <v>1</v>
      </c>
      <c r="AY47" s="21">
        <v>2022</v>
      </c>
      <c r="AZ47" s="21">
        <f t="shared" si="9"/>
        <v>2</v>
      </c>
      <c r="BA47" s="21" t="str">
        <f t="shared" si="10"/>
        <v>1</v>
      </c>
      <c r="BB47" s="22">
        <f t="shared" si="14"/>
        <v>1.1428571428571428</v>
      </c>
      <c r="BC47" s="21" t="s">
        <v>107</v>
      </c>
      <c r="BD47" s="29" t="s">
        <v>250</v>
      </c>
      <c r="BE47" s="21"/>
      <c r="BF47" s="21"/>
      <c r="BG47" s="21"/>
      <c r="BH47" s="21"/>
      <c r="BI47" s="21">
        <v>26982</v>
      </c>
      <c r="BJ47" s="21">
        <v>57928</v>
      </c>
      <c r="BK47" s="21">
        <v>0.3</v>
      </c>
    </row>
    <row r="48" spans="1:63" s="25" customFormat="1" hidden="1" x14ac:dyDescent="0.2">
      <c r="A48" s="21">
        <v>20036782</v>
      </c>
      <c r="B48" s="21">
        <v>30900117</v>
      </c>
      <c r="C48" s="21">
        <v>12500</v>
      </c>
      <c r="D48" s="21" t="s">
        <v>73</v>
      </c>
      <c r="E48" s="21" t="s">
        <v>251</v>
      </c>
      <c r="F48" s="21" t="s">
        <v>252</v>
      </c>
      <c r="G48" s="21" t="s">
        <v>125</v>
      </c>
      <c r="H48" s="21" t="s">
        <v>148</v>
      </c>
      <c r="I48" s="21" t="s">
        <v>81</v>
      </c>
      <c r="J48" s="21" t="s">
        <v>82</v>
      </c>
      <c r="K48" s="21" t="s">
        <v>48</v>
      </c>
      <c r="L48" s="21" t="s">
        <v>76</v>
      </c>
      <c r="M48" s="21" t="s">
        <v>60</v>
      </c>
      <c r="N48" s="21" t="s">
        <v>61</v>
      </c>
      <c r="O48" s="21" t="s">
        <v>164</v>
      </c>
      <c r="P48" s="21">
        <v>2.9</v>
      </c>
      <c r="Q48" s="21">
        <v>13.2</v>
      </c>
      <c r="R48" s="21">
        <v>4.5999999999999996</v>
      </c>
      <c r="S48" s="21">
        <v>2</v>
      </c>
      <c r="T48" s="21">
        <v>1419</v>
      </c>
      <c r="U48" s="21">
        <v>4230</v>
      </c>
      <c r="V48" s="21">
        <v>0</v>
      </c>
      <c r="W48" s="21">
        <f t="shared" si="12"/>
        <v>5671.7</v>
      </c>
      <c r="X48" s="2" t="str">
        <f t="shared" si="2"/>
        <v>2</v>
      </c>
      <c r="Y48" s="2" t="str">
        <f t="shared" si="13"/>
        <v>1</v>
      </c>
      <c r="Z48" s="3">
        <f t="shared" si="3"/>
        <v>1.5</v>
      </c>
      <c r="AA48" s="21">
        <v>60</v>
      </c>
      <c r="AB48" s="21">
        <v>6</v>
      </c>
      <c r="AC48" s="21">
        <v>0.02</v>
      </c>
      <c r="AD48" s="21">
        <v>42</v>
      </c>
      <c r="AE48" s="21">
        <f t="shared" si="4"/>
        <v>2100</v>
      </c>
      <c r="AF48" s="21" t="str">
        <f t="shared" si="5"/>
        <v>1</v>
      </c>
      <c r="AG48" s="21" t="str">
        <f t="shared" si="6"/>
        <v>1</v>
      </c>
      <c r="AH48" s="22">
        <f t="shared" si="7"/>
        <v>1</v>
      </c>
      <c r="AI48" s="21">
        <v>2</v>
      </c>
      <c r="AJ48" s="21">
        <v>209.18</v>
      </c>
      <c r="AK48" s="21">
        <f>AJ48*0.55</f>
        <v>115.04900000000001</v>
      </c>
      <c r="AL48" s="21">
        <v>486.97</v>
      </c>
      <c r="AM48" s="21">
        <f>AL48*0.55</f>
        <v>267.83350000000002</v>
      </c>
      <c r="AN48" s="21" t="s">
        <v>61</v>
      </c>
      <c r="AO48" s="21" t="s">
        <v>61</v>
      </c>
      <c r="AP48" s="21">
        <v>55</v>
      </c>
      <c r="AQ48" s="23" t="str">
        <f t="shared" si="8"/>
        <v>1</v>
      </c>
      <c r="AR48" s="21">
        <v>1</v>
      </c>
      <c r="AS48" s="21">
        <v>1</v>
      </c>
      <c r="AT48" s="21">
        <v>1</v>
      </c>
      <c r="AU48" s="21">
        <v>1</v>
      </c>
      <c r="AV48" s="21">
        <v>1</v>
      </c>
      <c r="AW48" s="21">
        <v>1</v>
      </c>
      <c r="AX48" s="21">
        <v>1</v>
      </c>
      <c r="AY48" s="21">
        <v>2017</v>
      </c>
      <c r="AZ48" s="21">
        <f t="shared" si="9"/>
        <v>7</v>
      </c>
      <c r="BA48" s="21" t="str">
        <f t="shared" si="10"/>
        <v>2</v>
      </c>
      <c r="BB48" s="22">
        <f t="shared" si="14"/>
        <v>1.0714285714285714</v>
      </c>
      <c r="BC48" s="21" t="s">
        <v>107</v>
      </c>
      <c r="BD48" s="29" t="s">
        <v>253</v>
      </c>
      <c r="BE48" s="21" t="s">
        <v>230</v>
      </c>
      <c r="BF48" s="21"/>
      <c r="BG48" s="21"/>
      <c r="BH48" s="21"/>
      <c r="BI48" s="21">
        <v>5856</v>
      </c>
      <c r="BJ48" s="21">
        <v>88552</v>
      </c>
      <c r="BK48" s="21">
        <v>3.4</v>
      </c>
    </row>
    <row r="49" spans="1:63" s="25" customFormat="1" ht="48" hidden="1" x14ac:dyDescent="0.2">
      <c r="A49" s="21">
        <v>20036782</v>
      </c>
      <c r="B49" s="21" t="s">
        <v>254</v>
      </c>
      <c r="C49" s="21">
        <v>12500</v>
      </c>
      <c r="D49" s="21" t="s">
        <v>73</v>
      </c>
      <c r="E49" s="21" t="s">
        <v>251</v>
      </c>
      <c r="F49" s="21" t="s">
        <v>255</v>
      </c>
      <c r="G49" s="21" t="s">
        <v>125</v>
      </c>
      <c r="H49" s="21" t="s">
        <v>148</v>
      </c>
      <c r="I49" s="21" t="s">
        <v>81</v>
      </c>
      <c r="J49" s="21" t="s">
        <v>143</v>
      </c>
      <c r="K49" s="21" t="s">
        <v>48</v>
      </c>
      <c r="L49" s="21" t="s">
        <v>76</v>
      </c>
      <c r="M49" s="21" t="s">
        <v>60</v>
      </c>
      <c r="N49" s="21" t="s">
        <v>61</v>
      </c>
      <c r="O49" s="21" t="s">
        <v>164</v>
      </c>
      <c r="P49" s="21">
        <v>21</v>
      </c>
      <c r="Q49" s="21">
        <v>91</v>
      </c>
      <c r="R49" s="21">
        <v>46</v>
      </c>
      <c r="S49" s="21">
        <v>32</v>
      </c>
      <c r="T49" s="21">
        <v>1032</v>
      </c>
      <c r="U49" s="21">
        <v>12935</v>
      </c>
      <c r="V49" s="21">
        <v>0.1</v>
      </c>
      <c r="W49" s="21">
        <f t="shared" si="12"/>
        <v>14157</v>
      </c>
      <c r="X49" s="2" t="str">
        <f t="shared" si="2"/>
        <v>3</v>
      </c>
      <c r="Y49" s="2" t="str">
        <f t="shared" si="13"/>
        <v>1</v>
      </c>
      <c r="Z49" s="3">
        <f t="shared" si="3"/>
        <v>2</v>
      </c>
      <c r="AA49" s="21">
        <v>36</v>
      </c>
      <c r="AB49" s="21">
        <v>15</v>
      </c>
      <c r="AC49" s="21">
        <v>0.02</v>
      </c>
      <c r="AD49" s="21">
        <v>43.6</v>
      </c>
      <c r="AE49" s="21">
        <f t="shared" si="4"/>
        <v>2180</v>
      </c>
      <c r="AF49" s="21" t="str">
        <f t="shared" si="5"/>
        <v>1</v>
      </c>
      <c r="AG49" s="21" t="str">
        <f t="shared" si="6"/>
        <v>1</v>
      </c>
      <c r="AH49" s="22">
        <f t="shared" si="7"/>
        <v>1</v>
      </c>
      <c r="AI49" s="21">
        <v>1</v>
      </c>
      <c r="AJ49" s="21">
        <v>209</v>
      </c>
      <c r="AK49" s="21">
        <f>AJ49*0.91</f>
        <v>190.19</v>
      </c>
      <c r="AL49" s="21">
        <v>487</v>
      </c>
      <c r="AM49" s="21">
        <f>AL49*0.91</f>
        <v>443.17</v>
      </c>
      <c r="AN49" s="21" t="s">
        <v>61</v>
      </c>
      <c r="AO49" s="21" t="s">
        <v>61</v>
      </c>
      <c r="AP49" s="21">
        <v>91</v>
      </c>
      <c r="AQ49" s="23" t="str">
        <f t="shared" si="8"/>
        <v>4</v>
      </c>
      <c r="AR49" s="21">
        <v>1</v>
      </c>
      <c r="AS49" s="21">
        <v>1</v>
      </c>
      <c r="AT49" s="21">
        <v>5</v>
      </c>
      <c r="AU49" s="21">
        <v>1</v>
      </c>
      <c r="AV49" s="21">
        <v>1</v>
      </c>
      <c r="AW49" s="21">
        <v>1</v>
      </c>
      <c r="AX49" s="21">
        <v>5</v>
      </c>
      <c r="AY49" s="21">
        <v>1980</v>
      </c>
      <c r="AZ49" s="21">
        <f t="shared" si="9"/>
        <v>44</v>
      </c>
      <c r="BA49" s="21" t="str">
        <f t="shared" si="10"/>
        <v>5</v>
      </c>
      <c r="BB49" s="22">
        <f t="shared" si="14"/>
        <v>2.5714285714285716</v>
      </c>
      <c r="BC49" s="21" t="s">
        <v>111</v>
      </c>
      <c r="BD49" s="24" t="s">
        <v>256</v>
      </c>
      <c r="BE49" s="21" t="s">
        <v>257</v>
      </c>
      <c r="BF49" s="21"/>
      <c r="BG49" s="21">
        <v>45600000</v>
      </c>
      <c r="BH49" s="21">
        <v>12000000</v>
      </c>
      <c r="BI49" s="21">
        <v>1122</v>
      </c>
      <c r="BJ49" s="21">
        <v>95288</v>
      </c>
      <c r="BK49" s="21">
        <v>43</v>
      </c>
    </row>
    <row r="50" spans="1:63" s="25" customFormat="1" ht="32" hidden="1" x14ac:dyDescent="0.2">
      <c r="A50" s="21">
        <v>20016779</v>
      </c>
      <c r="B50" s="21">
        <v>582568</v>
      </c>
      <c r="C50" s="21">
        <v>20000</v>
      </c>
      <c r="D50" s="21" t="s">
        <v>152</v>
      </c>
      <c r="E50" s="21" t="s">
        <v>258</v>
      </c>
      <c r="F50" s="21" t="s">
        <v>259</v>
      </c>
      <c r="G50" s="21" t="s">
        <v>70</v>
      </c>
      <c r="H50" s="21" t="s">
        <v>70</v>
      </c>
      <c r="I50" s="21" t="s">
        <v>81</v>
      </c>
      <c r="J50" s="21" t="s">
        <v>82</v>
      </c>
      <c r="K50" s="21" t="s">
        <v>48</v>
      </c>
      <c r="L50" s="21">
        <v>66</v>
      </c>
      <c r="M50" s="21" t="s">
        <v>60</v>
      </c>
      <c r="N50" s="21" t="s">
        <v>61</v>
      </c>
      <c r="O50" s="21" t="s">
        <v>177</v>
      </c>
      <c r="P50" s="21">
        <v>178</v>
      </c>
      <c r="Q50" s="21">
        <v>1038</v>
      </c>
      <c r="R50" s="21">
        <v>1601</v>
      </c>
      <c r="S50" s="21">
        <v>252</v>
      </c>
      <c r="T50" s="21">
        <v>1731</v>
      </c>
      <c r="U50" s="21">
        <v>10494</v>
      </c>
      <c r="V50" s="21">
        <v>39</v>
      </c>
      <c r="W50" s="21">
        <f t="shared" si="12"/>
        <v>15294</v>
      </c>
      <c r="X50" s="21" t="str">
        <f t="shared" si="2"/>
        <v>4</v>
      </c>
      <c r="Y50" s="21" t="str">
        <f t="shared" si="13"/>
        <v>5</v>
      </c>
      <c r="Z50" s="22">
        <f t="shared" si="3"/>
        <v>4.5</v>
      </c>
      <c r="AA50" s="21">
        <v>13</v>
      </c>
      <c r="AB50" s="21">
        <v>38</v>
      </c>
      <c r="AC50" s="21">
        <v>0.05</v>
      </c>
      <c r="AD50" s="21">
        <v>30.1</v>
      </c>
      <c r="AE50" s="21">
        <f t="shared" si="4"/>
        <v>602</v>
      </c>
      <c r="AF50" s="21" t="str">
        <f t="shared" si="5"/>
        <v>5</v>
      </c>
      <c r="AG50" s="21" t="str">
        <f t="shared" si="6"/>
        <v>4</v>
      </c>
      <c r="AH50" s="22">
        <f t="shared" si="7"/>
        <v>4.5</v>
      </c>
      <c r="AI50" s="21">
        <v>1</v>
      </c>
      <c r="AJ50" s="21">
        <v>175</v>
      </c>
      <c r="AK50" s="21">
        <v>58</v>
      </c>
      <c r="AL50" s="21">
        <v>836.7</v>
      </c>
      <c r="AM50" s="21">
        <v>265</v>
      </c>
      <c r="AN50" s="21" t="s">
        <v>61</v>
      </c>
      <c r="AO50" s="21" t="s">
        <v>61</v>
      </c>
      <c r="AP50" s="30">
        <v>32</v>
      </c>
      <c r="AQ50" s="23" t="str">
        <f t="shared" si="8"/>
        <v>1</v>
      </c>
      <c r="AR50" s="21">
        <v>1</v>
      </c>
      <c r="AS50" s="21">
        <v>1</v>
      </c>
      <c r="AT50" s="21">
        <v>1</v>
      </c>
      <c r="AU50" s="21">
        <v>1</v>
      </c>
      <c r="AV50" s="21">
        <v>1</v>
      </c>
      <c r="AW50" s="21">
        <v>1</v>
      </c>
      <c r="AX50" s="21">
        <v>1</v>
      </c>
      <c r="AY50" s="21">
        <v>1982</v>
      </c>
      <c r="AZ50" s="21">
        <f t="shared" si="9"/>
        <v>42</v>
      </c>
      <c r="BA50" s="21" t="str">
        <f t="shared" si="10"/>
        <v>5</v>
      </c>
      <c r="BB50" s="22">
        <v>5</v>
      </c>
      <c r="BC50" s="21" t="s">
        <v>114</v>
      </c>
      <c r="BD50" s="24" t="s">
        <v>178</v>
      </c>
      <c r="BE50" s="21" t="s">
        <v>203</v>
      </c>
      <c r="BF50" s="21">
        <v>112000000</v>
      </c>
      <c r="BG50" s="21">
        <v>145000000</v>
      </c>
      <c r="BH50" s="21">
        <v>24000000</v>
      </c>
      <c r="BI50" s="21">
        <v>4794</v>
      </c>
      <c r="BJ50" s="21">
        <v>98373</v>
      </c>
      <c r="BK50" s="21">
        <v>990</v>
      </c>
    </row>
    <row r="51" spans="1:63" s="25" customFormat="1" ht="80" hidden="1" x14ac:dyDescent="0.2">
      <c r="A51" s="21">
        <v>20057584</v>
      </c>
      <c r="B51" s="21">
        <v>1059084098</v>
      </c>
      <c r="C51" s="21">
        <v>4000</v>
      </c>
      <c r="D51" s="21" t="s">
        <v>73</v>
      </c>
      <c r="E51" s="21" t="s">
        <v>260</v>
      </c>
      <c r="F51" s="21" t="s">
        <v>261</v>
      </c>
      <c r="G51" s="21" t="s">
        <v>125</v>
      </c>
      <c r="H51" s="21" t="s">
        <v>126</v>
      </c>
      <c r="I51" s="21" t="s">
        <v>65</v>
      </c>
      <c r="J51" s="21" t="s">
        <v>61</v>
      </c>
      <c r="K51" s="21" t="s">
        <v>66</v>
      </c>
      <c r="L51" s="21" t="s">
        <v>76</v>
      </c>
      <c r="M51" s="21" t="s">
        <v>60</v>
      </c>
      <c r="N51" s="21" t="s">
        <v>61</v>
      </c>
      <c r="O51" s="21" t="s">
        <v>130</v>
      </c>
      <c r="P51" s="21">
        <v>10.7</v>
      </c>
      <c r="Q51" s="21">
        <v>1.6</v>
      </c>
      <c r="R51" s="21">
        <v>0.9</v>
      </c>
      <c r="S51" s="21">
        <v>0.9</v>
      </c>
      <c r="T51" s="21">
        <v>133</v>
      </c>
      <c r="U51" s="21">
        <v>235</v>
      </c>
      <c r="V51" s="21">
        <v>0.1</v>
      </c>
      <c r="W51" s="21">
        <f t="shared" si="12"/>
        <v>382.1</v>
      </c>
      <c r="X51" s="2" t="str">
        <f t="shared" si="2"/>
        <v>1</v>
      </c>
      <c r="Y51" s="2" t="str">
        <f t="shared" si="13"/>
        <v>1</v>
      </c>
      <c r="Z51" s="3">
        <f t="shared" si="3"/>
        <v>1</v>
      </c>
      <c r="AA51" s="21">
        <v>62</v>
      </c>
      <c r="AB51" s="21">
        <v>6</v>
      </c>
      <c r="AC51" s="21">
        <v>2E-3</v>
      </c>
      <c r="AD51" s="21">
        <v>47</v>
      </c>
      <c r="AE51" s="21">
        <f t="shared" si="4"/>
        <v>23500</v>
      </c>
      <c r="AF51" s="21" t="str">
        <f t="shared" si="5"/>
        <v>1</v>
      </c>
      <c r="AG51" s="21" t="str">
        <f t="shared" si="6"/>
        <v>1</v>
      </c>
      <c r="AH51" s="22">
        <f t="shared" si="7"/>
        <v>1</v>
      </c>
      <c r="AI51" s="21">
        <v>3</v>
      </c>
      <c r="AJ51" s="21">
        <v>66.94</v>
      </c>
      <c r="AK51" s="21">
        <f>AJ51*0.558</f>
        <v>37.352520000000005</v>
      </c>
      <c r="AL51" s="21">
        <v>167.3</v>
      </c>
      <c r="AM51" s="21">
        <f>AL51*0.58</f>
        <v>97.034000000000006</v>
      </c>
      <c r="AN51" s="21" t="s">
        <v>61</v>
      </c>
      <c r="AO51" s="21" t="s">
        <v>61</v>
      </c>
      <c r="AP51" s="21">
        <v>58</v>
      </c>
      <c r="AQ51" s="23" t="str">
        <f t="shared" si="8"/>
        <v>1</v>
      </c>
      <c r="AR51" s="21">
        <v>1</v>
      </c>
      <c r="AS51" s="21">
        <v>1</v>
      </c>
      <c r="AT51" s="21">
        <v>1</v>
      </c>
      <c r="AU51" s="21">
        <v>1</v>
      </c>
      <c r="AV51" s="21">
        <v>1</v>
      </c>
      <c r="AW51" s="21" t="s">
        <v>61</v>
      </c>
      <c r="AX51" s="21">
        <v>1</v>
      </c>
      <c r="AY51" s="21">
        <v>2021</v>
      </c>
      <c r="AZ51" s="21">
        <f t="shared" si="9"/>
        <v>3</v>
      </c>
      <c r="BA51" s="21" t="str">
        <f t="shared" si="10"/>
        <v>1</v>
      </c>
      <c r="BB51" s="22">
        <f t="shared" si="14"/>
        <v>0.8571428571428571</v>
      </c>
      <c r="BC51" s="21" t="s">
        <v>107</v>
      </c>
      <c r="BD51" s="24" t="s">
        <v>139</v>
      </c>
      <c r="BE51" s="21" t="s">
        <v>262</v>
      </c>
      <c r="BF51" s="21"/>
      <c r="BG51" s="21"/>
      <c r="BH51" s="21"/>
      <c r="BI51" s="21">
        <v>7763</v>
      </c>
      <c r="BJ51" s="21">
        <v>71176</v>
      </c>
      <c r="BK51" s="21">
        <v>1.4</v>
      </c>
    </row>
    <row r="52" spans="1:63" s="25" customFormat="1" ht="80" hidden="1" x14ac:dyDescent="0.2">
      <c r="A52" s="21">
        <v>20700518</v>
      </c>
      <c r="B52" s="21" t="s">
        <v>263</v>
      </c>
      <c r="C52" s="21">
        <v>4000</v>
      </c>
      <c r="D52" s="21" t="s">
        <v>73</v>
      </c>
      <c r="E52" s="21" t="s">
        <v>260</v>
      </c>
      <c r="F52" s="21" t="s">
        <v>264</v>
      </c>
      <c r="G52" s="21" t="s">
        <v>125</v>
      </c>
      <c r="H52" s="21" t="s">
        <v>126</v>
      </c>
      <c r="I52" s="21" t="s">
        <v>65</v>
      </c>
      <c r="J52" s="21" t="s">
        <v>61</v>
      </c>
      <c r="K52" s="21" t="s">
        <v>66</v>
      </c>
      <c r="L52" s="21" t="s">
        <v>76</v>
      </c>
      <c r="M52" s="21" t="s">
        <v>60</v>
      </c>
      <c r="N52" s="21" t="s">
        <v>61</v>
      </c>
      <c r="O52" s="21" t="s">
        <v>130</v>
      </c>
      <c r="P52" s="21">
        <v>3.4</v>
      </c>
      <c r="Q52" s="21">
        <v>3.7</v>
      </c>
      <c r="R52" s="21">
        <v>1.1000000000000001</v>
      </c>
      <c r="S52" s="21">
        <v>0.6</v>
      </c>
      <c r="T52" s="21">
        <v>475</v>
      </c>
      <c r="U52" s="21">
        <v>1102</v>
      </c>
      <c r="V52" s="21">
        <v>0.1</v>
      </c>
      <c r="W52" s="21">
        <f t="shared" si="12"/>
        <v>1585.8000000000002</v>
      </c>
      <c r="X52" s="2" t="str">
        <f t="shared" si="2"/>
        <v>1</v>
      </c>
      <c r="Y52" s="2" t="str">
        <f t="shared" si="13"/>
        <v>1</v>
      </c>
      <c r="Z52" s="3">
        <f t="shared" si="3"/>
        <v>1</v>
      </c>
      <c r="AA52" s="21">
        <v>53</v>
      </c>
      <c r="AB52" s="21">
        <v>7</v>
      </c>
      <c r="AC52" s="21">
        <v>3.0000000000000001E-3</v>
      </c>
      <c r="AD52" s="21">
        <v>37.9</v>
      </c>
      <c r="AE52" s="21">
        <f t="shared" si="4"/>
        <v>12633.333333333332</v>
      </c>
      <c r="AF52" s="21" t="str">
        <f t="shared" si="5"/>
        <v>1</v>
      </c>
      <c r="AG52" s="21" t="str">
        <f t="shared" si="6"/>
        <v>1</v>
      </c>
      <c r="AH52" s="22">
        <f t="shared" si="7"/>
        <v>1</v>
      </c>
      <c r="AI52" s="21">
        <v>3</v>
      </c>
      <c r="AJ52" s="21">
        <v>66.94</v>
      </c>
      <c r="AK52" s="21">
        <f>AJ52*0.558</f>
        <v>37.352520000000005</v>
      </c>
      <c r="AL52" s="21">
        <v>167.3</v>
      </c>
      <c r="AM52" s="21">
        <f>AL52*0.58</f>
        <v>97.034000000000006</v>
      </c>
      <c r="AN52" s="21" t="s">
        <v>61</v>
      </c>
      <c r="AO52" s="21" t="s">
        <v>61</v>
      </c>
      <c r="AP52" s="21">
        <v>58</v>
      </c>
      <c r="AQ52" s="23" t="str">
        <f t="shared" si="8"/>
        <v>1</v>
      </c>
      <c r="AR52" s="21">
        <v>1</v>
      </c>
      <c r="AS52" s="21">
        <v>1</v>
      </c>
      <c r="AT52" s="21">
        <v>1</v>
      </c>
      <c r="AU52" s="21">
        <v>1</v>
      </c>
      <c r="AV52" s="21">
        <v>1</v>
      </c>
      <c r="AW52" s="21" t="s">
        <v>61</v>
      </c>
      <c r="AX52" s="21">
        <v>1</v>
      </c>
      <c r="AY52" s="21">
        <v>2020</v>
      </c>
      <c r="AZ52" s="21">
        <f t="shared" si="9"/>
        <v>4</v>
      </c>
      <c r="BA52" s="21" t="str">
        <f t="shared" si="10"/>
        <v>1</v>
      </c>
      <c r="BB52" s="22">
        <f t="shared" si="14"/>
        <v>0.8571428571428571</v>
      </c>
      <c r="BC52" s="21" t="s">
        <v>107</v>
      </c>
      <c r="BD52" s="24" t="s">
        <v>139</v>
      </c>
      <c r="BE52" s="21" t="s">
        <v>262</v>
      </c>
      <c r="BF52" s="21"/>
      <c r="BG52" s="21"/>
      <c r="BH52" s="21"/>
      <c r="BI52" s="21">
        <v>10260</v>
      </c>
      <c r="BJ52" s="21">
        <v>72040</v>
      </c>
      <c r="BK52" s="21">
        <v>1.5</v>
      </c>
    </row>
    <row r="53" spans="1:63" ht="48" hidden="1" x14ac:dyDescent="0.2">
      <c r="A53" s="2">
        <v>20037179</v>
      </c>
      <c r="B53" s="2" t="s">
        <v>265</v>
      </c>
      <c r="C53" s="2">
        <v>60000</v>
      </c>
      <c r="D53" s="2" t="s">
        <v>134</v>
      </c>
      <c r="E53" s="2" t="s">
        <v>266</v>
      </c>
      <c r="F53" s="2" t="s">
        <v>267</v>
      </c>
      <c r="G53" s="2" t="s">
        <v>125</v>
      </c>
      <c r="H53" s="2" t="s">
        <v>148</v>
      </c>
      <c r="I53" s="2" t="s">
        <v>81</v>
      </c>
      <c r="J53" s="2" t="s">
        <v>82</v>
      </c>
      <c r="K53" s="2" t="s">
        <v>48</v>
      </c>
      <c r="L53" s="2">
        <v>110</v>
      </c>
      <c r="M53" s="2" t="s">
        <v>137</v>
      </c>
      <c r="N53" s="2" t="s">
        <v>61</v>
      </c>
      <c r="O53" s="2" t="s">
        <v>226</v>
      </c>
      <c r="P53" s="2">
        <v>6.3</v>
      </c>
      <c r="Q53" s="2">
        <v>2.6</v>
      </c>
      <c r="R53" s="2">
        <v>1.6</v>
      </c>
      <c r="S53" s="2">
        <v>0.3</v>
      </c>
      <c r="T53" s="2">
        <v>285</v>
      </c>
      <c r="U53" s="2">
        <v>2024</v>
      </c>
      <c r="V53" s="2">
        <v>0</v>
      </c>
      <c r="W53" s="2">
        <f t="shared" si="12"/>
        <v>2319.8000000000002</v>
      </c>
      <c r="X53" s="2" t="str">
        <f t="shared" si="2"/>
        <v>1</v>
      </c>
      <c r="Y53" s="2" t="str">
        <f t="shared" si="13"/>
        <v>1</v>
      </c>
      <c r="Z53" s="3">
        <f t="shared" si="3"/>
        <v>1</v>
      </c>
      <c r="AA53" s="2">
        <v>29</v>
      </c>
      <c r="AB53" s="2">
        <v>18</v>
      </c>
      <c r="AC53" s="2">
        <v>0.02</v>
      </c>
      <c r="AD53" s="2">
        <v>44.7</v>
      </c>
      <c r="AE53" s="2">
        <f t="shared" si="4"/>
        <v>2235</v>
      </c>
      <c r="AF53" s="2" t="str">
        <f t="shared" si="5"/>
        <v>2</v>
      </c>
      <c r="AG53" s="2" t="str">
        <f t="shared" si="6"/>
        <v>1</v>
      </c>
      <c r="AH53" s="3">
        <f t="shared" si="7"/>
        <v>1.5</v>
      </c>
      <c r="AI53" s="2">
        <v>3</v>
      </c>
      <c r="AJ53" s="2">
        <v>314.89999999999998</v>
      </c>
      <c r="AK53" s="2">
        <f>AJ53*0.45</f>
        <v>141.70499999999998</v>
      </c>
      <c r="AL53" s="2">
        <v>1004.1</v>
      </c>
      <c r="AM53" s="2">
        <f>AL53*0.45</f>
        <v>451.84500000000003</v>
      </c>
      <c r="AN53" s="2" t="s">
        <v>61</v>
      </c>
      <c r="AO53" s="2" t="s">
        <v>61</v>
      </c>
      <c r="AP53" s="2">
        <v>45</v>
      </c>
      <c r="AQ53" s="19" t="str">
        <f t="shared" si="8"/>
        <v>1</v>
      </c>
      <c r="AR53" s="2">
        <v>1</v>
      </c>
      <c r="AS53" s="2">
        <v>1</v>
      </c>
      <c r="AT53" s="2">
        <v>1</v>
      </c>
      <c r="AU53" s="2">
        <v>1</v>
      </c>
      <c r="AV53" s="2">
        <v>1</v>
      </c>
      <c r="AW53" s="2">
        <v>1</v>
      </c>
      <c r="AX53" s="2">
        <v>1</v>
      </c>
      <c r="AY53" s="2">
        <v>1990</v>
      </c>
      <c r="AZ53" s="2">
        <f t="shared" si="9"/>
        <v>34</v>
      </c>
      <c r="BA53" s="2" t="str">
        <f t="shared" si="10"/>
        <v>4</v>
      </c>
      <c r="BB53" s="3">
        <f>(BA53+AX53+AS53+AQ53+AH53+Z53)/3</f>
        <v>3.1666666666666665</v>
      </c>
      <c r="BC53" s="2" t="s">
        <v>111</v>
      </c>
      <c r="BD53" s="8" t="s">
        <v>235</v>
      </c>
      <c r="BE53" s="2" t="s">
        <v>268</v>
      </c>
      <c r="BF53" s="2"/>
      <c r="BG53" s="2">
        <v>1456000000</v>
      </c>
      <c r="BH53" s="2">
        <v>17000000</v>
      </c>
      <c r="BI53" s="2">
        <v>31936</v>
      </c>
      <c r="BJ53" s="2">
        <v>94970</v>
      </c>
      <c r="BK53" s="2">
        <v>0.8</v>
      </c>
    </row>
    <row r="54" spans="1:63" ht="64" hidden="1" x14ac:dyDescent="0.2">
      <c r="A54" s="2">
        <v>20037179</v>
      </c>
      <c r="B54" s="2" t="s">
        <v>269</v>
      </c>
      <c r="C54" s="2">
        <v>14000</v>
      </c>
      <c r="D54" s="2" t="s">
        <v>73</v>
      </c>
      <c r="E54" s="2" t="s">
        <v>266</v>
      </c>
      <c r="F54" s="2" t="s">
        <v>270</v>
      </c>
      <c r="G54" s="2" t="s">
        <v>125</v>
      </c>
      <c r="H54" s="2" t="s">
        <v>148</v>
      </c>
      <c r="I54" s="2" t="s">
        <v>81</v>
      </c>
      <c r="J54" s="2" t="s">
        <v>82</v>
      </c>
      <c r="K54" s="2" t="s">
        <v>48</v>
      </c>
      <c r="L54" s="2" t="s">
        <v>76</v>
      </c>
      <c r="M54" s="2" t="s">
        <v>60</v>
      </c>
      <c r="N54" s="2" t="s">
        <v>61</v>
      </c>
      <c r="O54" s="2" t="s">
        <v>164</v>
      </c>
      <c r="P54" s="2">
        <v>4.2</v>
      </c>
      <c r="Q54" s="2">
        <v>7.4</v>
      </c>
      <c r="R54" s="2">
        <v>10.199999999999999</v>
      </c>
      <c r="S54" s="2">
        <v>1</v>
      </c>
      <c r="T54" s="2">
        <v>502</v>
      </c>
      <c r="U54" s="2">
        <v>2212</v>
      </c>
      <c r="V54" s="2">
        <v>0</v>
      </c>
      <c r="W54" s="2">
        <f t="shared" si="12"/>
        <v>2736.8</v>
      </c>
      <c r="X54" s="2" t="str">
        <f t="shared" si="2"/>
        <v>1</v>
      </c>
      <c r="Y54" s="2" t="str">
        <f t="shared" si="13"/>
        <v>1</v>
      </c>
      <c r="Z54" s="3">
        <f t="shared" si="3"/>
        <v>1</v>
      </c>
      <c r="AA54" s="2">
        <v>51</v>
      </c>
      <c r="AB54" s="2">
        <v>15</v>
      </c>
      <c r="AC54" s="2">
        <v>0.02</v>
      </c>
      <c r="AD54" s="2">
        <v>37.799999999999997</v>
      </c>
      <c r="AE54" s="2">
        <f t="shared" si="4"/>
        <v>1889.9999999999998</v>
      </c>
      <c r="AF54" s="2" t="str">
        <f t="shared" si="5"/>
        <v>1</v>
      </c>
      <c r="AG54" s="2" t="str">
        <f t="shared" si="6"/>
        <v>1</v>
      </c>
      <c r="AH54" s="3">
        <f t="shared" si="7"/>
        <v>1</v>
      </c>
      <c r="AI54" s="2">
        <v>1</v>
      </c>
      <c r="AJ54" s="2">
        <v>231.9</v>
      </c>
      <c r="AK54" s="2">
        <f>AJ54*0.64</f>
        <v>148.416</v>
      </c>
      <c r="AL54" s="2">
        <v>585.70000000000005</v>
      </c>
      <c r="AM54" s="2">
        <f>AL54*0.64</f>
        <v>374.84800000000001</v>
      </c>
      <c r="AN54" s="2" t="s">
        <v>61</v>
      </c>
      <c r="AO54" s="2" t="s">
        <v>61</v>
      </c>
      <c r="AP54" s="2">
        <v>64</v>
      </c>
      <c r="AQ54" s="19" t="str">
        <f t="shared" si="8"/>
        <v>1</v>
      </c>
      <c r="AR54" s="2">
        <v>1</v>
      </c>
      <c r="AS54" s="2">
        <v>1</v>
      </c>
      <c r="AT54" s="2">
        <v>1</v>
      </c>
      <c r="AU54" s="2">
        <v>1</v>
      </c>
      <c r="AV54" s="2">
        <v>1</v>
      </c>
      <c r="AW54" s="2">
        <v>1</v>
      </c>
      <c r="AX54" s="2">
        <v>1</v>
      </c>
      <c r="AY54" s="2">
        <v>1997</v>
      </c>
      <c r="AZ54" s="2">
        <f t="shared" si="9"/>
        <v>27</v>
      </c>
      <c r="BA54" s="2" t="str">
        <f t="shared" si="10"/>
        <v>3</v>
      </c>
      <c r="BB54" s="3">
        <f>(BA54+AX54+AS54+AQ54+AH54+Z54)/7</f>
        <v>1.1428571428571428</v>
      </c>
      <c r="BC54" s="2" t="s">
        <v>107</v>
      </c>
      <c r="BD54" s="8" t="s">
        <v>120</v>
      </c>
      <c r="BE54" s="2"/>
      <c r="BF54" s="2"/>
      <c r="BG54" s="2"/>
      <c r="BH54" s="2"/>
      <c r="BI54" s="2">
        <v>1135</v>
      </c>
      <c r="BJ54" s="2">
        <v>53638</v>
      </c>
      <c r="BK54" s="2">
        <v>0</v>
      </c>
    </row>
    <row r="55" spans="1:63" ht="64" hidden="1" x14ac:dyDescent="0.2">
      <c r="A55" s="2">
        <v>20037179</v>
      </c>
      <c r="B55" s="2">
        <v>1057201703</v>
      </c>
      <c r="C55" s="2">
        <v>60000</v>
      </c>
      <c r="D55" s="2" t="s">
        <v>134</v>
      </c>
      <c r="E55" s="2" t="s">
        <v>266</v>
      </c>
      <c r="F55" s="2" t="s">
        <v>271</v>
      </c>
      <c r="G55" s="2" t="s">
        <v>125</v>
      </c>
      <c r="H55" s="2" t="s">
        <v>148</v>
      </c>
      <c r="I55" s="2" t="s">
        <v>81</v>
      </c>
      <c r="J55" s="2" t="s">
        <v>82</v>
      </c>
      <c r="K55" s="2" t="s">
        <v>48</v>
      </c>
      <c r="L55" s="2">
        <v>110</v>
      </c>
      <c r="M55" s="2" t="s">
        <v>137</v>
      </c>
      <c r="N55" s="2" t="s">
        <v>61</v>
      </c>
      <c r="O55" s="2" t="s">
        <v>226</v>
      </c>
      <c r="P55" s="2">
        <v>14.1</v>
      </c>
      <c r="Q55" s="2">
        <v>3.3</v>
      </c>
      <c r="R55" s="2">
        <v>0.4</v>
      </c>
      <c r="S55" s="2">
        <v>0.3</v>
      </c>
      <c r="T55" s="2">
        <v>385</v>
      </c>
      <c r="U55" s="2">
        <v>884</v>
      </c>
      <c r="V55" s="2">
        <v>0</v>
      </c>
      <c r="W55" s="2">
        <f t="shared" si="12"/>
        <v>1287.0999999999999</v>
      </c>
      <c r="X55" s="2" t="str">
        <f t="shared" si="2"/>
        <v>1</v>
      </c>
      <c r="Y55" s="2" t="str">
        <f t="shared" si="13"/>
        <v>1</v>
      </c>
      <c r="Z55" s="3">
        <f t="shared" si="3"/>
        <v>1</v>
      </c>
      <c r="AA55" s="2">
        <v>52</v>
      </c>
      <c r="AB55" s="2">
        <v>6</v>
      </c>
      <c r="AC55" s="2">
        <v>0.02</v>
      </c>
      <c r="AD55" s="2">
        <v>45</v>
      </c>
      <c r="AE55" s="2">
        <f t="shared" si="4"/>
        <v>2250</v>
      </c>
      <c r="AF55" s="2" t="str">
        <f t="shared" si="5"/>
        <v>1</v>
      </c>
      <c r="AG55" s="2" t="str">
        <f t="shared" si="6"/>
        <v>1</v>
      </c>
      <c r="AH55" s="3">
        <f t="shared" si="7"/>
        <v>1</v>
      </c>
      <c r="AI55" s="2">
        <v>1</v>
      </c>
      <c r="AJ55" s="2">
        <v>314.89999999999998</v>
      </c>
      <c r="AK55" s="2">
        <f>AJ55*0.46</f>
        <v>144.85399999999998</v>
      </c>
      <c r="AL55" s="2">
        <v>1004.1</v>
      </c>
      <c r="AM55" s="2">
        <f>AL55*0.46</f>
        <v>461.88600000000002</v>
      </c>
      <c r="AN55" s="2" t="s">
        <v>61</v>
      </c>
      <c r="AO55" s="2" t="s">
        <v>61</v>
      </c>
      <c r="AP55" s="2">
        <v>46</v>
      </c>
      <c r="AQ55" s="19" t="str">
        <f t="shared" si="8"/>
        <v>1</v>
      </c>
      <c r="AR55" s="2">
        <v>1</v>
      </c>
      <c r="AS55" s="2">
        <v>1</v>
      </c>
      <c r="AT55" s="2">
        <v>1</v>
      </c>
      <c r="AU55" s="2">
        <v>1</v>
      </c>
      <c r="AV55" s="2">
        <v>1</v>
      </c>
      <c r="AW55" s="2">
        <v>1</v>
      </c>
      <c r="AX55" s="2">
        <v>1</v>
      </c>
      <c r="AY55" s="2">
        <v>2021</v>
      </c>
      <c r="AZ55" s="2">
        <f t="shared" si="9"/>
        <v>3</v>
      </c>
      <c r="BA55" s="2" t="str">
        <f t="shared" si="10"/>
        <v>1</v>
      </c>
      <c r="BB55" s="3">
        <f>(BA55+AX55+AS55+AQ55+AH55+Z55)/7</f>
        <v>0.8571428571428571</v>
      </c>
      <c r="BC55" s="2" t="s">
        <v>107</v>
      </c>
      <c r="BD55" s="8" t="s">
        <v>120</v>
      </c>
      <c r="BE55" s="2"/>
      <c r="BF55" s="2"/>
      <c r="BG55" s="2"/>
      <c r="BH55" s="2"/>
      <c r="BI55" s="2">
        <v>20703</v>
      </c>
      <c r="BJ55" s="2">
        <v>88456</v>
      </c>
      <c r="BK55" s="2">
        <v>0.8</v>
      </c>
    </row>
    <row r="56" spans="1:63" ht="96" hidden="1" x14ac:dyDescent="0.2">
      <c r="A56" s="2">
        <v>20700443</v>
      </c>
      <c r="B56" s="2">
        <v>839</v>
      </c>
      <c r="C56" s="2">
        <v>225</v>
      </c>
      <c r="D56" s="2" t="s">
        <v>73</v>
      </c>
      <c r="E56" s="2" t="s">
        <v>272</v>
      </c>
      <c r="F56" s="2" t="s">
        <v>273</v>
      </c>
      <c r="G56" s="2" t="s">
        <v>125</v>
      </c>
      <c r="H56" s="2" t="s">
        <v>148</v>
      </c>
      <c r="I56" s="2" t="s">
        <v>65</v>
      </c>
      <c r="J56" s="2" t="s">
        <v>61</v>
      </c>
      <c r="K56" s="2" t="s">
        <v>66</v>
      </c>
      <c r="L56" s="2" t="s">
        <v>76</v>
      </c>
      <c r="M56" s="2" t="s">
        <v>60</v>
      </c>
      <c r="N56" s="2" t="s">
        <v>61</v>
      </c>
      <c r="O56" s="2" t="s">
        <v>77</v>
      </c>
      <c r="P56" s="2">
        <v>1.5</v>
      </c>
      <c r="Q56" s="2">
        <v>2.5</v>
      </c>
      <c r="R56" s="2">
        <v>8</v>
      </c>
      <c r="S56" s="2">
        <v>0.8</v>
      </c>
      <c r="T56" s="2">
        <v>152</v>
      </c>
      <c r="U56" s="2">
        <v>2872</v>
      </c>
      <c r="V56" s="2">
        <v>0.1</v>
      </c>
      <c r="W56" s="2">
        <f t="shared" si="12"/>
        <v>3036.8</v>
      </c>
      <c r="X56" s="2" t="str">
        <f t="shared" si="2"/>
        <v>1</v>
      </c>
      <c r="Y56" s="2" t="str">
        <f t="shared" si="13"/>
        <v>1</v>
      </c>
      <c r="Z56" s="3">
        <f t="shared" si="3"/>
        <v>1</v>
      </c>
      <c r="AA56" s="2">
        <v>27</v>
      </c>
      <c r="AB56" s="2">
        <v>20</v>
      </c>
      <c r="AC56" s="2">
        <v>0.02</v>
      </c>
      <c r="AD56" s="2">
        <v>33.200000000000003</v>
      </c>
      <c r="AE56" s="2">
        <f t="shared" si="4"/>
        <v>1660</v>
      </c>
      <c r="AF56" s="2" t="str">
        <f t="shared" si="5"/>
        <v>3</v>
      </c>
      <c r="AG56" s="2" t="str">
        <f t="shared" si="6"/>
        <v>1</v>
      </c>
      <c r="AH56" s="3">
        <f t="shared" si="7"/>
        <v>2</v>
      </c>
      <c r="AI56" s="2">
        <v>3</v>
      </c>
      <c r="AJ56" s="2">
        <v>3.76</v>
      </c>
      <c r="AK56" s="2">
        <f>AJ56*0.4</f>
        <v>1.504</v>
      </c>
      <c r="AL56" s="2">
        <v>9.41</v>
      </c>
      <c r="AM56" s="2">
        <f>AL56*0.4</f>
        <v>3.7640000000000002</v>
      </c>
      <c r="AN56" s="2" t="s">
        <v>61</v>
      </c>
      <c r="AO56" s="2" t="s">
        <v>61</v>
      </c>
      <c r="AP56" s="2">
        <v>40</v>
      </c>
      <c r="AQ56" s="19" t="str">
        <f t="shared" si="8"/>
        <v>1</v>
      </c>
      <c r="AR56" s="2">
        <v>1</v>
      </c>
      <c r="AS56" s="2">
        <v>1</v>
      </c>
      <c r="AT56" s="2">
        <v>1</v>
      </c>
      <c r="AU56" s="2">
        <v>1</v>
      </c>
      <c r="AV56" s="2">
        <v>1</v>
      </c>
      <c r="AW56" s="2" t="s">
        <v>61</v>
      </c>
      <c r="AX56" s="2">
        <v>1</v>
      </c>
      <c r="AY56" s="2">
        <v>1988</v>
      </c>
      <c r="AZ56" s="2">
        <f t="shared" si="9"/>
        <v>36</v>
      </c>
      <c r="BA56" s="2" t="str">
        <f t="shared" si="10"/>
        <v>5</v>
      </c>
      <c r="BB56" s="3">
        <f>(BA56+AX56+AS56+AQ56+AH56+Z56)/7</f>
        <v>1.5714285714285714</v>
      </c>
      <c r="BC56" s="2" t="s">
        <v>105</v>
      </c>
      <c r="BD56" s="8" t="s">
        <v>127</v>
      </c>
      <c r="BE56" s="2" t="s">
        <v>203</v>
      </c>
      <c r="BF56" s="2"/>
      <c r="BG56" s="2"/>
      <c r="BH56" s="2"/>
      <c r="BI56" s="2">
        <v>27431</v>
      </c>
      <c r="BJ56" s="2">
        <v>59985</v>
      </c>
      <c r="BK56" s="2">
        <v>4</v>
      </c>
    </row>
    <row r="57" spans="1:63" hidden="1" x14ac:dyDescent="0.2">
      <c r="A57" s="2">
        <v>20026778</v>
      </c>
      <c r="B57" s="2">
        <v>19750108</v>
      </c>
      <c r="C57" s="2">
        <v>4000</v>
      </c>
      <c r="D57" s="2" t="s">
        <v>73</v>
      </c>
      <c r="E57" s="2" t="s">
        <v>274</v>
      </c>
      <c r="F57" s="2" t="s">
        <v>275</v>
      </c>
      <c r="G57" s="2" t="s">
        <v>58</v>
      </c>
      <c r="H57" s="2" t="s">
        <v>59</v>
      </c>
      <c r="I57" s="2" t="s">
        <v>65</v>
      </c>
      <c r="J57" s="2" t="s">
        <v>82</v>
      </c>
      <c r="K57" s="2" t="s">
        <v>66</v>
      </c>
      <c r="L57" s="2" t="s">
        <v>76</v>
      </c>
      <c r="M57" s="2" t="s">
        <v>60</v>
      </c>
      <c r="N57" s="2" t="s">
        <v>61</v>
      </c>
      <c r="O57" s="2" t="s">
        <v>130</v>
      </c>
      <c r="P57" s="2">
        <v>2.2999999999999998</v>
      </c>
      <c r="Q57" s="2">
        <v>1.5</v>
      </c>
      <c r="R57" s="2">
        <v>1.4</v>
      </c>
      <c r="S57" s="2">
        <v>0.4</v>
      </c>
      <c r="T57" s="2">
        <v>34</v>
      </c>
      <c r="U57" s="2">
        <v>95</v>
      </c>
      <c r="V57" s="2">
        <v>0</v>
      </c>
      <c r="W57" s="2">
        <f t="shared" si="12"/>
        <v>134.6</v>
      </c>
      <c r="X57" s="2" t="str">
        <f t="shared" si="2"/>
        <v>1</v>
      </c>
      <c r="Y57" s="2" t="str">
        <f t="shared" si="13"/>
        <v>1</v>
      </c>
      <c r="Z57" s="3">
        <f t="shared" si="3"/>
        <v>1</v>
      </c>
      <c r="AA57" s="2">
        <v>63</v>
      </c>
      <c r="AB57" s="2">
        <v>9</v>
      </c>
      <c r="AC57" s="2">
        <v>0.02</v>
      </c>
      <c r="AD57" s="2">
        <v>40.4</v>
      </c>
      <c r="AE57" s="2">
        <f t="shared" si="4"/>
        <v>2020</v>
      </c>
      <c r="AF57" s="2" t="str">
        <f t="shared" si="5"/>
        <v>1</v>
      </c>
      <c r="AG57" s="2" t="str">
        <f t="shared" si="6"/>
        <v>1</v>
      </c>
      <c r="AH57" s="3">
        <f t="shared" si="7"/>
        <v>1</v>
      </c>
      <c r="AI57" s="2">
        <v>1</v>
      </c>
      <c r="AJ57" s="2">
        <v>66.900000000000006</v>
      </c>
      <c r="AK57" s="2">
        <f>AJ57*0.42</f>
        <v>28.098000000000003</v>
      </c>
      <c r="AL57" s="2">
        <v>167.3</v>
      </c>
      <c r="AM57" s="2">
        <f>AL57*0.42</f>
        <v>70.266000000000005</v>
      </c>
      <c r="AN57" s="2" t="s">
        <v>61</v>
      </c>
      <c r="AO57" s="2" t="s">
        <v>61</v>
      </c>
      <c r="AP57" s="2">
        <v>42</v>
      </c>
      <c r="AQ57" s="19" t="str">
        <f t="shared" si="8"/>
        <v>1</v>
      </c>
      <c r="AR57" s="2">
        <v>1</v>
      </c>
      <c r="AS57" s="2">
        <v>1</v>
      </c>
      <c r="AT57" s="2">
        <v>1</v>
      </c>
      <c r="AU57" s="2">
        <v>1</v>
      </c>
      <c r="AV57" s="2">
        <v>1</v>
      </c>
      <c r="AW57" s="2" t="s">
        <v>61</v>
      </c>
      <c r="AX57" s="2">
        <v>1</v>
      </c>
      <c r="AY57" s="2">
        <v>2009</v>
      </c>
      <c r="AZ57" s="2">
        <f t="shared" si="9"/>
        <v>15</v>
      </c>
      <c r="BA57" s="2" t="str">
        <f t="shared" si="10"/>
        <v>2</v>
      </c>
      <c r="BB57" s="3">
        <f>(BA57+AX57+AS57+AQ57+AH57+Z57)/7</f>
        <v>1</v>
      </c>
      <c r="BC57" s="2" t="s">
        <v>107</v>
      </c>
      <c r="BD57" s="28" t="s">
        <v>244</v>
      </c>
      <c r="BE57" s="2"/>
      <c r="BF57" s="2"/>
      <c r="BG57" s="2"/>
      <c r="BH57" s="2"/>
      <c r="BI57" s="2">
        <v>1108</v>
      </c>
      <c r="BJ57" s="2">
        <v>8247</v>
      </c>
      <c r="BK57" s="2">
        <v>0</v>
      </c>
    </row>
    <row r="58" spans="1:63" hidden="1" x14ac:dyDescent="0.2">
      <c r="A58" s="2">
        <v>20026778</v>
      </c>
      <c r="B58" s="2">
        <v>200113</v>
      </c>
      <c r="C58" s="2">
        <v>6500</v>
      </c>
      <c r="D58" s="2" t="s">
        <v>73</v>
      </c>
      <c r="E58" s="2" t="s">
        <v>274</v>
      </c>
      <c r="F58" s="2" t="s">
        <v>276</v>
      </c>
      <c r="G58" s="2" t="s">
        <v>58</v>
      </c>
      <c r="H58" s="2" t="s">
        <v>59</v>
      </c>
      <c r="I58" s="2" t="s">
        <v>81</v>
      </c>
      <c r="J58" s="2" t="s">
        <v>143</v>
      </c>
      <c r="K58" s="2" t="s">
        <v>66</v>
      </c>
      <c r="L58" s="2" t="s">
        <v>76</v>
      </c>
      <c r="M58" s="2" t="s">
        <v>60</v>
      </c>
      <c r="N58" s="2" t="s">
        <v>61</v>
      </c>
      <c r="O58" s="2" t="s">
        <v>83</v>
      </c>
      <c r="P58" s="21"/>
      <c r="Q58" s="21"/>
      <c r="R58" s="21"/>
      <c r="S58" s="21"/>
      <c r="T58" s="21"/>
      <c r="U58" s="21"/>
      <c r="V58" s="21"/>
      <c r="W58" s="2">
        <f t="shared" si="12"/>
        <v>0</v>
      </c>
      <c r="X58" s="2" t="str">
        <f t="shared" si="2"/>
        <v>1</v>
      </c>
      <c r="Y58" s="2" t="str">
        <f t="shared" si="13"/>
        <v>1</v>
      </c>
      <c r="Z58" s="3">
        <f t="shared" si="3"/>
        <v>1</v>
      </c>
      <c r="AA58" s="21"/>
      <c r="AB58" s="21"/>
      <c r="AC58" s="21"/>
      <c r="AD58" s="21"/>
      <c r="AE58" s="2" t="e">
        <f t="shared" si="4"/>
        <v>#DIV/0!</v>
      </c>
      <c r="AF58" s="2" t="str">
        <f t="shared" si="5"/>
        <v>5</v>
      </c>
      <c r="AG58" s="2" t="e">
        <f t="shared" si="6"/>
        <v>#DIV/0!</v>
      </c>
      <c r="AH58" s="3" t="e">
        <f t="shared" si="7"/>
        <v>#DIV/0!</v>
      </c>
      <c r="AI58" s="2">
        <v>1</v>
      </c>
      <c r="AJ58" s="2">
        <v>108.7</v>
      </c>
      <c r="AK58" s="2">
        <f>AJ58*0.78</f>
        <v>84.786000000000001</v>
      </c>
      <c r="AL58" s="2">
        <v>271.89999999999998</v>
      </c>
      <c r="AM58" s="2">
        <f>AL58*0.78</f>
        <v>212.08199999999999</v>
      </c>
      <c r="AN58" s="2" t="s">
        <v>61</v>
      </c>
      <c r="AO58" s="2" t="s">
        <v>61</v>
      </c>
      <c r="AP58" s="2">
        <v>78</v>
      </c>
      <c r="AQ58" s="19" t="str">
        <f t="shared" si="8"/>
        <v>2</v>
      </c>
      <c r="AR58" s="2">
        <v>1</v>
      </c>
      <c r="AS58" s="2">
        <v>1</v>
      </c>
      <c r="AT58" s="2">
        <v>1</v>
      </c>
      <c r="AU58" s="2">
        <v>1</v>
      </c>
      <c r="AV58" s="2">
        <v>1</v>
      </c>
      <c r="AW58" s="2" t="s">
        <v>61</v>
      </c>
      <c r="AX58" s="2">
        <v>1</v>
      </c>
      <c r="AY58" s="2">
        <v>1999</v>
      </c>
      <c r="AZ58" s="2">
        <f t="shared" si="9"/>
        <v>25</v>
      </c>
      <c r="BA58" s="2" t="str">
        <f t="shared" si="10"/>
        <v>3</v>
      </c>
      <c r="BB58" s="3">
        <v>1</v>
      </c>
      <c r="BC58" s="2" t="s">
        <v>107</v>
      </c>
      <c r="BD58" s="28" t="s">
        <v>246</v>
      </c>
      <c r="BE58" s="2" t="s">
        <v>277</v>
      </c>
      <c r="BF58" s="2"/>
      <c r="BG58" s="2"/>
      <c r="BH58" s="2"/>
      <c r="BI58" s="21"/>
      <c r="BJ58" s="21"/>
      <c r="BK58" s="21"/>
    </row>
    <row r="59" spans="1:63" hidden="1" x14ac:dyDescent="0.2">
      <c r="A59" s="2">
        <v>20026966</v>
      </c>
      <c r="B59" s="2">
        <v>1080670133</v>
      </c>
      <c r="C59" s="2">
        <v>60000</v>
      </c>
      <c r="D59" s="2" t="s">
        <v>134</v>
      </c>
      <c r="E59" s="2" t="s">
        <v>278</v>
      </c>
      <c r="F59" s="2" t="s">
        <v>279</v>
      </c>
      <c r="G59" s="2" t="s">
        <v>58</v>
      </c>
      <c r="H59" s="2" t="s">
        <v>64</v>
      </c>
      <c r="I59" s="2" t="s">
        <v>81</v>
      </c>
      <c r="J59" s="2" t="s">
        <v>82</v>
      </c>
      <c r="K59" s="2" t="s">
        <v>48</v>
      </c>
      <c r="L59" s="2">
        <v>110</v>
      </c>
      <c r="M59" s="2" t="s">
        <v>137</v>
      </c>
      <c r="N59" s="2" t="s">
        <v>60</v>
      </c>
      <c r="O59" s="2" t="s">
        <v>138</v>
      </c>
      <c r="P59" s="2">
        <v>0.6</v>
      </c>
      <c r="Q59" s="2">
        <v>2.5</v>
      </c>
      <c r="R59" s="2">
        <v>0.4</v>
      </c>
      <c r="S59" s="2">
        <v>1</v>
      </c>
      <c r="T59" s="2">
        <v>6.4</v>
      </c>
      <c r="U59" s="2">
        <v>36.700000000000003</v>
      </c>
      <c r="V59" s="2">
        <v>0.3</v>
      </c>
      <c r="W59" s="2">
        <f t="shared" si="12"/>
        <v>47.6</v>
      </c>
      <c r="X59" s="2" t="str">
        <f t="shared" si="2"/>
        <v>1</v>
      </c>
      <c r="Y59" s="2" t="str">
        <f t="shared" si="13"/>
        <v>1</v>
      </c>
      <c r="Z59" s="3">
        <f t="shared" si="3"/>
        <v>1</v>
      </c>
      <c r="AA59" s="2">
        <v>52</v>
      </c>
      <c r="AB59" s="2">
        <v>6</v>
      </c>
      <c r="AC59" s="2">
        <v>0.02</v>
      </c>
      <c r="AD59" s="2">
        <v>46.4</v>
      </c>
      <c r="AE59" s="2">
        <f t="shared" si="4"/>
        <v>2320</v>
      </c>
      <c r="AF59" s="2" t="str">
        <f t="shared" si="5"/>
        <v>1</v>
      </c>
      <c r="AG59" s="2" t="str">
        <f t="shared" si="6"/>
        <v>1</v>
      </c>
      <c r="AH59" s="3">
        <f t="shared" si="7"/>
        <v>1</v>
      </c>
      <c r="AI59" s="2">
        <v>1</v>
      </c>
      <c r="AJ59" s="2">
        <v>314.92</v>
      </c>
      <c r="AK59" s="2">
        <f>AJ59*0.94</f>
        <v>296.02479999999997</v>
      </c>
      <c r="AL59" s="2">
        <v>836.74</v>
      </c>
      <c r="AM59" s="2">
        <f>AL59*0.94</f>
        <v>786.53559999999993</v>
      </c>
      <c r="AN59" s="2">
        <v>418.37</v>
      </c>
      <c r="AO59" s="2">
        <f>AN59*0.94</f>
        <v>393.26779999999997</v>
      </c>
      <c r="AP59" s="2">
        <v>94</v>
      </c>
      <c r="AQ59" s="19" t="str">
        <f t="shared" si="8"/>
        <v>4</v>
      </c>
      <c r="AR59" s="2">
        <v>1</v>
      </c>
      <c r="AS59" s="2">
        <v>1</v>
      </c>
      <c r="AT59" s="2">
        <v>1</v>
      </c>
      <c r="AU59" s="2">
        <v>1</v>
      </c>
      <c r="AV59" s="2">
        <v>1</v>
      </c>
      <c r="AW59" s="2">
        <v>1</v>
      </c>
      <c r="AX59" s="2">
        <v>1</v>
      </c>
      <c r="AY59" s="2">
        <v>2021</v>
      </c>
      <c r="AZ59" s="2">
        <f t="shared" si="9"/>
        <v>3</v>
      </c>
      <c r="BA59" s="2" t="str">
        <f t="shared" si="10"/>
        <v>1</v>
      </c>
      <c r="BB59" s="3">
        <f>(BA59+AX59+AS59+AQ59+AH59+Z59)/7</f>
        <v>1.2857142857142858</v>
      </c>
      <c r="BC59" s="2" t="s">
        <v>107</v>
      </c>
      <c r="BD59" s="28" t="s">
        <v>250</v>
      </c>
      <c r="BE59" s="2"/>
      <c r="BF59" s="2"/>
      <c r="BG59" s="2"/>
      <c r="BH59" s="2"/>
      <c r="BI59" s="2">
        <v>7684.1</v>
      </c>
      <c r="BJ59" s="2">
        <v>24802.3</v>
      </c>
      <c r="BK59" s="2">
        <v>0</v>
      </c>
    </row>
    <row r="60" spans="1:63" ht="48" hidden="1" x14ac:dyDescent="0.2">
      <c r="A60" s="2">
        <v>20026966</v>
      </c>
      <c r="B60" s="2" t="s">
        <v>280</v>
      </c>
      <c r="C60" s="2">
        <v>14000</v>
      </c>
      <c r="D60" s="2" t="s">
        <v>73</v>
      </c>
      <c r="E60" s="2" t="s">
        <v>278</v>
      </c>
      <c r="F60" s="2" t="s">
        <v>281</v>
      </c>
      <c r="G60" s="2" t="s">
        <v>58</v>
      </c>
      <c r="H60" s="2" t="s">
        <v>64</v>
      </c>
      <c r="I60" s="2" t="s">
        <v>81</v>
      </c>
      <c r="J60" s="2" t="s">
        <v>143</v>
      </c>
      <c r="K60" s="2" t="s">
        <v>48</v>
      </c>
      <c r="L60" s="2" t="s">
        <v>137</v>
      </c>
      <c r="M60" s="2" t="s">
        <v>60</v>
      </c>
      <c r="N60" s="2" t="s">
        <v>61</v>
      </c>
      <c r="O60" s="2" t="s">
        <v>164</v>
      </c>
      <c r="P60" s="2">
        <v>14.3</v>
      </c>
      <c r="Q60" s="2">
        <v>6.1</v>
      </c>
      <c r="R60" s="2">
        <v>30</v>
      </c>
      <c r="S60" s="2">
        <v>1.2</v>
      </c>
      <c r="T60" s="2">
        <v>566</v>
      </c>
      <c r="U60" s="2">
        <v>4430</v>
      </c>
      <c r="V60" s="2">
        <v>42</v>
      </c>
      <c r="W60" s="2">
        <f t="shared" si="12"/>
        <v>5047.6000000000004</v>
      </c>
      <c r="X60" s="2" t="str">
        <f t="shared" si="2"/>
        <v>2</v>
      </c>
      <c r="Y60" s="2" t="str">
        <f t="shared" si="13"/>
        <v>5</v>
      </c>
      <c r="Z60" s="3">
        <f t="shared" si="3"/>
        <v>3.5</v>
      </c>
      <c r="AA60" s="2">
        <v>16</v>
      </c>
      <c r="AB60" s="2">
        <v>32</v>
      </c>
      <c r="AC60" s="2">
        <v>0.02</v>
      </c>
      <c r="AD60" s="2">
        <v>40.5</v>
      </c>
      <c r="AE60" s="2">
        <f t="shared" si="4"/>
        <v>2025</v>
      </c>
      <c r="AF60" s="2" t="str">
        <f t="shared" si="5"/>
        <v>5</v>
      </c>
      <c r="AG60" s="2" t="str">
        <f t="shared" si="6"/>
        <v>1</v>
      </c>
      <c r="AH60" s="3">
        <f t="shared" si="7"/>
        <v>3</v>
      </c>
      <c r="AI60" s="2">
        <v>1</v>
      </c>
      <c r="AJ60" s="2">
        <v>234.3</v>
      </c>
      <c r="AK60" s="2">
        <f>AJ60*0.89</f>
        <v>208.52700000000002</v>
      </c>
      <c r="AL60" s="2">
        <v>585.70000000000005</v>
      </c>
      <c r="AM60" s="2">
        <f>AL60*0.89</f>
        <v>521.27300000000002</v>
      </c>
      <c r="AN60" s="2" t="s">
        <v>61</v>
      </c>
      <c r="AO60" s="2" t="s">
        <v>61</v>
      </c>
      <c r="AP60" s="2">
        <v>89</v>
      </c>
      <c r="AQ60" s="19" t="str">
        <f t="shared" si="8"/>
        <v>3</v>
      </c>
      <c r="AR60" s="2">
        <v>1</v>
      </c>
      <c r="AS60" s="2">
        <v>1</v>
      </c>
      <c r="AT60" s="2">
        <v>1</v>
      </c>
      <c r="AU60" s="2">
        <v>1</v>
      </c>
      <c r="AV60" s="2">
        <v>1</v>
      </c>
      <c r="AW60" s="2">
        <v>1</v>
      </c>
      <c r="AX60" s="2">
        <v>1</v>
      </c>
      <c r="AY60" s="2">
        <v>1997</v>
      </c>
      <c r="AZ60" s="2">
        <f t="shared" si="9"/>
        <v>27</v>
      </c>
      <c r="BA60" s="2" t="str">
        <f t="shared" si="10"/>
        <v>3</v>
      </c>
      <c r="BB60" s="3">
        <f>(BA60+AX60+AS60+AQ60+AH60+Z60)/5</f>
        <v>2.9</v>
      </c>
      <c r="BC60" s="2" t="s">
        <v>111</v>
      </c>
      <c r="BD60" s="8" t="s">
        <v>235</v>
      </c>
      <c r="BE60" s="2" t="s">
        <v>282</v>
      </c>
      <c r="BF60" s="2"/>
      <c r="BG60" s="2"/>
      <c r="BH60" s="2">
        <v>12000000</v>
      </c>
      <c r="BI60" s="2">
        <v>25579</v>
      </c>
      <c r="BJ60" s="2">
        <v>99305</v>
      </c>
      <c r="BK60" s="2">
        <v>7</v>
      </c>
    </row>
    <row r="61" spans="1:63" hidden="1" x14ac:dyDescent="0.2">
      <c r="A61" s="2">
        <v>20700453</v>
      </c>
      <c r="B61" s="2">
        <v>78740113</v>
      </c>
      <c r="C61" s="2">
        <v>4000</v>
      </c>
      <c r="D61" s="2" t="s">
        <v>73</v>
      </c>
      <c r="E61" s="2" t="s">
        <v>283</v>
      </c>
      <c r="F61" s="2" t="s">
        <v>284</v>
      </c>
      <c r="G61" s="2" t="s">
        <v>125</v>
      </c>
      <c r="H61" s="2" t="s">
        <v>126</v>
      </c>
      <c r="I61" s="2" t="s">
        <v>65</v>
      </c>
      <c r="J61" s="2" t="s">
        <v>61</v>
      </c>
      <c r="K61" s="2" t="s">
        <v>66</v>
      </c>
      <c r="L61" s="2" t="s">
        <v>76</v>
      </c>
      <c r="M61" s="2" t="s">
        <v>60</v>
      </c>
      <c r="N61" s="2" t="s">
        <v>61</v>
      </c>
      <c r="O61" s="2" t="s">
        <v>130</v>
      </c>
      <c r="P61" s="13">
        <v>6</v>
      </c>
      <c r="Q61" s="13">
        <v>7.1</v>
      </c>
      <c r="R61" s="13">
        <v>4.4000000000000004</v>
      </c>
      <c r="S61" s="13">
        <v>1.8</v>
      </c>
      <c r="T61" s="13">
        <v>511</v>
      </c>
      <c r="U61" s="13">
        <v>3678</v>
      </c>
      <c r="V61" s="13">
        <v>0</v>
      </c>
      <c r="W61" s="2">
        <f t="shared" si="12"/>
        <v>4208.3</v>
      </c>
      <c r="X61" s="2" t="str">
        <f t="shared" si="2"/>
        <v>2</v>
      </c>
      <c r="Y61" s="2" t="str">
        <f t="shared" si="13"/>
        <v>1</v>
      </c>
      <c r="Z61" s="3">
        <f t="shared" si="3"/>
        <v>1.5</v>
      </c>
      <c r="AA61" s="2">
        <v>50</v>
      </c>
      <c r="AB61" s="2">
        <v>10</v>
      </c>
      <c r="AC61" s="2">
        <v>0.02</v>
      </c>
      <c r="AD61" s="2">
        <v>45.2</v>
      </c>
      <c r="AE61" s="2">
        <f t="shared" si="4"/>
        <v>2260</v>
      </c>
      <c r="AF61" s="2" t="str">
        <f t="shared" si="5"/>
        <v>1</v>
      </c>
      <c r="AG61" s="2" t="str">
        <f t="shared" si="6"/>
        <v>1</v>
      </c>
      <c r="AH61" s="3">
        <f t="shared" si="7"/>
        <v>1</v>
      </c>
      <c r="AI61" s="2">
        <v>3</v>
      </c>
      <c r="AJ61" s="2">
        <v>66.94</v>
      </c>
      <c r="AK61" s="2">
        <f>AJ61*0.62</f>
        <v>41.502800000000001</v>
      </c>
      <c r="AL61" s="2">
        <v>167.35</v>
      </c>
      <c r="AM61" s="2">
        <f>AL61*0.62</f>
        <v>103.75699999999999</v>
      </c>
      <c r="AN61" s="2" t="s">
        <v>61</v>
      </c>
      <c r="AO61" s="2" t="s">
        <v>61</v>
      </c>
      <c r="AP61" s="2">
        <v>62</v>
      </c>
      <c r="AQ61" s="19" t="str">
        <f t="shared" si="8"/>
        <v>1</v>
      </c>
      <c r="AR61" s="2">
        <v>1</v>
      </c>
      <c r="AS61" s="2">
        <v>1</v>
      </c>
      <c r="AT61" s="2">
        <v>1</v>
      </c>
      <c r="AU61" s="2">
        <v>1</v>
      </c>
      <c r="AV61" s="2">
        <v>1</v>
      </c>
      <c r="AW61" s="2" t="s">
        <v>61</v>
      </c>
      <c r="AX61" s="2">
        <v>1</v>
      </c>
      <c r="AY61" s="2">
        <v>2013</v>
      </c>
      <c r="AZ61" s="2">
        <f t="shared" si="9"/>
        <v>11</v>
      </c>
      <c r="BA61" s="2" t="str">
        <f t="shared" si="10"/>
        <v>2</v>
      </c>
      <c r="BB61" s="3">
        <f>(BA61+AX61+AS61+AQ61+AH61+Z61)/7</f>
        <v>1.0714285714285714</v>
      </c>
      <c r="BC61" s="2" t="s">
        <v>107</v>
      </c>
      <c r="BD61" s="28" t="s">
        <v>285</v>
      </c>
      <c r="BE61" s="2" t="s">
        <v>203</v>
      </c>
      <c r="BF61" s="2"/>
      <c r="BG61" s="2"/>
      <c r="BH61" s="2"/>
      <c r="BI61" s="13">
        <v>26287</v>
      </c>
      <c r="BJ61" s="13">
        <v>72076</v>
      </c>
      <c r="BK61" s="13">
        <v>4.3</v>
      </c>
    </row>
    <row r="62" spans="1:63" ht="32" hidden="1" x14ac:dyDescent="0.2">
      <c r="A62" s="2">
        <v>20026985</v>
      </c>
      <c r="B62" s="2">
        <v>56190119</v>
      </c>
      <c r="C62" s="2">
        <v>3000</v>
      </c>
      <c r="D62" s="2" t="s">
        <v>73</v>
      </c>
      <c r="E62" s="2" t="s">
        <v>286</v>
      </c>
      <c r="F62" s="2" t="s">
        <v>287</v>
      </c>
      <c r="G62" s="2" t="s">
        <v>58</v>
      </c>
      <c r="H62" s="2" t="s">
        <v>59</v>
      </c>
      <c r="I62" s="2" t="s">
        <v>65</v>
      </c>
      <c r="J62" s="2" t="s">
        <v>61</v>
      </c>
      <c r="K62" s="2" t="s">
        <v>66</v>
      </c>
      <c r="L62" s="2" t="s">
        <v>76</v>
      </c>
      <c r="M62" s="2" t="s">
        <v>60</v>
      </c>
      <c r="N62" s="2" t="s">
        <v>61</v>
      </c>
      <c r="O62" s="2" t="s">
        <v>130</v>
      </c>
      <c r="P62" s="2">
        <v>30</v>
      </c>
      <c r="Q62" s="2">
        <v>6.2</v>
      </c>
      <c r="R62" s="2">
        <v>2.6</v>
      </c>
      <c r="S62" s="2">
        <v>1.2</v>
      </c>
      <c r="T62" s="2">
        <v>687</v>
      </c>
      <c r="U62" s="2">
        <v>1623</v>
      </c>
      <c r="V62" s="2">
        <v>0</v>
      </c>
      <c r="W62" s="2">
        <f t="shared" si="12"/>
        <v>2350</v>
      </c>
      <c r="X62" s="2" t="str">
        <f t="shared" si="2"/>
        <v>1</v>
      </c>
      <c r="Y62" s="2" t="str">
        <f t="shared" si="13"/>
        <v>1</v>
      </c>
      <c r="Z62" s="3">
        <f t="shared" si="3"/>
        <v>1</v>
      </c>
      <c r="AA62" s="2">
        <v>60</v>
      </c>
      <c r="AB62" s="2">
        <v>11</v>
      </c>
      <c r="AC62" s="2">
        <v>0.02</v>
      </c>
      <c r="AD62" s="2">
        <v>41.2</v>
      </c>
      <c r="AE62" s="2">
        <f t="shared" si="4"/>
        <v>2060</v>
      </c>
      <c r="AF62" s="2" t="str">
        <f t="shared" si="5"/>
        <v>1</v>
      </c>
      <c r="AG62" s="2" t="str">
        <f t="shared" si="6"/>
        <v>1</v>
      </c>
      <c r="AH62" s="3">
        <f t="shared" si="7"/>
        <v>1</v>
      </c>
      <c r="AI62" s="2">
        <v>3</v>
      </c>
      <c r="AJ62" s="2">
        <v>50.2</v>
      </c>
      <c r="AK62" s="2">
        <f>AJ62*0.47</f>
        <v>23.594000000000001</v>
      </c>
      <c r="AL62" s="2">
        <v>125.51</v>
      </c>
      <c r="AM62" s="2">
        <f>AL62*0.47</f>
        <v>58.989699999999999</v>
      </c>
      <c r="AN62" s="2" t="s">
        <v>61</v>
      </c>
      <c r="AO62" s="2" t="s">
        <v>61</v>
      </c>
      <c r="AP62" s="2">
        <v>47</v>
      </c>
      <c r="AQ62" s="19" t="str">
        <f t="shared" si="8"/>
        <v>1</v>
      </c>
      <c r="AR62" s="2">
        <v>1</v>
      </c>
      <c r="AS62" s="2">
        <v>1</v>
      </c>
      <c r="AT62" s="2">
        <v>5</v>
      </c>
      <c r="AU62" s="2">
        <v>1</v>
      </c>
      <c r="AV62" s="2">
        <v>1</v>
      </c>
      <c r="AW62" s="2" t="s">
        <v>61</v>
      </c>
      <c r="AX62" s="2">
        <v>5</v>
      </c>
      <c r="AY62" s="2">
        <v>2019</v>
      </c>
      <c r="AZ62" s="2">
        <f t="shared" si="9"/>
        <v>5</v>
      </c>
      <c r="BA62" s="2" t="str">
        <f t="shared" si="10"/>
        <v>1</v>
      </c>
      <c r="BB62" s="3">
        <f>(BA62+AX62+AS62+AQ62+AH62+Z62)/3</f>
        <v>3.3333333333333335</v>
      </c>
      <c r="BC62" s="2" t="s">
        <v>111</v>
      </c>
      <c r="BD62" s="8" t="s">
        <v>149</v>
      </c>
      <c r="BE62" s="2" t="s">
        <v>288</v>
      </c>
      <c r="BF62" s="2">
        <v>28500000</v>
      </c>
      <c r="BG62" s="2">
        <v>38500000</v>
      </c>
      <c r="BH62" s="2">
        <v>90000000</v>
      </c>
      <c r="BI62" s="2">
        <v>4518</v>
      </c>
      <c r="BJ62" s="2">
        <v>87524</v>
      </c>
      <c r="BK62" s="2">
        <v>3.9</v>
      </c>
    </row>
    <row r="63" spans="1:63" ht="64" hidden="1" x14ac:dyDescent="0.2">
      <c r="A63" s="2">
        <v>20700419</v>
      </c>
      <c r="B63" s="2">
        <v>1057474108</v>
      </c>
      <c r="C63" s="2">
        <v>60000</v>
      </c>
      <c r="D63" s="2" t="s">
        <v>134</v>
      </c>
      <c r="E63" s="2" t="s">
        <v>289</v>
      </c>
      <c r="F63" s="2" t="s">
        <v>290</v>
      </c>
      <c r="G63" s="2" t="s">
        <v>70</v>
      </c>
      <c r="H63" s="2" t="s">
        <v>70</v>
      </c>
      <c r="I63" s="2" t="s">
        <v>81</v>
      </c>
      <c r="J63" s="2" t="s">
        <v>82</v>
      </c>
      <c r="K63" s="2" t="s">
        <v>48</v>
      </c>
      <c r="L63" s="2">
        <v>110</v>
      </c>
      <c r="M63" s="2">
        <v>66</v>
      </c>
      <c r="N63" s="2" t="s">
        <v>60</v>
      </c>
      <c r="O63" s="2" t="s">
        <v>138</v>
      </c>
      <c r="P63" s="2">
        <v>13.9</v>
      </c>
      <c r="Q63" s="2">
        <v>8.1999999999999993</v>
      </c>
      <c r="R63" s="2">
        <v>0.6</v>
      </c>
      <c r="S63" s="2">
        <v>1.2</v>
      </c>
      <c r="T63" s="2">
        <v>608</v>
      </c>
      <c r="U63" s="2">
        <v>2451</v>
      </c>
      <c r="V63" s="2">
        <v>0</v>
      </c>
      <c r="W63" s="2">
        <f t="shared" si="12"/>
        <v>3082.9</v>
      </c>
      <c r="X63" s="2" t="str">
        <f t="shared" si="2"/>
        <v>1</v>
      </c>
      <c r="Y63" s="2" t="str">
        <f t="shared" si="13"/>
        <v>1</v>
      </c>
      <c r="Z63" s="3">
        <f t="shared" si="3"/>
        <v>1</v>
      </c>
      <c r="AA63" s="2">
        <v>66</v>
      </c>
      <c r="AB63" s="2">
        <v>9</v>
      </c>
      <c r="AC63" s="2">
        <v>0.02</v>
      </c>
      <c r="AD63" s="2">
        <v>44.4</v>
      </c>
      <c r="AE63" s="2">
        <f t="shared" si="4"/>
        <v>2220</v>
      </c>
      <c r="AF63" s="2" t="str">
        <f t="shared" si="5"/>
        <v>1</v>
      </c>
      <c r="AG63" s="2" t="str">
        <f t="shared" si="6"/>
        <v>1</v>
      </c>
      <c r="AH63" s="3">
        <f t="shared" si="7"/>
        <v>1</v>
      </c>
      <c r="AI63" s="2">
        <v>1</v>
      </c>
      <c r="AJ63" s="2">
        <v>314.92</v>
      </c>
      <c r="AK63" s="2">
        <f>AJ63*0.57</f>
        <v>179.5044</v>
      </c>
      <c r="AL63" s="2">
        <v>393.6</v>
      </c>
      <c r="AM63" s="2">
        <f>AL63*0.57</f>
        <v>224.352</v>
      </c>
      <c r="AN63" s="2">
        <v>836.7</v>
      </c>
      <c r="AO63" s="2">
        <f>AN63*0.57</f>
        <v>476.91899999999998</v>
      </c>
      <c r="AP63" s="2">
        <v>57</v>
      </c>
      <c r="AQ63" s="19" t="str">
        <f t="shared" si="8"/>
        <v>1</v>
      </c>
      <c r="AR63" s="2">
        <v>1</v>
      </c>
      <c r="AS63" s="2">
        <v>1</v>
      </c>
      <c r="AT63" s="2">
        <v>1</v>
      </c>
      <c r="AU63" s="2">
        <v>1</v>
      </c>
      <c r="AV63" s="2">
        <v>1</v>
      </c>
      <c r="AW63" s="2">
        <v>1</v>
      </c>
      <c r="AX63" s="2">
        <v>1</v>
      </c>
      <c r="AY63" s="2">
        <v>2021</v>
      </c>
      <c r="AZ63" s="2">
        <f t="shared" si="9"/>
        <v>3</v>
      </c>
      <c r="BA63" s="2" t="str">
        <f t="shared" si="10"/>
        <v>1</v>
      </c>
      <c r="BB63" s="3">
        <f>(BA63+AX63+AS63+AQ63+AH63+Z63)/7</f>
        <v>0.8571428571428571</v>
      </c>
      <c r="BC63" s="2" t="s">
        <v>107</v>
      </c>
      <c r="BD63" s="8" t="s">
        <v>120</v>
      </c>
      <c r="BE63" s="2"/>
      <c r="BF63" s="2"/>
      <c r="BG63" s="2"/>
      <c r="BH63" s="2"/>
      <c r="BI63" s="2">
        <v>4639</v>
      </c>
      <c r="BJ63" s="2">
        <v>32263</v>
      </c>
      <c r="BK63" s="2">
        <v>3.1</v>
      </c>
    </row>
    <row r="64" spans="1:63" ht="64" hidden="1" x14ac:dyDescent="0.2">
      <c r="A64" s="2">
        <v>20700419</v>
      </c>
      <c r="B64" s="2">
        <v>1075810620</v>
      </c>
      <c r="C64" s="2">
        <v>60000</v>
      </c>
      <c r="D64" s="2" t="s">
        <v>134</v>
      </c>
      <c r="E64" s="2" t="s">
        <v>289</v>
      </c>
      <c r="F64" s="2" t="s">
        <v>291</v>
      </c>
      <c r="G64" s="2" t="s">
        <v>70</v>
      </c>
      <c r="H64" s="2" t="s">
        <v>70</v>
      </c>
      <c r="I64" s="2" t="s">
        <v>81</v>
      </c>
      <c r="J64" s="2" t="s">
        <v>82</v>
      </c>
      <c r="K64" s="2" t="s">
        <v>48</v>
      </c>
      <c r="L64" s="2">
        <v>110</v>
      </c>
      <c r="M64" s="2">
        <v>66</v>
      </c>
      <c r="N64" s="2" t="s">
        <v>60</v>
      </c>
      <c r="O64" s="2" t="s">
        <v>138</v>
      </c>
      <c r="P64" s="2">
        <v>0</v>
      </c>
      <c r="Q64" s="2">
        <v>0</v>
      </c>
      <c r="R64" s="2">
        <v>0</v>
      </c>
      <c r="S64" s="2">
        <v>0</v>
      </c>
      <c r="T64" s="2">
        <v>0</v>
      </c>
      <c r="U64" s="2">
        <v>0</v>
      </c>
      <c r="V64" s="2">
        <v>0</v>
      </c>
      <c r="W64" s="2">
        <f t="shared" si="12"/>
        <v>0</v>
      </c>
      <c r="X64" s="2" t="str">
        <f t="shared" si="2"/>
        <v>1</v>
      </c>
      <c r="Y64" s="2" t="str">
        <f t="shared" si="13"/>
        <v>1</v>
      </c>
      <c r="Z64" s="3">
        <f t="shared" si="3"/>
        <v>1</v>
      </c>
      <c r="AA64" s="2">
        <v>83</v>
      </c>
      <c r="AB64" s="2">
        <v>3.6</v>
      </c>
      <c r="AC64" s="2">
        <v>0.01</v>
      </c>
      <c r="AD64" s="2">
        <v>44.1</v>
      </c>
      <c r="AE64" s="2">
        <f t="shared" si="4"/>
        <v>4410</v>
      </c>
      <c r="AF64" s="2" t="str">
        <f t="shared" si="5"/>
        <v>1</v>
      </c>
      <c r="AG64" s="2" t="str">
        <f t="shared" si="6"/>
        <v>1</v>
      </c>
      <c r="AH64" s="3">
        <f t="shared" si="7"/>
        <v>1</v>
      </c>
      <c r="AI64" s="2">
        <v>1</v>
      </c>
      <c r="AJ64" s="2">
        <v>314.92</v>
      </c>
      <c r="AK64" s="2">
        <v>179.5044</v>
      </c>
      <c r="AL64" s="2">
        <v>393.6</v>
      </c>
      <c r="AM64" s="2">
        <v>224.352</v>
      </c>
      <c r="AN64" s="2">
        <v>836.7</v>
      </c>
      <c r="AO64" s="2">
        <v>476.91899999999998</v>
      </c>
      <c r="AP64" s="2">
        <v>57</v>
      </c>
      <c r="AQ64" s="19" t="str">
        <f t="shared" si="8"/>
        <v>1</v>
      </c>
      <c r="AR64" s="2">
        <v>1</v>
      </c>
      <c r="AS64" s="2">
        <v>1</v>
      </c>
      <c r="AT64" s="2">
        <v>1</v>
      </c>
      <c r="AU64" s="2">
        <v>1</v>
      </c>
      <c r="AV64" s="2">
        <v>1</v>
      </c>
      <c r="AW64" s="2">
        <v>1</v>
      </c>
      <c r="AX64" s="2">
        <v>1</v>
      </c>
      <c r="AY64" s="2">
        <v>2022</v>
      </c>
      <c r="AZ64" s="2">
        <f t="shared" si="9"/>
        <v>2</v>
      </c>
      <c r="BA64" s="2" t="str">
        <f t="shared" si="10"/>
        <v>1</v>
      </c>
      <c r="BB64" s="3">
        <f>(BA64+AX64+AS64+AQ64+AH64+Z64)/7</f>
        <v>0.8571428571428571</v>
      </c>
      <c r="BC64" s="2" t="s">
        <v>107</v>
      </c>
      <c r="BD64" s="8" t="s">
        <v>120</v>
      </c>
      <c r="BE64" s="2"/>
      <c r="BF64" s="2"/>
      <c r="BG64" s="2"/>
      <c r="BH64" s="2"/>
      <c r="BI64" s="2">
        <v>2480</v>
      </c>
      <c r="BJ64" s="2">
        <v>10582</v>
      </c>
      <c r="BK64" s="2">
        <v>0</v>
      </c>
    </row>
    <row r="65" spans="1:63" hidden="1" x14ac:dyDescent="0.2">
      <c r="A65" s="21"/>
      <c r="B65" s="21">
        <v>1072462801</v>
      </c>
      <c r="C65" s="21">
        <v>25000</v>
      </c>
      <c r="D65" s="21" t="s">
        <v>152</v>
      </c>
      <c r="E65" s="21" t="s">
        <v>292</v>
      </c>
      <c r="F65" s="21" t="s">
        <v>293</v>
      </c>
      <c r="G65" s="21" t="s">
        <v>125</v>
      </c>
      <c r="H65" s="21" t="s">
        <v>148</v>
      </c>
      <c r="I65" s="21" t="s">
        <v>81</v>
      </c>
      <c r="J65" s="21" t="s">
        <v>82</v>
      </c>
      <c r="K65" s="21" t="s">
        <v>48</v>
      </c>
      <c r="L65" s="2"/>
      <c r="M65" s="31"/>
      <c r="N65" s="31"/>
      <c r="O65" s="31"/>
      <c r="P65" s="2"/>
      <c r="Q65" s="2"/>
      <c r="R65" s="2"/>
      <c r="S65" s="2"/>
      <c r="T65" s="2"/>
      <c r="U65" s="2"/>
      <c r="V65" s="2"/>
      <c r="W65" s="2"/>
      <c r="X65" s="2"/>
      <c r="Y65" s="2"/>
      <c r="Z65" s="3"/>
      <c r="AA65" s="2"/>
      <c r="AB65" s="2"/>
      <c r="AC65" s="2"/>
      <c r="AD65" s="2"/>
      <c r="AE65" s="2"/>
      <c r="AF65" s="2"/>
      <c r="AG65" s="2"/>
      <c r="AH65" s="3"/>
      <c r="AI65" s="2"/>
      <c r="AJ65" s="2"/>
      <c r="AK65" s="2"/>
      <c r="AL65" s="2"/>
      <c r="AM65" s="2"/>
      <c r="AN65" s="2"/>
      <c r="AO65" s="2"/>
      <c r="AP65" s="2"/>
      <c r="AQ65" s="19"/>
      <c r="AR65" s="2"/>
      <c r="AS65" s="2"/>
      <c r="AT65" s="2"/>
      <c r="AU65" s="2"/>
      <c r="AV65" s="2"/>
      <c r="AW65" s="2"/>
      <c r="AX65" s="2"/>
      <c r="AY65" s="2"/>
      <c r="AZ65" s="2"/>
      <c r="BA65" s="2"/>
      <c r="BB65" s="3"/>
      <c r="BC65" s="2"/>
      <c r="BD65" s="8"/>
      <c r="BE65" s="2"/>
      <c r="BF65" s="31"/>
      <c r="BG65" s="31"/>
      <c r="BH65" s="31"/>
      <c r="BI65" s="2"/>
      <c r="BJ65" s="2"/>
      <c r="BK65" s="2"/>
    </row>
    <row r="66" spans="1:63" s="25" customFormat="1" ht="32" hidden="1" x14ac:dyDescent="0.2">
      <c r="A66" s="21">
        <v>20036967</v>
      </c>
      <c r="B66" s="21">
        <v>506631</v>
      </c>
      <c r="C66" s="21">
        <v>25000</v>
      </c>
      <c r="D66" s="21" t="s">
        <v>152</v>
      </c>
      <c r="E66" s="21" t="s">
        <v>292</v>
      </c>
      <c r="F66" s="21" t="s">
        <v>294</v>
      </c>
      <c r="G66" s="21" t="s">
        <v>125</v>
      </c>
      <c r="H66" s="21" t="s">
        <v>148</v>
      </c>
      <c r="I66" s="21" t="s">
        <v>81</v>
      </c>
      <c r="J66" s="21" t="s">
        <v>143</v>
      </c>
      <c r="K66" s="21" t="s">
        <v>48</v>
      </c>
      <c r="L66" s="21" t="s">
        <v>137</v>
      </c>
      <c r="M66" s="32" t="s">
        <v>60</v>
      </c>
      <c r="N66" s="32" t="s">
        <v>61</v>
      </c>
      <c r="O66" s="33" t="s">
        <v>295</v>
      </c>
      <c r="P66" s="21">
        <v>11.5</v>
      </c>
      <c r="Q66" s="21">
        <v>8.6999999999999993</v>
      </c>
      <c r="R66" s="21">
        <v>2.8</v>
      </c>
      <c r="S66" s="21">
        <v>1.5</v>
      </c>
      <c r="T66" s="21">
        <v>895</v>
      </c>
      <c r="U66" s="21">
        <v>3033</v>
      </c>
      <c r="V66" s="21">
        <v>0</v>
      </c>
      <c r="W66" s="21">
        <f t="shared" ref="W66:W72" si="15">(P66+Q66+T66+R66+S66+U66)</f>
        <v>3952.5</v>
      </c>
      <c r="X66" s="21" t="str">
        <f t="shared" si="2"/>
        <v>2</v>
      </c>
      <c r="Y66" s="21" t="str">
        <f t="shared" ref="Y66:Y72" si="16">IF(V66&gt;=16,"5",IF(V66&gt;=15,"4",IF(V66&gt;=12,"3",IF(V66&gt;=7,"2","1"))))</f>
        <v>1</v>
      </c>
      <c r="Z66" s="22">
        <f t="shared" si="3"/>
        <v>1.5</v>
      </c>
      <c r="AA66" s="21">
        <v>45</v>
      </c>
      <c r="AB66" s="21">
        <v>13</v>
      </c>
      <c r="AC66" s="21">
        <v>0.02</v>
      </c>
      <c r="AD66" s="21">
        <v>43.1</v>
      </c>
      <c r="AE66" s="21">
        <f t="shared" si="4"/>
        <v>2155</v>
      </c>
      <c r="AF66" s="21" t="str">
        <f t="shared" si="5"/>
        <v>1</v>
      </c>
      <c r="AG66" s="21" t="str">
        <f t="shared" si="6"/>
        <v>1</v>
      </c>
      <c r="AH66" s="22">
        <f t="shared" si="7"/>
        <v>1</v>
      </c>
      <c r="AI66" s="21">
        <v>3</v>
      </c>
      <c r="AJ66" s="21">
        <v>418.4</v>
      </c>
      <c r="AK66" s="21">
        <f>AJ66*0.81</f>
        <v>338.904</v>
      </c>
      <c r="AL66" s="21">
        <v>1045.9000000000001</v>
      </c>
      <c r="AM66" s="21">
        <f>AL66*0.81</f>
        <v>847.17900000000009</v>
      </c>
      <c r="AN66" s="21" t="s">
        <v>61</v>
      </c>
      <c r="AO66" s="21" t="s">
        <v>61</v>
      </c>
      <c r="AP66" s="21">
        <v>81</v>
      </c>
      <c r="AQ66" s="23" t="str">
        <f t="shared" si="8"/>
        <v>3</v>
      </c>
      <c r="AR66" s="21">
        <v>1</v>
      </c>
      <c r="AS66" s="21">
        <v>1</v>
      </c>
      <c r="AT66" s="21">
        <v>5</v>
      </c>
      <c r="AU66" s="21">
        <v>1</v>
      </c>
      <c r="AV66" s="21">
        <v>1</v>
      </c>
      <c r="AW66" s="21">
        <v>1</v>
      </c>
      <c r="AX66" s="21">
        <v>5</v>
      </c>
      <c r="AY66" s="21">
        <v>1998</v>
      </c>
      <c r="AZ66" s="21">
        <f t="shared" si="9"/>
        <v>26</v>
      </c>
      <c r="BA66" s="21" t="str">
        <f t="shared" si="10"/>
        <v>3</v>
      </c>
      <c r="BB66" s="22">
        <f>(BA66+AX66+AS66+AQ66+AH66+Z66)/5</f>
        <v>2.9</v>
      </c>
      <c r="BC66" s="21" t="s">
        <v>111</v>
      </c>
      <c r="BD66" s="24" t="s">
        <v>296</v>
      </c>
      <c r="BE66" s="21" t="s">
        <v>297</v>
      </c>
      <c r="BF66" s="32">
        <v>25000000</v>
      </c>
      <c r="BG66" s="32">
        <v>45800000</v>
      </c>
      <c r="BH66" s="32">
        <v>15000000</v>
      </c>
      <c r="BI66" s="21">
        <v>7248</v>
      </c>
      <c r="BJ66" s="21">
        <v>65098</v>
      </c>
      <c r="BK66" s="21">
        <v>4.5999999999999996</v>
      </c>
    </row>
    <row r="67" spans="1:63" ht="64" hidden="1" x14ac:dyDescent="0.2">
      <c r="A67" s="2">
        <v>20026983</v>
      </c>
      <c r="B67" s="2">
        <v>1057609397</v>
      </c>
      <c r="C67" s="2">
        <v>2000</v>
      </c>
      <c r="D67" s="2" t="s">
        <v>73</v>
      </c>
      <c r="E67" s="2" t="s">
        <v>298</v>
      </c>
      <c r="F67" s="2" t="s">
        <v>299</v>
      </c>
      <c r="G67" s="2" t="s">
        <v>58</v>
      </c>
      <c r="H67" s="2" t="s">
        <v>59</v>
      </c>
      <c r="I67" s="2" t="s">
        <v>65</v>
      </c>
      <c r="J67" s="2" t="s">
        <v>61</v>
      </c>
      <c r="K67" s="2" t="s">
        <v>66</v>
      </c>
      <c r="L67" s="2" t="s">
        <v>76</v>
      </c>
      <c r="M67" s="2" t="s">
        <v>60</v>
      </c>
      <c r="N67" s="2" t="s">
        <v>61</v>
      </c>
      <c r="O67" s="2" t="s">
        <v>77</v>
      </c>
      <c r="P67" s="2">
        <v>111</v>
      </c>
      <c r="Q67" s="2">
        <v>10.7</v>
      </c>
      <c r="R67" s="2">
        <v>2.8</v>
      </c>
      <c r="S67" s="2">
        <v>2.1</v>
      </c>
      <c r="T67" s="2">
        <v>959</v>
      </c>
      <c r="U67" s="2">
        <v>2504</v>
      </c>
      <c r="V67" s="2">
        <v>0</v>
      </c>
      <c r="W67" s="2">
        <f t="shared" si="15"/>
        <v>3589.6</v>
      </c>
      <c r="X67" s="2" t="str">
        <f t="shared" si="2"/>
        <v>1</v>
      </c>
      <c r="Y67" s="2" t="str">
        <f t="shared" si="16"/>
        <v>1</v>
      </c>
      <c r="Z67" s="3">
        <f t="shared" si="3"/>
        <v>1</v>
      </c>
      <c r="AA67" s="2">
        <v>42</v>
      </c>
      <c r="AB67" s="2">
        <v>11</v>
      </c>
      <c r="AC67" s="2">
        <v>0.02</v>
      </c>
      <c r="AD67" s="2">
        <v>43.1</v>
      </c>
      <c r="AE67" s="2">
        <f t="shared" si="4"/>
        <v>2155</v>
      </c>
      <c r="AF67" s="2" t="str">
        <f t="shared" si="5"/>
        <v>1</v>
      </c>
      <c r="AG67" s="2" t="str">
        <f t="shared" si="6"/>
        <v>1</v>
      </c>
      <c r="AH67" s="3">
        <f t="shared" si="7"/>
        <v>1</v>
      </c>
      <c r="AI67" s="2">
        <v>3</v>
      </c>
      <c r="AJ67" s="2">
        <v>33.47</v>
      </c>
      <c r="AK67" s="2">
        <f>AJ67*0.81</f>
        <v>27.110700000000001</v>
      </c>
      <c r="AL67" s="2">
        <v>88.67</v>
      </c>
      <c r="AM67" s="2">
        <f>AL67*0.81</f>
        <v>71.822700000000012</v>
      </c>
      <c r="AN67" s="2" t="s">
        <v>61</v>
      </c>
      <c r="AO67" s="2" t="s">
        <v>61</v>
      </c>
      <c r="AP67" s="2">
        <v>81</v>
      </c>
      <c r="AQ67" s="19" t="str">
        <f t="shared" si="8"/>
        <v>3</v>
      </c>
      <c r="AR67" s="2">
        <v>1</v>
      </c>
      <c r="AS67" s="2">
        <v>1</v>
      </c>
      <c r="AT67" s="2">
        <v>1</v>
      </c>
      <c r="AU67" s="2">
        <v>1</v>
      </c>
      <c r="AV67" s="2">
        <v>1</v>
      </c>
      <c r="AW67" s="2" t="s">
        <v>61</v>
      </c>
      <c r="AX67" s="2">
        <v>1</v>
      </c>
      <c r="AY67" s="2">
        <v>2020</v>
      </c>
      <c r="AZ67" s="2">
        <f t="shared" si="9"/>
        <v>4</v>
      </c>
      <c r="BA67" s="2" t="str">
        <f t="shared" si="10"/>
        <v>1</v>
      </c>
      <c r="BB67" s="3">
        <f>(BA67+AX67+AS67+AQ67+AH67+Z67)/7</f>
        <v>1.1428571428571428</v>
      </c>
      <c r="BC67" s="2" t="s">
        <v>107</v>
      </c>
      <c r="BD67" s="8" t="s">
        <v>120</v>
      </c>
      <c r="BE67" s="2"/>
      <c r="BF67" s="2"/>
      <c r="BG67" s="2"/>
      <c r="BH67" s="2"/>
      <c r="BI67" s="2">
        <v>4357</v>
      </c>
      <c r="BJ67" s="2">
        <v>102704</v>
      </c>
      <c r="BK67" s="2">
        <v>4.4000000000000004</v>
      </c>
    </row>
    <row r="68" spans="1:63" hidden="1" x14ac:dyDescent="0.2">
      <c r="A68" s="2">
        <v>20026968</v>
      </c>
      <c r="B68" s="2">
        <v>55410119</v>
      </c>
      <c r="C68" s="2">
        <v>6500</v>
      </c>
      <c r="D68" s="2" t="s">
        <v>73</v>
      </c>
      <c r="E68" s="2" t="s">
        <v>300</v>
      </c>
      <c r="F68" s="2" t="s">
        <v>301</v>
      </c>
      <c r="G68" s="2" t="s">
        <v>58</v>
      </c>
      <c r="H68" s="2" t="s">
        <v>64</v>
      </c>
      <c r="I68" s="2" t="s">
        <v>81</v>
      </c>
      <c r="J68" s="2" t="s">
        <v>82</v>
      </c>
      <c r="K68" s="2" t="s">
        <v>66</v>
      </c>
      <c r="L68" s="2" t="s">
        <v>76</v>
      </c>
      <c r="M68" s="2" t="s">
        <v>60</v>
      </c>
      <c r="N68" s="2" t="s">
        <v>61</v>
      </c>
      <c r="O68" s="2" t="s">
        <v>83</v>
      </c>
      <c r="P68" s="2">
        <v>4.3</v>
      </c>
      <c r="Q68" s="2">
        <v>51</v>
      </c>
      <c r="R68" s="2">
        <v>3.2</v>
      </c>
      <c r="S68" s="2">
        <v>11.8</v>
      </c>
      <c r="T68" s="2">
        <v>646</v>
      </c>
      <c r="U68" s="2">
        <v>3150</v>
      </c>
      <c r="V68" s="2">
        <v>0</v>
      </c>
      <c r="W68" s="2">
        <f t="shared" si="15"/>
        <v>3866.3</v>
      </c>
      <c r="X68" s="2" t="str">
        <f t="shared" si="2"/>
        <v>1</v>
      </c>
      <c r="Y68" s="2" t="str">
        <f t="shared" si="16"/>
        <v>1</v>
      </c>
      <c r="Z68" s="3">
        <f t="shared" si="3"/>
        <v>1</v>
      </c>
      <c r="AA68" s="2">
        <v>21</v>
      </c>
      <c r="AB68" s="2">
        <v>27</v>
      </c>
      <c r="AC68" s="2">
        <v>0.02</v>
      </c>
      <c r="AD68" s="2">
        <v>42.3</v>
      </c>
      <c r="AE68" s="2">
        <f t="shared" si="4"/>
        <v>2115</v>
      </c>
      <c r="AF68" s="2" t="str">
        <f t="shared" si="5"/>
        <v>4</v>
      </c>
      <c r="AG68" s="2" t="str">
        <f t="shared" si="6"/>
        <v>1</v>
      </c>
      <c r="AH68" s="3">
        <f t="shared" si="7"/>
        <v>2.5</v>
      </c>
      <c r="AI68" s="2">
        <v>3</v>
      </c>
      <c r="AJ68" s="2">
        <v>86.67</v>
      </c>
      <c r="AK68" s="2">
        <f>AJ68*0.67</f>
        <v>58.068900000000006</v>
      </c>
      <c r="AL68" s="2">
        <v>209.19</v>
      </c>
      <c r="AM68" s="2">
        <f>AL68*0.67</f>
        <v>140.15730000000002</v>
      </c>
      <c r="AN68" s="2" t="s">
        <v>61</v>
      </c>
      <c r="AO68" s="2" t="s">
        <v>61</v>
      </c>
      <c r="AP68" s="2">
        <v>67</v>
      </c>
      <c r="AQ68" s="19" t="str">
        <f t="shared" si="8"/>
        <v>1</v>
      </c>
      <c r="AR68" s="2">
        <v>1</v>
      </c>
      <c r="AS68" s="2">
        <v>1</v>
      </c>
      <c r="AT68" s="2">
        <v>1</v>
      </c>
      <c r="AU68" s="2">
        <v>1</v>
      </c>
      <c r="AV68" s="2">
        <v>1</v>
      </c>
      <c r="AW68" s="2" t="s">
        <v>61</v>
      </c>
      <c r="AX68" s="2">
        <v>1</v>
      </c>
      <c r="AY68" s="2">
        <v>2020</v>
      </c>
      <c r="AZ68" s="2">
        <f t="shared" si="9"/>
        <v>4</v>
      </c>
      <c r="BA68" s="2" t="str">
        <f t="shared" si="10"/>
        <v>1</v>
      </c>
      <c r="BB68" s="3">
        <f>(BA68+AX68+AS68+AQ68+AH68+Z68)/4</f>
        <v>1.875</v>
      </c>
      <c r="BC68" s="2" t="s">
        <v>105</v>
      </c>
      <c r="BD68" s="28" t="s">
        <v>302</v>
      </c>
      <c r="BE68" s="2" t="s">
        <v>303</v>
      </c>
      <c r="BF68" s="2"/>
      <c r="BG68" s="2"/>
      <c r="BH68" s="2"/>
      <c r="BI68" s="2">
        <v>3058</v>
      </c>
      <c r="BJ68" s="2">
        <v>89411</v>
      </c>
      <c r="BK68" s="2">
        <v>10.8</v>
      </c>
    </row>
    <row r="69" spans="1:63" ht="48" x14ac:dyDescent="0.2">
      <c r="A69" s="2">
        <v>20700124</v>
      </c>
      <c r="B69" s="2">
        <v>148223</v>
      </c>
      <c r="C69" s="2">
        <v>500</v>
      </c>
      <c r="D69" s="2" t="s">
        <v>73</v>
      </c>
      <c r="E69" s="5" t="s">
        <v>304</v>
      </c>
      <c r="F69" s="9" t="s">
        <v>305</v>
      </c>
      <c r="G69" s="2" t="s">
        <v>58</v>
      </c>
      <c r="H69" s="2" t="s">
        <v>59</v>
      </c>
      <c r="I69" s="2" t="s">
        <v>65</v>
      </c>
      <c r="J69" s="2" t="s">
        <v>61</v>
      </c>
      <c r="K69" s="2" t="s">
        <v>66</v>
      </c>
      <c r="L69" s="2" t="s">
        <v>76</v>
      </c>
      <c r="M69" s="2" t="s">
        <v>60</v>
      </c>
      <c r="N69" s="2" t="s">
        <v>61</v>
      </c>
      <c r="O69" s="2" t="s">
        <v>77</v>
      </c>
      <c r="P69" s="2">
        <v>25912</v>
      </c>
      <c r="Q69" s="2">
        <v>5962</v>
      </c>
      <c r="R69" s="2">
        <v>3.8</v>
      </c>
      <c r="S69" s="2">
        <v>2388</v>
      </c>
      <c r="T69" s="2">
        <v>73</v>
      </c>
      <c r="U69" s="2">
        <v>622</v>
      </c>
      <c r="V69" s="2">
        <v>5.4</v>
      </c>
      <c r="W69" s="2">
        <f t="shared" si="15"/>
        <v>34960.800000000003</v>
      </c>
      <c r="X69" s="2" t="str">
        <f t="shared" ref="X69:X132" si="17">IF(W69&gt;=23546,"5",IF(W69&gt;=14870,"4",IF(W69&gt;=6185,"3",IF(W69&gt;=3943,"2","1"))))</f>
        <v>5</v>
      </c>
      <c r="Y69" s="2" t="str">
        <f t="shared" si="16"/>
        <v>1</v>
      </c>
      <c r="Z69" s="3">
        <f t="shared" ref="Z69:Z132" si="18">(X69+Y69)/2</f>
        <v>3</v>
      </c>
      <c r="AA69" s="2">
        <v>17</v>
      </c>
      <c r="AB69" s="2">
        <v>29</v>
      </c>
      <c r="AC69" s="2">
        <v>0.02</v>
      </c>
      <c r="AD69" s="2">
        <v>30.1</v>
      </c>
      <c r="AE69" s="2">
        <f t="shared" ref="AE69:AE132" si="19">AD69/AC69</f>
        <v>1505</v>
      </c>
      <c r="AF69" s="2" t="str">
        <f t="shared" ref="AF69:AF132" si="20">IF(AA69&lt;=19,"5",IF(AA69&lt;=23,"4",IF(AA69&lt;=27,"3",IF(AA69&lt;=33,"2","1"))))</f>
        <v>5</v>
      </c>
      <c r="AG69" s="2" t="str">
        <f t="shared" ref="AG69:AG132" si="21">IF(AE69&lt;=513,"5",IF(AE69&lt;=799,"4",IF(AE69&lt;=930,"3",IF(AE69&lt;=1499,"2","1"))))</f>
        <v>1</v>
      </c>
      <c r="AH69" s="3">
        <f t="shared" ref="AH69:AH132" si="22">(AF69+AG69)/2</f>
        <v>3</v>
      </c>
      <c r="AI69" s="2">
        <v>1</v>
      </c>
      <c r="AJ69" s="2">
        <v>14.5</v>
      </c>
      <c r="AK69" s="2">
        <f>AJ69*0.66</f>
        <v>9.57</v>
      </c>
      <c r="AL69" s="2">
        <v>62.8</v>
      </c>
      <c r="AM69" s="2">
        <f>AL69*0.66</f>
        <v>41.448</v>
      </c>
      <c r="AN69" s="2" t="s">
        <v>61</v>
      </c>
      <c r="AO69" s="2" t="s">
        <v>61</v>
      </c>
      <c r="AP69" s="2">
        <v>66</v>
      </c>
      <c r="AQ69" s="19" t="str">
        <f t="shared" ref="AQ69:AQ132" si="23">IF(AP69&lt;70,"1",IF(AP69&lt;=80,"2",IF(AP69&lt;=90,"3",IF(AP69&lt;=100,"4","5"))))</f>
        <v>1</v>
      </c>
      <c r="AR69" s="2">
        <v>1</v>
      </c>
      <c r="AS69" s="2">
        <v>1</v>
      </c>
      <c r="AT69" s="2">
        <v>5</v>
      </c>
      <c r="AU69" s="2">
        <v>1</v>
      </c>
      <c r="AV69" s="2">
        <v>5</v>
      </c>
      <c r="AW69" s="2" t="s">
        <v>61</v>
      </c>
      <c r="AX69" s="2">
        <v>5</v>
      </c>
      <c r="AY69" s="2">
        <v>2006</v>
      </c>
      <c r="AZ69" s="2">
        <f t="shared" ref="AZ69:AZ132" si="24">2024-AY69</f>
        <v>18</v>
      </c>
      <c r="BA69" s="2" t="str">
        <f t="shared" ref="BA69:BA132" si="25">IF(AZ69&gt;=36,"5",IF(AZ69&gt;=31,"4",IF(AZ69&gt;=21,"3",IF(AZ69&gt;=7,"2","1"))))</f>
        <v>2</v>
      </c>
      <c r="BB69" s="3">
        <f>(BA69+AX69+AS69+AQ69+AH69+Z69)/4</f>
        <v>3.75</v>
      </c>
      <c r="BC69" s="2" t="s">
        <v>184</v>
      </c>
      <c r="BD69" s="8" t="s">
        <v>306</v>
      </c>
      <c r="BE69" s="2" t="s">
        <v>307</v>
      </c>
      <c r="BF69" s="26">
        <v>60000000</v>
      </c>
      <c r="BG69" s="26">
        <v>60000000</v>
      </c>
      <c r="BH69" s="26">
        <v>9000000</v>
      </c>
      <c r="BI69" s="2">
        <v>317</v>
      </c>
      <c r="BJ69" s="2">
        <v>8768</v>
      </c>
      <c r="BK69" s="2">
        <v>981</v>
      </c>
    </row>
    <row r="70" spans="1:63" ht="48" x14ac:dyDescent="0.2">
      <c r="A70" s="2">
        <v>20700124</v>
      </c>
      <c r="B70" s="2">
        <v>148224</v>
      </c>
      <c r="C70" s="2">
        <v>500</v>
      </c>
      <c r="D70" s="2" t="s">
        <v>73</v>
      </c>
      <c r="E70" s="5" t="s">
        <v>304</v>
      </c>
      <c r="F70" s="9" t="s">
        <v>308</v>
      </c>
      <c r="G70" s="2" t="s">
        <v>58</v>
      </c>
      <c r="H70" s="2" t="s">
        <v>59</v>
      </c>
      <c r="I70" s="2" t="s">
        <v>65</v>
      </c>
      <c r="J70" s="2" t="s">
        <v>61</v>
      </c>
      <c r="K70" s="2" t="s">
        <v>66</v>
      </c>
      <c r="L70" s="2" t="s">
        <v>76</v>
      </c>
      <c r="M70" s="2" t="s">
        <v>60</v>
      </c>
      <c r="N70" s="2" t="s">
        <v>61</v>
      </c>
      <c r="O70" s="2" t="s">
        <v>77</v>
      </c>
      <c r="P70" s="2">
        <v>1537</v>
      </c>
      <c r="Q70" s="2">
        <v>290</v>
      </c>
      <c r="R70" s="2">
        <v>55</v>
      </c>
      <c r="S70" s="2">
        <v>207</v>
      </c>
      <c r="T70" s="2">
        <v>271</v>
      </c>
      <c r="U70" s="2">
        <v>7499</v>
      </c>
      <c r="V70" s="2">
        <v>1.8</v>
      </c>
      <c r="W70" s="2">
        <f t="shared" si="15"/>
        <v>9859</v>
      </c>
      <c r="X70" s="2" t="str">
        <f t="shared" si="17"/>
        <v>3</v>
      </c>
      <c r="Y70" s="2" t="str">
        <f t="shared" si="16"/>
        <v>1</v>
      </c>
      <c r="Z70" s="3">
        <f t="shared" si="18"/>
        <v>2</v>
      </c>
      <c r="AA70" s="2">
        <v>17</v>
      </c>
      <c r="AB70" s="2">
        <v>41</v>
      </c>
      <c r="AC70" s="2">
        <v>7.5999999999999998E-2</v>
      </c>
      <c r="AD70" s="2">
        <v>21</v>
      </c>
      <c r="AE70" s="34">
        <f t="shared" si="19"/>
        <v>276.31578947368422</v>
      </c>
      <c r="AF70" s="2" t="str">
        <f t="shared" si="20"/>
        <v>5</v>
      </c>
      <c r="AG70" s="2" t="str">
        <f t="shared" si="21"/>
        <v>5</v>
      </c>
      <c r="AH70" s="3">
        <f t="shared" si="22"/>
        <v>5</v>
      </c>
      <c r="AI70" s="2">
        <v>1</v>
      </c>
      <c r="AJ70" s="2">
        <v>14.5</v>
      </c>
      <c r="AK70" s="2">
        <f>AJ70*0.66</f>
        <v>9.57</v>
      </c>
      <c r="AL70" s="2">
        <v>62.8</v>
      </c>
      <c r="AM70" s="2">
        <f>AL70*0.66</f>
        <v>41.448</v>
      </c>
      <c r="AN70" s="2" t="s">
        <v>61</v>
      </c>
      <c r="AO70" s="2" t="s">
        <v>61</v>
      </c>
      <c r="AP70" s="2">
        <v>66</v>
      </c>
      <c r="AQ70" s="19" t="str">
        <f t="shared" si="23"/>
        <v>1</v>
      </c>
      <c r="AR70" s="2">
        <v>1</v>
      </c>
      <c r="AS70" s="2">
        <v>1</v>
      </c>
      <c r="AT70" s="2">
        <v>5</v>
      </c>
      <c r="AU70" s="2">
        <v>1</v>
      </c>
      <c r="AV70" s="2">
        <v>5</v>
      </c>
      <c r="AW70" s="2" t="s">
        <v>61</v>
      </c>
      <c r="AX70" s="2">
        <v>5</v>
      </c>
      <c r="AY70" s="2">
        <v>2006</v>
      </c>
      <c r="AZ70" s="2">
        <f t="shared" si="24"/>
        <v>18</v>
      </c>
      <c r="BA70" s="2" t="str">
        <f t="shared" si="25"/>
        <v>2</v>
      </c>
      <c r="BB70" s="3">
        <f>(BA70+AX70+AS70+AQ70+AH70+Z70)/4</f>
        <v>4</v>
      </c>
      <c r="BC70" s="2" t="s">
        <v>184</v>
      </c>
      <c r="BD70" s="8" t="s">
        <v>306</v>
      </c>
      <c r="BE70" s="2" t="s">
        <v>307</v>
      </c>
      <c r="BF70" s="26"/>
      <c r="BG70" s="26">
        <v>60000000</v>
      </c>
      <c r="BH70" s="26">
        <v>9000000</v>
      </c>
      <c r="BI70" s="2">
        <v>65</v>
      </c>
      <c r="BJ70" s="2">
        <v>59554</v>
      </c>
      <c r="BK70" s="2">
        <v>0</v>
      </c>
    </row>
    <row r="71" spans="1:63" s="25" customFormat="1" ht="80" hidden="1" x14ac:dyDescent="0.2">
      <c r="A71" s="21">
        <v>20026980</v>
      </c>
      <c r="B71" s="21">
        <v>201103</v>
      </c>
      <c r="C71" s="21">
        <v>50000</v>
      </c>
      <c r="D71" s="25" t="s">
        <v>134</v>
      </c>
      <c r="E71" s="25" t="s">
        <v>309</v>
      </c>
      <c r="F71" s="21" t="s">
        <v>310</v>
      </c>
      <c r="G71" s="21" t="s">
        <v>58</v>
      </c>
      <c r="H71" s="21" t="s">
        <v>59</v>
      </c>
      <c r="I71" s="21" t="s">
        <v>81</v>
      </c>
      <c r="J71" s="21" t="s">
        <v>82</v>
      </c>
      <c r="K71" s="21" t="s">
        <v>48</v>
      </c>
      <c r="L71" s="21">
        <v>110</v>
      </c>
      <c r="M71" s="21" t="s">
        <v>137</v>
      </c>
      <c r="N71" s="21" t="s">
        <v>60</v>
      </c>
      <c r="O71" s="21" t="s">
        <v>311</v>
      </c>
      <c r="P71" s="21">
        <v>3.2</v>
      </c>
      <c r="Q71" s="21">
        <v>21</v>
      </c>
      <c r="R71" s="21">
        <v>15.4</v>
      </c>
      <c r="S71" s="21">
        <v>4.8</v>
      </c>
      <c r="T71" s="21">
        <v>615</v>
      </c>
      <c r="U71" s="21">
        <v>2714</v>
      </c>
      <c r="V71" s="21">
        <v>0</v>
      </c>
      <c r="W71" s="21">
        <f t="shared" si="15"/>
        <v>3373.4</v>
      </c>
      <c r="X71" s="21" t="str">
        <f t="shared" si="17"/>
        <v>1</v>
      </c>
      <c r="Y71" s="21" t="str">
        <f t="shared" si="16"/>
        <v>1</v>
      </c>
      <c r="Z71" s="22">
        <f t="shared" si="18"/>
        <v>1</v>
      </c>
      <c r="AA71" s="21">
        <v>58</v>
      </c>
      <c r="AB71" s="21">
        <v>6</v>
      </c>
      <c r="AC71" s="21">
        <v>0.02</v>
      </c>
      <c r="AD71" s="21">
        <v>39.9</v>
      </c>
      <c r="AE71" s="21">
        <f t="shared" si="19"/>
        <v>1995</v>
      </c>
      <c r="AF71" s="21" t="str">
        <f t="shared" si="20"/>
        <v>1</v>
      </c>
      <c r="AG71" s="21" t="str">
        <f t="shared" si="21"/>
        <v>1</v>
      </c>
      <c r="AH71" s="22">
        <f t="shared" si="22"/>
        <v>1</v>
      </c>
      <c r="AI71" s="21">
        <v>1</v>
      </c>
      <c r="AJ71" s="21">
        <v>262.39999999999998</v>
      </c>
      <c r="AK71" s="21">
        <f>AJ71*0.32</f>
        <v>83.967999999999989</v>
      </c>
      <c r="AL71" s="21">
        <v>502</v>
      </c>
      <c r="AM71" s="21">
        <f>AL71*0.38</f>
        <v>190.76</v>
      </c>
      <c r="AN71" s="21">
        <v>836.7</v>
      </c>
      <c r="AO71" s="21">
        <f>AN71*0.21</f>
        <v>175.70699999999999</v>
      </c>
      <c r="AP71" s="21">
        <v>38</v>
      </c>
      <c r="AQ71" s="23" t="str">
        <f t="shared" si="23"/>
        <v>1</v>
      </c>
      <c r="AR71" s="21">
        <v>1</v>
      </c>
      <c r="AS71" s="21">
        <v>1</v>
      </c>
      <c r="AT71" s="21">
        <v>1</v>
      </c>
      <c r="AU71" s="21">
        <v>1</v>
      </c>
      <c r="AV71" s="21">
        <v>1</v>
      </c>
      <c r="AW71" s="21">
        <v>1</v>
      </c>
      <c r="AX71" s="21">
        <v>1</v>
      </c>
      <c r="AY71" s="21">
        <v>2012</v>
      </c>
      <c r="AZ71" s="21">
        <f t="shared" si="24"/>
        <v>12</v>
      </c>
      <c r="BA71" s="21" t="str">
        <f t="shared" si="25"/>
        <v>2</v>
      </c>
      <c r="BB71" s="21">
        <f>(BA71+AX71+AS71+AQ71+AH71+Z71)/7</f>
        <v>1</v>
      </c>
      <c r="BC71" s="21" t="s">
        <v>107</v>
      </c>
      <c r="BD71" s="24" t="s">
        <v>139</v>
      </c>
      <c r="BE71" s="21" t="s">
        <v>312</v>
      </c>
      <c r="BF71" s="21"/>
      <c r="BG71" s="21"/>
      <c r="BH71" s="21"/>
      <c r="BI71" s="21">
        <v>10146</v>
      </c>
      <c r="BJ71" s="21">
        <v>61176</v>
      </c>
      <c r="BK71" s="21">
        <v>12.9</v>
      </c>
    </row>
    <row r="72" spans="1:63" s="25" customFormat="1" ht="32" hidden="1" x14ac:dyDescent="0.2">
      <c r="A72" s="21">
        <v>20027765</v>
      </c>
      <c r="B72" s="21">
        <v>1097131006</v>
      </c>
      <c r="C72" s="21">
        <v>2500</v>
      </c>
      <c r="D72" s="21" t="s">
        <v>73</v>
      </c>
      <c r="E72" s="21" t="s">
        <v>313</v>
      </c>
      <c r="F72" s="21" t="s">
        <v>314</v>
      </c>
      <c r="G72" s="21" t="s">
        <v>125</v>
      </c>
      <c r="H72" s="21" t="s">
        <v>126</v>
      </c>
      <c r="I72" s="21" t="s">
        <v>65</v>
      </c>
      <c r="J72" s="21" t="s">
        <v>61</v>
      </c>
      <c r="K72" s="21" t="s">
        <v>66</v>
      </c>
      <c r="L72" s="21" t="s">
        <v>76</v>
      </c>
      <c r="M72" s="21" t="s">
        <v>60</v>
      </c>
      <c r="N72" s="21" t="s">
        <v>61</v>
      </c>
      <c r="O72" s="21" t="s">
        <v>77</v>
      </c>
      <c r="P72" s="21">
        <v>5.3</v>
      </c>
      <c r="Q72" s="21">
        <v>8.4</v>
      </c>
      <c r="R72" s="21">
        <v>13.8</v>
      </c>
      <c r="S72" s="21">
        <v>3.6</v>
      </c>
      <c r="T72" s="21">
        <v>757</v>
      </c>
      <c r="U72" s="21">
        <v>10222</v>
      </c>
      <c r="V72" s="21">
        <v>0</v>
      </c>
      <c r="W72" s="21">
        <f t="shared" si="15"/>
        <v>11010.1</v>
      </c>
      <c r="X72" s="2" t="str">
        <f t="shared" si="17"/>
        <v>3</v>
      </c>
      <c r="Y72" s="2" t="str">
        <f t="shared" si="16"/>
        <v>1</v>
      </c>
      <c r="Z72" s="3">
        <f t="shared" si="18"/>
        <v>2</v>
      </c>
      <c r="AA72" s="21">
        <v>27</v>
      </c>
      <c r="AB72" s="21">
        <v>17</v>
      </c>
      <c r="AC72" s="21">
        <v>0.02</v>
      </c>
      <c r="AD72" s="21">
        <v>43.8</v>
      </c>
      <c r="AE72" s="21">
        <f t="shared" si="19"/>
        <v>2190</v>
      </c>
      <c r="AF72" s="21" t="str">
        <f t="shared" si="20"/>
        <v>3</v>
      </c>
      <c r="AG72" s="21" t="str">
        <f t="shared" si="21"/>
        <v>1</v>
      </c>
      <c r="AH72" s="22">
        <f t="shared" si="22"/>
        <v>2</v>
      </c>
      <c r="AI72" s="21">
        <v>3</v>
      </c>
      <c r="AJ72" s="21">
        <v>41.84</v>
      </c>
      <c r="AK72" s="21">
        <f>AJ72*0.86</f>
        <v>35.982400000000005</v>
      </c>
      <c r="AL72" s="21">
        <v>104.59</v>
      </c>
      <c r="AM72" s="21">
        <f>AL72*0.86</f>
        <v>89.947400000000002</v>
      </c>
      <c r="AN72" s="21" t="s">
        <v>61</v>
      </c>
      <c r="AO72" s="21" t="s">
        <v>61</v>
      </c>
      <c r="AP72" s="21">
        <v>86</v>
      </c>
      <c r="AQ72" s="23" t="str">
        <f t="shared" si="23"/>
        <v>3</v>
      </c>
      <c r="AR72" s="21">
        <v>1</v>
      </c>
      <c r="AS72" s="21">
        <v>1</v>
      </c>
      <c r="AT72" s="21">
        <v>1</v>
      </c>
      <c r="AU72" s="21">
        <v>1</v>
      </c>
      <c r="AV72" s="21">
        <v>1</v>
      </c>
      <c r="AW72" s="21" t="s">
        <v>61</v>
      </c>
      <c r="AX72" s="21">
        <v>1</v>
      </c>
      <c r="AY72" s="21">
        <v>1998</v>
      </c>
      <c r="AZ72" s="21">
        <f t="shared" si="24"/>
        <v>26</v>
      </c>
      <c r="BA72" s="21" t="str">
        <f t="shared" si="25"/>
        <v>3</v>
      </c>
      <c r="BB72" s="22">
        <f>(BA72+AX72+AS72+AQ72+AH72+Z72)/4</f>
        <v>3</v>
      </c>
      <c r="BC72" s="21" t="s">
        <v>111</v>
      </c>
      <c r="BD72" s="24" t="s">
        <v>315</v>
      </c>
      <c r="BE72" s="21" t="s">
        <v>316</v>
      </c>
      <c r="BF72" s="21">
        <v>58500000</v>
      </c>
      <c r="BG72" s="21">
        <v>67800000</v>
      </c>
      <c r="BH72" s="21">
        <v>21000000</v>
      </c>
      <c r="BI72" s="21">
        <v>29016</v>
      </c>
      <c r="BJ72" s="21">
        <v>86076</v>
      </c>
      <c r="BK72" s="21">
        <v>6.4</v>
      </c>
    </row>
    <row r="73" spans="1:63" ht="64" hidden="1" x14ac:dyDescent="0.2">
      <c r="A73" s="2">
        <v>20700080</v>
      </c>
      <c r="B73" s="2">
        <v>98334853</v>
      </c>
      <c r="C73" s="2">
        <v>1000</v>
      </c>
      <c r="D73" s="2" t="s">
        <v>73</v>
      </c>
      <c r="E73" s="2" t="s">
        <v>317</v>
      </c>
      <c r="F73" s="9" t="s">
        <v>318</v>
      </c>
      <c r="G73" s="2" t="s">
        <v>58</v>
      </c>
      <c r="H73" s="2" t="s">
        <v>59</v>
      </c>
      <c r="I73" s="2" t="s">
        <v>65</v>
      </c>
      <c r="J73" s="2" t="s">
        <v>61</v>
      </c>
      <c r="K73" s="2" t="s">
        <v>66</v>
      </c>
      <c r="L73" s="2" t="s">
        <v>76</v>
      </c>
      <c r="M73" s="2" t="s">
        <v>60</v>
      </c>
      <c r="N73" s="2" t="s">
        <v>61</v>
      </c>
      <c r="O73" s="2" t="s">
        <v>77</v>
      </c>
      <c r="P73" s="2">
        <v>699</v>
      </c>
      <c r="Q73" s="2">
        <v>2.8</v>
      </c>
      <c r="R73" s="2">
        <v>1.8</v>
      </c>
      <c r="S73" s="2">
        <v>0.5</v>
      </c>
      <c r="T73" s="2">
        <v>205</v>
      </c>
      <c r="U73" s="2">
        <v>2471</v>
      </c>
      <c r="V73" s="2">
        <v>0</v>
      </c>
      <c r="W73" s="2">
        <v>3380.1</v>
      </c>
      <c r="X73" s="2" t="s">
        <v>319</v>
      </c>
      <c r="Y73" s="2" t="s">
        <v>319</v>
      </c>
      <c r="Z73" s="3">
        <v>1</v>
      </c>
      <c r="AA73" s="2">
        <v>38</v>
      </c>
      <c r="AB73" s="2">
        <v>17</v>
      </c>
      <c r="AC73" s="2">
        <v>0.02</v>
      </c>
      <c r="AD73" s="2">
        <v>36</v>
      </c>
      <c r="AE73" s="2">
        <v>1800</v>
      </c>
      <c r="AF73" s="2" t="s">
        <v>319</v>
      </c>
      <c r="AG73" s="2" t="s">
        <v>319</v>
      </c>
      <c r="AH73" s="3">
        <v>1</v>
      </c>
      <c r="AI73" s="2">
        <v>3</v>
      </c>
      <c r="AJ73" s="2">
        <v>16.739999999999998</v>
      </c>
      <c r="AK73" s="2"/>
      <c r="AL73" s="2">
        <v>41.84</v>
      </c>
      <c r="AM73" s="2"/>
      <c r="AN73" s="2" t="s">
        <v>61</v>
      </c>
      <c r="AO73" s="2"/>
      <c r="AP73" s="2"/>
      <c r="AQ73" s="19"/>
      <c r="AR73" s="2">
        <v>1</v>
      </c>
      <c r="AS73" s="2">
        <v>1</v>
      </c>
      <c r="AT73" s="2">
        <v>1</v>
      </c>
      <c r="AU73" s="2">
        <v>1</v>
      </c>
      <c r="AV73" s="2">
        <v>1</v>
      </c>
      <c r="AW73" s="2" t="s">
        <v>61</v>
      </c>
      <c r="AX73" s="2">
        <v>1</v>
      </c>
      <c r="AY73" s="2">
        <v>1987</v>
      </c>
      <c r="AZ73" s="2">
        <v>38</v>
      </c>
      <c r="BA73" s="2" t="s">
        <v>320</v>
      </c>
      <c r="BB73" s="3">
        <f>(BA73+AX73+AS73+AQ73+AH73+Z73)/6</f>
        <v>1.5</v>
      </c>
      <c r="BC73" s="2" t="s">
        <v>105</v>
      </c>
      <c r="BD73" s="8" t="s">
        <v>106</v>
      </c>
      <c r="BE73" s="2" t="s">
        <v>321</v>
      </c>
      <c r="BF73" s="26"/>
      <c r="BG73" s="26">
        <v>48500000</v>
      </c>
      <c r="BH73" s="26">
        <v>4500000</v>
      </c>
      <c r="BI73" s="2">
        <v>32312</v>
      </c>
      <c r="BJ73" s="2">
        <v>86621</v>
      </c>
      <c r="BK73" s="2">
        <v>1.2</v>
      </c>
    </row>
    <row r="74" spans="1:63" ht="80" hidden="1" x14ac:dyDescent="0.2">
      <c r="A74" s="2">
        <v>20700394</v>
      </c>
      <c r="B74" s="2">
        <v>200714</v>
      </c>
      <c r="C74" s="2">
        <v>6500</v>
      </c>
      <c r="D74" s="2" t="s">
        <v>73</v>
      </c>
      <c r="E74" s="2" t="s">
        <v>322</v>
      </c>
      <c r="F74" s="2" t="s">
        <v>323</v>
      </c>
      <c r="G74" s="2" t="s">
        <v>125</v>
      </c>
      <c r="H74" s="2" t="s">
        <v>148</v>
      </c>
      <c r="I74" s="2" t="s">
        <v>81</v>
      </c>
      <c r="J74" s="2" t="s">
        <v>82</v>
      </c>
      <c r="K74" s="2" t="s">
        <v>66</v>
      </c>
      <c r="L74" s="2" t="s">
        <v>76</v>
      </c>
      <c r="M74" s="2" t="s">
        <v>60</v>
      </c>
      <c r="N74" s="2" t="s">
        <v>61</v>
      </c>
      <c r="O74" s="2" t="s">
        <v>83</v>
      </c>
      <c r="P74" s="2">
        <v>1.8</v>
      </c>
      <c r="Q74" s="2">
        <v>29</v>
      </c>
      <c r="R74" s="2">
        <v>16.3</v>
      </c>
      <c r="S74" s="2">
        <v>5.0999999999999996</v>
      </c>
      <c r="T74" s="2">
        <v>1794</v>
      </c>
      <c r="U74" s="2">
        <v>5111</v>
      </c>
      <c r="V74" s="2">
        <v>0</v>
      </c>
      <c r="W74" s="2">
        <f>(P74+Q74+T74+R74+S74+U74)</f>
        <v>6957.2</v>
      </c>
      <c r="X74" s="2" t="str">
        <f t="shared" si="17"/>
        <v>3</v>
      </c>
      <c r="Y74" s="2" t="str">
        <f t="shared" ref="Y74:Y105" si="26">IF(V74&gt;=16,"5",IF(V74&gt;=15,"4",IF(V74&gt;=12,"3",IF(V74&gt;=7,"2","1"))))</f>
        <v>1</v>
      </c>
      <c r="Z74" s="3">
        <f t="shared" si="18"/>
        <v>2</v>
      </c>
      <c r="AA74" s="2">
        <v>59</v>
      </c>
      <c r="AB74" s="2">
        <v>6</v>
      </c>
      <c r="AC74" s="2">
        <v>0.02</v>
      </c>
      <c r="AD74" s="2">
        <v>36.4</v>
      </c>
      <c r="AE74" s="2">
        <f t="shared" si="19"/>
        <v>1820</v>
      </c>
      <c r="AF74" s="2" t="str">
        <f t="shared" si="20"/>
        <v>1</v>
      </c>
      <c r="AG74" s="2" t="str">
        <f t="shared" si="21"/>
        <v>1</v>
      </c>
      <c r="AH74" s="3">
        <f t="shared" si="22"/>
        <v>1</v>
      </c>
      <c r="AI74" s="2">
        <v>3</v>
      </c>
      <c r="AJ74" s="2">
        <v>111.6</v>
      </c>
      <c r="AK74" s="2">
        <f>AJ74*0.55</f>
        <v>61.38</v>
      </c>
      <c r="AL74" s="2">
        <v>271.89999999999998</v>
      </c>
      <c r="AM74" s="2">
        <f>AL74*0.55</f>
        <v>149.54499999999999</v>
      </c>
      <c r="AN74" s="2" t="s">
        <v>61</v>
      </c>
      <c r="AO74" s="2" t="s">
        <v>61</v>
      </c>
      <c r="AP74" s="2">
        <v>55</v>
      </c>
      <c r="AQ74" s="19" t="str">
        <f t="shared" si="23"/>
        <v>1</v>
      </c>
      <c r="AR74" s="2">
        <v>1</v>
      </c>
      <c r="AS74" s="2">
        <v>1</v>
      </c>
      <c r="AT74" s="2">
        <v>1</v>
      </c>
      <c r="AU74" s="2">
        <v>1</v>
      </c>
      <c r="AV74" s="2">
        <v>1</v>
      </c>
      <c r="AW74" s="2" t="s">
        <v>61</v>
      </c>
      <c r="AX74" s="2">
        <v>1</v>
      </c>
      <c r="AY74" s="2">
        <v>2009</v>
      </c>
      <c r="AZ74" s="2">
        <f t="shared" si="24"/>
        <v>15</v>
      </c>
      <c r="BA74" s="2" t="str">
        <f t="shared" si="25"/>
        <v>2</v>
      </c>
      <c r="BB74" s="3">
        <f>(BA74+AX74+AS74+AQ74+AH74+Z74)/7</f>
        <v>1.1428571428571428</v>
      </c>
      <c r="BC74" s="2" t="s">
        <v>107</v>
      </c>
      <c r="BD74" s="8" t="s">
        <v>139</v>
      </c>
      <c r="BE74" s="2" t="s">
        <v>140</v>
      </c>
      <c r="BF74" s="2"/>
      <c r="BG74" s="2"/>
      <c r="BH74" s="2"/>
      <c r="BI74" s="2">
        <v>7154</v>
      </c>
      <c r="BJ74" s="2">
        <v>78465</v>
      </c>
      <c r="BK74" s="2">
        <v>9.5</v>
      </c>
    </row>
    <row r="75" spans="1:63" ht="64" hidden="1" x14ac:dyDescent="0.2">
      <c r="A75" s="2">
        <v>20017166</v>
      </c>
      <c r="B75" s="2">
        <v>1057609449</v>
      </c>
      <c r="C75" s="2">
        <v>20000</v>
      </c>
      <c r="D75" s="2" t="s">
        <v>152</v>
      </c>
      <c r="E75" s="2" t="s">
        <v>324</v>
      </c>
      <c r="F75" s="2" t="s">
        <v>325</v>
      </c>
      <c r="G75" s="2" t="s">
        <v>70</v>
      </c>
      <c r="H75" s="2" t="s">
        <v>70</v>
      </c>
      <c r="I75" s="2" t="s">
        <v>81</v>
      </c>
      <c r="J75" s="2" t="s">
        <v>82</v>
      </c>
      <c r="K75" s="2" t="s">
        <v>48</v>
      </c>
      <c r="L75" s="2">
        <v>66</v>
      </c>
      <c r="M75" s="31" t="s">
        <v>60</v>
      </c>
      <c r="N75" s="31" t="s">
        <v>61</v>
      </c>
      <c r="O75" s="2" t="s">
        <v>177</v>
      </c>
      <c r="P75" s="2">
        <v>9</v>
      </c>
      <c r="Q75" s="2">
        <v>7.5</v>
      </c>
      <c r="R75" s="2">
        <v>1.2</v>
      </c>
      <c r="S75" s="2">
        <v>1.8</v>
      </c>
      <c r="T75" s="2">
        <v>1112</v>
      </c>
      <c r="U75" s="2">
        <v>2933</v>
      </c>
      <c r="V75" s="2">
        <v>0</v>
      </c>
      <c r="W75" s="2">
        <f>(P75+Q75+T75+R75+S75+U75)</f>
        <v>4064.5</v>
      </c>
      <c r="X75" s="2" t="str">
        <f t="shared" si="17"/>
        <v>2</v>
      </c>
      <c r="Y75" s="2" t="str">
        <f t="shared" si="26"/>
        <v>1</v>
      </c>
      <c r="Z75" s="3">
        <f t="shared" si="18"/>
        <v>1.5</v>
      </c>
      <c r="AA75" s="2">
        <v>42</v>
      </c>
      <c r="AB75" s="2">
        <v>10</v>
      </c>
      <c r="AC75" s="2">
        <v>0.02</v>
      </c>
      <c r="AD75" s="2">
        <v>44.3</v>
      </c>
      <c r="AE75" s="2">
        <f t="shared" si="19"/>
        <v>2215</v>
      </c>
      <c r="AF75" s="2" t="str">
        <f t="shared" si="20"/>
        <v>1</v>
      </c>
      <c r="AG75" s="2" t="str">
        <f t="shared" si="21"/>
        <v>1</v>
      </c>
      <c r="AH75" s="3">
        <f t="shared" si="22"/>
        <v>1</v>
      </c>
      <c r="AI75" s="2">
        <v>1</v>
      </c>
      <c r="AJ75" s="2">
        <v>175</v>
      </c>
      <c r="AK75" s="2">
        <f>AJ75*0.49</f>
        <v>85.75</v>
      </c>
      <c r="AL75" s="2">
        <v>807.5</v>
      </c>
      <c r="AM75" s="2">
        <f>AL75*0.49</f>
        <v>395.67500000000001</v>
      </c>
      <c r="AN75" s="2" t="s">
        <v>61</v>
      </c>
      <c r="AO75" s="2" t="s">
        <v>61</v>
      </c>
      <c r="AP75" s="2">
        <v>49</v>
      </c>
      <c r="AQ75" s="19" t="str">
        <f t="shared" si="23"/>
        <v>1</v>
      </c>
      <c r="AR75" s="2">
        <v>1</v>
      </c>
      <c r="AS75" s="2">
        <v>1</v>
      </c>
      <c r="AT75" s="2">
        <v>1</v>
      </c>
      <c r="AU75" s="2">
        <v>1</v>
      </c>
      <c r="AV75" s="2">
        <v>1</v>
      </c>
      <c r="AW75" s="2">
        <v>1</v>
      </c>
      <c r="AX75" s="2">
        <v>1</v>
      </c>
      <c r="AY75" s="2">
        <v>2021</v>
      </c>
      <c r="AZ75" s="2">
        <f t="shared" si="24"/>
        <v>3</v>
      </c>
      <c r="BA75" s="2" t="str">
        <f t="shared" si="25"/>
        <v>1</v>
      </c>
      <c r="BB75" s="3">
        <f>(BA75+AX75+AS75+AQ75+AH75+Z75)/7</f>
        <v>0.9285714285714286</v>
      </c>
      <c r="BC75" s="2" t="s">
        <v>107</v>
      </c>
      <c r="BD75" s="8" t="s">
        <v>120</v>
      </c>
      <c r="BE75" s="2"/>
      <c r="BF75" s="31"/>
      <c r="BG75" s="31"/>
      <c r="BH75" s="31"/>
      <c r="BI75" s="2">
        <v>6162</v>
      </c>
      <c r="BJ75" s="2">
        <v>75151</v>
      </c>
      <c r="BK75" s="2">
        <v>2.2000000000000002</v>
      </c>
    </row>
    <row r="76" spans="1:63" s="25" customFormat="1" ht="32" x14ac:dyDescent="0.2">
      <c r="A76" s="21">
        <v>20017166</v>
      </c>
      <c r="B76" s="21">
        <v>430659</v>
      </c>
      <c r="C76" s="21">
        <v>20000</v>
      </c>
      <c r="D76" s="21" t="s">
        <v>152</v>
      </c>
      <c r="E76" s="5" t="s">
        <v>324</v>
      </c>
      <c r="F76" s="21" t="s">
        <v>326</v>
      </c>
      <c r="G76" s="21" t="s">
        <v>70</v>
      </c>
      <c r="H76" s="21" t="s">
        <v>70</v>
      </c>
      <c r="I76" s="21" t="s">
        <v>81</v>
      </c>
      <c r="J76" s="21" t="s">
        <v>82</v>
      </c>
      <c r="K76" s="21" t="s">
        <v>48</v>
      </c>
      <c r="L76" s="21">
        <v>66</v>
      </c>
      <c r="M76" s="32" t="s">
        <v>60</v>
      </c>
      <c r="N76" s="32" t="s">
        <v>61</v>
      </c>
      <c r="O76" s="21" t="s">
        <v>177</v>
      </c>
      <c r="P76" s="21">
        <v>15.7</v>
      </c>
      <c r="Q76" s="21">
        <v>29</v>
      </c>
      <c r="R76" s="21">
        <v>168</v>
      </c>
      <c r="S76" s="21">
        <v>51</v>
      </c>
      <c r="T76" s="21">
        <v>256</v>
      </c>
      <c r="U76" s="21">
        <v>5116</v>
      </c>
      <c r="V76" s="21">
        <v>1.4</v>
      </c>
      <c r="W76" s="21">
        <f>(P76+Q76+T76+R76+S76+U76)</f>
        <v>5635.7</v>
      </c>
      <c r="X76" s="21" t="str">
        <f t="shared" si="17"/>
        <v>2</v>
      </c>
      <c r="Y76" s="21" t="str">
        <f t="shared" si="26"/>
        <v>1</v>
      </c>
      <c r="Z76" s="22">
        <f t="shared" si="18"/>
        <v>1.5</v>
      </c>
      <c r="AA76" s="21">
        <v>34</v>
      </c>
      <c r="AB76" s="21">
        <v>15</v>
      </c>
      <c r="AC76" s="21">
        <v>0.03</v>
      </c>
      <c r="AD76" s="21">
        <v>31.2</v>
      </c>
      <c r="AE76" s="21">
        <f t="shared" si="19"/>
        <v>1040</v>
      </c>
      <c r="AF76" s="21" t="str">
        <f t="shared" si="20"/>
        <v>1</v>
      </c>
      <c r="AG76" s="21" t="str">
        <f t="shared" si="21"/>
        <v>2</v>
      </c>
      <c r="AH76" s="22">
        <f t="shared" si="22"/>
        <v>1.5</v>
      </c>
      <c r="AI76" s="21">
        <v>5</v>
      </c>
      <c r="AJ76" s="21">
        <v>175</v>
      </c>
      <c r="AK76" s="21">
        <f>AJ76*0.49</f>
        <v>85.75</v>
      </c>
      <c r="AL76" s="21">
        <v>807</v>
      </c>
      <c r="AM76" s="21">
        <f>AL76*0.49</f>
        <v>395.43</v>
      </c>
      <c r="AN76" s="21" t="s">
        <v>61</v>
      </c>
      <c r="AO76" s="21" t="s">
        <v>61</v>
      </c>
      <c r="AP76" s="21">
        <v>49</v>
      </c>
      <c r="AQ76" s="23" t="str">
        <f t="shared" si="23"/>
        <v>1</v>
      </c>
      <c r="AR76" s="21">
        <v>5</v>
      </c>
      <c r="AS76" s="21">
        <v>5</v>
      </c>
      <c r="AT76" s="21">
        <v>1</v>
      </c>
      <c r="AU76" s="21">
        <v>1</v>
      </c>
      <c r="AV76" s="21">
        <v>5</v>
      </c>
      <c r="AW76" s="21">
        <v>1</v>
      </c>
      <c r="AX76" s="21">
        <v>5</v>
      </c>
      <c r="AY76" s="21">
        <v>1969</v>
      </c>
      <c r="AZ76" s="21">
        <f t="shared" si="24"/>
        <v>55</v>
      </c>
      <c r="BA76" s="21" t="str">
        <f>IF(AZ76&gt;=36,"5",IF(AZ76&gt;=31,"4",IF(AZ76&gt;=21,"3",IF(AZ76&gt;=7,"2","1"))))</f>
        <v>5</v>
      </c>
      <c r="BB76" s="22">
        <f>(BA76+AX76+AS76+AQ76+AH76+Z76)/5</f>
        <v>3.8</v>
      </c>
      <c r="BC76" s="21" t="s">
        <v>184</v>
      </c>
      <c r="BD76" s="24" t="s">
        <v>327</v>
      </c>
      <c r="BE76" s="21" t="s">
        <v>328</v>
      </c>
      <c r="BF76" s="32">
        <v>45600000</v>
      </c>
      <c r="BG76" s="32">
        <v>895000000</v>
      </c>
      <c r="BH76" s="32">
        <v>90000000</v>
      </c>
      <c r="BI76" s="21">
        <v>31958</v>
      </c>
      <c r="BJ76" s="21">
        <v>78975</v>
      </c>
      <c r="BK76" s="21">
        <v>699</v>
      </c>
    </row>
    <row r="77" spans="1:63" ht="64" hidden="1" x14ac:dyDescent="0.2">
      <c r="A77" s="2">
        <v>20017166</v>
      </c>
      <c r="B77" s="2">
        <v>10769355362</v>
      </c>
      <c r="C77" s="2">
        <v>30000</v>
      </c>
      <c r="D77" s="2" t="s">
        <v>152</v>
      </c>
      <c r="E77" s="2" t="s">
        <v>324</v>
      </c>
      <c r="F77" s="2" t="s">
        <v>329</v>
      </c>
      <c r="G77" s="2" t="s">
        <v>70</v>
      </c>
      <c r="H77" s="2" t="s">
        <v>70</v>
      </c>
      <c r="I77" s="2" t="s">
        <v>81</v>
      </c>
      <c r="J77" s="2" t="s">
        <v>82</v>
      </c>
      <c r="K77" s="2" t="s">
        <v>48</v>
      </c>
      <c r="L77" s="2">
        <v>66</v>
      </c>
      <c r="M77" s="2" t="s">
        <v>137</v>
      </c>
      <c r="N77" s="2" t="s">
        <v>60</v>
      </c>
      <c r="O77" s="2" t="s">
        <v>189</v>
      </c>
      <c r="P77" s="21"/>
      <c r="Q77" s="21"/>
      <c r="R77" s="21"/>
      <c r="S77" s="21"/>
      <c r="T77" s="21"/>
      <c r="U77" s="21"/>
      <c r="V77" s="21"/>
      <c r="W77" s="2"/>
      <c r="X77" s="2" t="str">
        <f t="shared" si="17"/>
        <v>1</v>
      </c>
      <c r="Y77" s="2" t="str">
        <f t="shared" si="26"/>
        <v>1</v>
      </c>
      <c r="Z77" s="3">
        <f t="shared" si="18"/>
        <v>1</v>
      </c>
      <c r="AA77" s="21"/>
      <c r="AB77" s="21"/>
      <c r="AC77" s="21"/>
      <c r="AD77" s="21"/>
      <c r="AE77" s="2" t="e">
        <f t="shared" si="19"/>
        <v>#DIV/0!</v>
      </c>
      <c r="AF77" s="2" t="str">
        <f t="shared" si="20"/>
        <v>5</v>
      </c>
      <c r="AG77" s="2" t="e">
        <f t="shared" si="21"/>
        <v>#DIV/0!</v>
      </c>
      <c r="AH77" s="3" t="e">
        <f t="shared" si="22"/>
        <v>#DIV/0!</v>
      </c>
      <c r="AI77" s="2">
        <v>1</v>
      </c>
      <c r="AJ77" s="2">
        <v>262.39999999999998</v>
      </c>
      <c r="AK77" s="2">
        <f>AJ77*0.54</f>
        <v>141.696</v>
      </c>
      <c r="AL77" s="2">
        <v>502</v>
      </c>
      <c r="AM77" s="2">
        <f>AL77*0.54</f>
        <v>271.08000000000004</v>
      </c>
      <c r="AN77" s="2" t="s">
        <v>61</v>
      </c>
      <c r="AO77" s="2" t="s">
        <v>61</v>
      </c>
      <c r="AP77" s="2">
        <v>54</v>
      </c>
      <c r="AQ77" s="19" t="str">
        <f t="shared" si="23"/>
        <v>1</v>
      </c>
      <c r="AR77" s="2">
        <v>1</v>
      </c>
      <c r="AS77" s="2">
        <v>1</v>
      </c>
      <c r="AT77" s="2">
        <v>1</v>
      </c>
      <c r="AU77" s="2">
        <v>1</v>
      </c>
      <c r="AV77" s="2">
        <v>1</v>
      </c>
      <c r="AW77" s="2">
        <v>1</v>
      </c>
      <c r="AX77" s="2">
        <v>1</v>
      </c>
      <c r="AY77" s="2">
        <v>2023</v>
      </c>
      <c r="AZ77" s="2">
        <f t="shared" si="24"/>
        <v>1</v>
      </c>
      <c r="BA77" s="2" t="str">
        <f>IF(AZ77&gt;=36,"5",IF(AZ77&gt;=31,"4",IF(AZ77&gt;=21,"3",IF(AZ77&gt;=7,"2","1"))))</f>
        <v>1</v>
      </c>
      <c r="BB77" s="3">
        <v>1</v>
      </c>
      <c r="BC77" s="2" t="s">
        <v>107</v>
      </c>
      <c r="BD77" s="8" t="s">
        <v>120</v>
      </c>
      <c r="BE77" s="2"/>
      <c r="BF77" s="2"/>
      <c r="BG77" s="2"/>
      <c r="BH77" s="2"/>
      <c r="BI77" s="21"/>
      <c r="BJ77" s="21"/>
      <c r="BK77" s="21"/>
    </row>
    <row r="78" spans="1:63" ht="64" hidden="1" x14ac:dyDescent="0.2">
      <c r="A78" s="2">
        <v>20700518</v>
      </c>
      <c r="B78" s="2">
        <v>200005</v>
      </c>
      <c r="C78" s="2">
        <v>6000</v>
      </c>
      <c r="D78" s="2" t="s">
        <v>73</v>
      </c>
      <c r="E78" s="2" t="s">
        <v>330</v>
      </c>
      <c r="F78" s="2" t="s">
        <v>331</v>
      </c>
      <c r="G78" s="2" t="s">
        <v>58</v>
      </c>
      <c r="H78" s="2" t="s">
        <v>64</v>
      </c>
      <c r="I78" s="2" t="s">
        <v>81</v>
      </c>
      <c r="J78" s="2" t="s">
        <v>61</v>
      </c>
      <c r="K78" s="2" t="s">
        <v>66</v>
      </c>
      <c r="L78" s="2" t="s">
        <v>76</v>
      </c>
      <c r="M78" s="2" t="s">
        <v>60</v>
      </c>
      <c r="N78" s="2" t="s">
        <v>61</v>
      </c>
      <c r="O78" s="2" t="s">
        <v>130</v>
      </c>
      <c r="P78" s="2">
        <v>6.1</v>
      </c>
      <c r="Q78" s="2">
        <v>14.1</v>
      </c>
      <c r="R78" s="2">
        <v>43</v>
      </c>
      <c r="S78" s="2">
        <v>7.5</v>
      </c>
      <c r="T78" s="2">
        <v>91</v>
      </c>
      <c r="U78" s="2">
        <v>1173</v>
      </c>
      <c r="V78" s="2">
        <v>0.7</v>
      </c>
      <c r="W78" s="2">
        <f t="shared" ref="W78:W101" si="27">(P78+Q78+T78+R78+S78+U78)</f>
        <v>1334.7</v>
      </c>
      <c r="X78" s="2" t="str">
        <f t="shared" si="17"/>
        <v>1</v>
      </c>
      <c r="Y78" s="2" t="str">
        <f t="shared" si="26"/>
        <v>1</v>
      </c>
      <c r="Z78" s="3">
        <f t="shared" si="18"/>
        <v>1</v>
      </c>
      <c r="AA78" s="2">
        <v>40</v>
      </c>
      <c r="AB78" s="2">
        <v>14</v>
      </c>
      <c r="AC78" s="2">
        <v>0.02</v>
      </c>
      <c r="AD78" s="2">
        <v>38.4</v>
      </c>
      <c r="AE78" s="2">
        <f t="shared" si="19"/>
        <v>1920</v>
      </c>
      <c r="AF78" s="2" t="str">
        <f t="shared" si="20"/>
        <v>1</v>
      </c>
      <c r="AG78" s="2" t="str">
        <f t="shared" si="21"/>
        <v>1</v>
      </c>
      <c r="AH78" s="3">
        <f t="shared" si="22"/>
        <v>1</v>
      </c>
      <c r="AI78" s="2">
        <v>1</v>
      </c>
      <c r="AJ78" s="2">
        <v>100.4</v>
      </c>
      <c r="AK78" s="2">
        <f>AJ78*0.64</f>
        <v>64.256</v>
      </c>
      <c r="AL78" s="2">
        <v>251.02</v>
      </c>
      <c r="AM78" s="2">
        <f>AL78*0.64</f>
        <v>160.65280000000001</v>
      </c>
      <c r="AN78" s="2" t="s">
        <v>61</v>
      </c>
      <c r="AO78" s="2" t="s">
        <v>61</v>
      </c>
      <c r="AP78" s="2">
        <v>64</v>
      </c>
      <c r="AQ78" s="19" t="str">
        <f t="shared" si="23"/>
        <v>1</v>
      </c>
      <c r="AR78" s="2">
        <v>1</v>
      </c>
      <c r="AS78" s="2">
        <v>1</v>
      </c>
      <c r="AT78" s="2">
        <v>1</v>
      </c>
      <c r="AU78" s="2">
        <v>1</v>
      </c>
      <c r="AV78" s="2">
        <v>1</v>
      </c>
      <c r="AW78" s="2" t="s">
        <v>61</v>
      </c>
      <c r="AX78" s="2">
        <v>1</v>
      </c>
      <c r="AY78" s="2">
        <v>1990</v>
      </c>
      <c r="AZ78" s="2">
        <f t="shared" si="24"/>
        <v>34</v>
      </c>
      <c r="BA78" s="2" t="str">
        <f t="shared" si="25"/>
        <v>4</v>
      </c>
      <c r="BB78" s="3">
        <f>(BA78+AX78+AS78+AQ78+AH78+Z78)/7</f>
        <v>1.2857142857142858</v>
      </c>
      <c r="BC78" s="2" t="s">
        <v>107</v>
      </c>
      <c r="BD78" s="8" t="s">
        <v>120</v>
      </c>
      <c r="BE78" s="2"/>
      <c r="BF78" s="2"/>
      <c r="BG78" s="2"/>
      <c r="BH78" s="2"/>
      <c r="BI78" s="2">
        <v>26728</v>
      </c>
      <c r="BJ78" s="2">
        <v>68223</v>
      </c>
      <c r="BK78" s="2">
        <v>68</v>
      </c>
    </row>
    <row r="79" spans="1:63" ht="64" hidden="1" x14ac:dyDescent="0.2">
      <c r="A79" s="2">
        <v>20037178</v>
      </c>
      <c r="B79" s="2">
        <v>1079537172</v>
      </c>
      <c r="C79" s="2">
        <v>12500</v>
      </c>
      <c r="D79" s="2" t="s">
        <v>73</v>
      </c>
      <c r="E79" s="2" t="s">
        <v>332</v>
      </c>
      <c r="F79" s="2" t="s">
        <v>333</v>
      </c>
      <c r="G79" s="2" t="s">
        <v>125</v>
      </c>
      <c r="H79" s="2" t="s">
        <v>148</v>
      </c>
      <c r="I79" s="2" t="s">
        <v>81</v>
      </c>
      <c r="J79" s="2" t="s">
        <v>82</v>
      </c>
      <c r="K79" s="2" t="s">
        <v>66</v>
      </c>
      <c r="L79" s="2" t="s">
        <v>76</v>
      </c>
      <c r="M79" s="31" t="s">
        <v>60</v>
      </c>
      <c r="N79" s="31" t="s">
        <v>61</v>
      </c>
      <c r="O79" s="2" t="s">
        <v>164</v>
      </c>
      <c r="P79" s="9">
        <v>2.2999999999999998</v>
      </c>
      <c r="Q79" s="9">
        <v>0.5</v>
      </c>
      <c r="R79" s="9">
        <v>0.5</v>
      </c>
      <c r="S79" s="9">
        <v>0.4</v>
      </c>
      <c r="T79" s="9">
        <v>59</v>
      </c>
      <c r="U79" s="9">
        <v>207</v>
      </c>
      <c r="V79" s="9">
        <v>0</v>
      </c>
      <c r="W79" s="2">
        <f t="shared" si="27"/>
        <v>269.7</v>
      </c>
      <c r="X79" s="2" t="str">
        <f t="shared" si="17"/>
        <v>1</v>
      </c>
      <c r="Y79" s="2" t="str">
        <f t="shared" si="26"/>
        <v>1</v>
      </c>
      <c r="Z79" s="3">
        <f t="shared" si="18"/>
        <v>1</v>
      </c>
      <c r="AA79" s="9">
        <v>54</v>
      </c>
      <c r="AB79" s="9">
        <v>5</v>
      </c>
      <c r="AC79" s="9">
        <v>0.02</v>
      </c>
      <c r="AD79" s="9">
        <v>50.6</v>
      </c>
      <c r="AE79" s="2">
        <f t="shared" si="19"/>
        <v>2530</v>
      </c>
      <c r="AF79" s="2" t="str">
        <f t="shared" si="20"/>
        <v>1</v>
      </c>
      <c r="AG79" s="2" t="str">
        <f t="shared" si="21"/>
        <v>1</v>
      </c>
      <c r="AH79" s="3">
        <f t="shared" si="22"/>
        <v>1</v>
      </c>
      <c r="AI79" s="2">
        <v>1</v>
      </c>
      <c r="AJ79" s="2">
        <v>251</v>
      </c>
      <c r="AK79" s="2">
        <f>AJ79*0.53</f>
        <v>133.03</v>
      </c>
      <c r="AL79" s="2">
        <v>627.6</v>
      </c>
      <c r="AM79" s="13">
        <f>AL79*0.53</f>
        <v>332.62800000000004</v>
      </c>
      <c r="AN79" s="2" t="s">
        <v>61</v>
      </c>
      <c r="AO79" s="2" t="s">
        <v>61</v>
      </c>
      <c r="AP79" s="2">
        <v>53</v>
      </c>
      <c r="AQ79" s="19" t="str">
        <f t="shared" si="23"/>
        <v>1</v>
      </c>
      <c r="AR79" s="2">
        <v>1</v>
      </c>
      <c r="AS79" s="2">
        <v>1</v>
      </c>
      <c r="AT79" s="2">
        <v>1</v>
      </c>
      <c r="AU79" s="2">
        <v>1</v>
      </c>
      <c r="AV79" s="2">
        <v>1</v>
      </c>
      <c r="AW79" s="2">
        <v>1</v>
      </c>
      <c r="AX79" s="2">
        <v>1</v>
      </c>
      <c r="AY79" s="2">
        <v>2023</v>
      </c>
      <c r="AZ79" s="2">
        <f t="shared" si="24"/>
        <v>1</v>
      </c>
      <c r="BA79" s="2" t="str">
        <f t="shared" si="25"/>
        <v>1</v>
      </c>
      <c r="BB79" s="3">
        <f>(BA79+AX79+AS79+AQ79+AI79+AH79+Z79)/7</f>
        <v>1</v>
      </c>
      <c r="BC79" s="2" t="s">
        <v>107</v>
      </c>
      <c r="BD79" s="8" t="s">
        <v>120</v>
      </c>
      <c r="BE79" s="2"/>
      <c r="BF79" s="31"/>
      <c r="BG79" s="31"/>
      <c r="BH79" s="31"/>
      <c r="BI79" s="9">
        <v>10548</v>
      </c>
      <c r="BJ79" s="9">
        <v>50559</v>
      </c>
      <c r="BK79" s="9">
        <v>0</v>
      </c>
    </row>
    <row r="80" spans="1:63" ht="48" hidden="1" x14ac:dyDescent="0.2">
      <c r="A80" s="2">
        <v>20027185</v>
      </c>
      <c r="B80" s="2">
        <v>200718</v>
      </c>
      <c r="C80" s="2">
        <v>30000</v>
      </c>
      <c r="D80" s="2" t="s">
        <v>152</v>
      </c>
      <c r="E80" s="2" t="s">
        <v>334</v>
      </c>
      <c r="F80" s="2" t="s">
        <v>335</v>
      </c>
      <c r="G80" s="2" t="s">
        <v>58</v>
      </c>
      <c r="H80" s="2" t="s">
        <v>59</v>
      </c>
      <c r="I80" s="2" t="s">
        <v>81</v>
      </c>
      <c r="J80" s="2" t="s">
        <v>82</v>
      </c>
      <c r="K80" s="2" t="s">
        <v>48</v>
      </c>
      <c r="L80" s="2" t="s">
        <v>137</v>
      </c>
      <c r="M80" s="31" t="s">
        <v>60</v>
      </c>
      <c r="N80" s="31" t="s">
        <v>61</v>
      </c>
      <c r="O80" s="35" t="s">
        <v>295</v>
      </c>
      <c r="P80" s="2">
        <v>28</v>
      </c>
      <c r="Q80" s="2">
        <v>42</v>
      </c>
      <c r="R80" s="2">
        <v>26</v>
      </c>
      <c r="S80" s="2">
        <v>7.5</v>
      </c>
      <c r="T80" s="2">
        <v>1024</v>
      </c>
      <c r="U80" s="2">
        <v>7067</v>
      </c>
      <c r="V80" s="2">
        <v>0.6</v>
      </c>
      <c r="W80" s="2">
        <f t="shared" si="27"/>
        <v>8194.5</v>
      </c>
      <c r="X80" s="2" t="str">
        <f t="shared" si="17"/>
        <v>3</v>
      </c>
      <c r="Y80" s="2" t="str">
        <f t="shared" si="26"/>
        <v>1</v>
      </c>
      <c r="Z80" s="3">
        <f t="shared" si="18"/>
        <v>2</v>
      </c>
      <c r="AA80" s="2">
        <v>41</v>
      </c>
      <c r="AB80" s="2">
        <v>11</v>
      </c>
      <c r="AC80" s="2">
        <v>0.02</v>
      </c>
      <c r="AD80" s="2">
        <v>39.9</v>
      </c>
      <c r="AE80" s="2">
        <f t="shared" si="19"/>
        <v>1995</v>
      </c>
      <c r="AF80" s="2" t="str">
        <f t="shared" si="20"/>
        <v>1</v>
      </c>
      <c r="AG80" s="2" t="str">
        <f t="shared" si="21"/>
        <v>1</v>
      </c>
      <c r="AH80" s="3">
        <f t="shared" si="22"/>
        <v>1</v>
      </c>
      <c r="AI80" s="2">
        <v>3</v>
      </c>
      <c r="AJ80" s="2">
        <v>5022</v>
      </c>
      <c r="AK80" s="2">
        <f>AJ80*0.85</f>
        <v>4268.7</v>
      </c>
      <c r="AL80" s="2">
        <v>1255.0999999999999</v>
      </c>
      <c r="AM80" s="2">
        <f>AL80*0.85</f>
        <v>1066.8349999999998</v>
      </c>
      <c r="AN80" s="2" t="s">
        <v>61</v>
      </c>
      <c r="AO80" s="2" t="s">
        <v>61</v>
      </c>
      <c r="AP80" s="2">
        <v>85</v>
      </c>
      <c r="AQ80" s="19" t="str">
        <f t="shared" si="23"/>
        <v>3</v>
      </c>
      <c r="AR80" s="2">
        <v>3</v>
      </c>
      <c r="AS80" s="2">
        <v>3</v>
      </c>
      <c r="AT80" s="2">
        <v>1</v>
      </c>
      <c r="AU80" s="2">
        <v>1</v>
      </c>
      <c r="AV80" s="2">
        <v>1</v>
      </c>
      <c r="AW80" s="2">
        <v>5</v>
      </c>
      <c r="AX80" s="2">
        <v>5</v>
      </c>
      <c r="AY80" s="2">
        <v>2009</v>
      </c>
      <c r="AZ80" s="2">
        <f t="shared" si="24"/>
        <v>15</v>
      </c>
      <c r="BA80" s="2" t="str">
        <f t="shared" si="25"/>
        <v>2</v>
      </c>
      <c r="BB80" s="3">
        <f>(BA80+AX80+AS80+AQ80+AH80+Z80)/5</f>
        <v>3.2</v>
      </c>
      <c r="BC80" s="2" t="s">
        <v>111</v>
      </c>
      <c r="BD80" s="8" t="s">
        <v>256</v>
      </c>
      <c r="BE80" s="2" t="s">
        <v>336</v>
      </c>
      <c r="BF80" s="31">
        <v>49800000</v>
      </c>
      <c r="BG80" s="31">
        <v>120000000</v>
      </c>
      <c r="BH80" s="31">
        <v>15000000</v>
      </c>
      <c r="BI80" s="2">
        <v>10087</v>
      </c>
      <c r="BJ80" s="2">
        <v>105417</v>
      </c>
      <c r="BK80" s="2">
        <v>9.4</v>
      </c>
    </row>
    <row r="81" spans="1:63" s="25" customFormat="1" ht="32" hidden="1" x14ac:dyDescent="0.2">
      <c r="A81" s="21">
        <v>20027185</v>
      </c>
      <c r="B81" s="21" t="s">
        <v>337</v>
      </c>
      <c r="C81" s="21">
        <v>30000</v>
      </c>
      <c r="D81" s="21" t="s">
        <v>152</v>
      </c>
      <c r="E81" s="51" t="s">
        <v>334</v>
      </c>
      <c r="F81" s="21" t="s">
        <v>338</v>
      </c>
      <c r="G81" s="21" t="s">
        <v>58</v>
      </c>
      <c r="H81" s="21" t="s">
        <v>59</v>
      </c>
      <c r="I81" s="21" t="s">
        <v>81</v>
      </c>
      <c r="J81" s="21" t="s">
        <v>143</v>
      </c>
      <c r="K81" s="21" t="s">
        <v>48</v>
      </c>
      <c r="L81" s="21" t="s">
        <v>137</v>
      </c>
      <c r="M81" s="32" t="s">
        <v>60</v>
      </c>
      <c r="N81" s="32" t="s">
        <v>61</v>
      </c>
      <c r="O81" s="33" t="s">
        <v>295</v>
      </c>
      <c r="P81" s="21">
        <v>10.1</v>
      </c>
      <c r="Q81" s="21">
        <v>3.6</v>
      </c>
      <c r="R81" s="21">
        <v>22</v>
      </c>
      <c r="S81" s="21">
        <v>0.8</v>
      </c>
      <c r="T81" s="21">
        <v>469</v>
      </c>
      <c r="U81" s="21">
        <v>3846</v>
      </c>
      <c r="V81" s="21">
        <v>0.3</v>
      </c>
      <c r="W81" s="21">
        <f t="shared" si="27"/>
        <v>4351.5</v>
      </c>
      <c r="X81" s="21" t="str">
        <f t="shared" si="17"/>
        <v>2</v>
      </c>
      <c r="Y81" s="21" t="str">
        <f t="shared" si="26"/>
        <v>1</v>
      </c>
      <c r="Z81" s="22">
        <f t="shared" si="18"/>
        <v>1.5</v>
      </c>
      <c r="AA81" s="21">
        <v>19</v>
      </c>
      <c r="AB81" s="21">
        <v>32</v>
      </c>
      <c r="AC81" s="21">
        <v>0.04</v>
      </c>
      <c r="AD81" s="21">
        <v>38.700000000000003</v>
      </c>
      <c r="AE81" s="21">
        <f t="shared" si="19"/>
        <v>967.5</v>
      </c>
      <c r="AF81" s="21" t="str">
        <f t="shared" si="20"/>
        <v>5</v>
      </c>
      <c r="AG81" s="21" t="str">
        <f t="shared" si="21"/>
        <v>2</v>
      </c>
      <c r="AH81" s="22">
        <f t="shared" si="22"/>
        <v>3.5</v>
      </c>
      <c r="AI81" s="21">
        <v>1</v>
      </c>
      <c r="AJ81" s="21">
        <v>502</v>
      </c>
      <c r="AK81" s="21">
        <f>AJ81*0.92</f>
        <v>461.84000000000003</v>
      </c>
      <c r="AL81" s="21">
        <v>1255.0999999999999</v>
      </c>
      <c r="AM81" s="21">
        <f>AL81*0.92</f>
        <v>1154.692</v>
      </c>
      <c r="AN81" s="21" t="s">
        <v>61</v>
      </c>
      <c r="AO81" s="21" t="s">
        <v>61</v>
      </c>
      <c r="AP81" s="21">
        <v>92</v>
      </c>
      <c r="AQ81" s="23" t="str">
        <f t="shared" si="23"/>
        <v>4</v>
      </c>
      <c r="AR81" s="21">
        <v>1</v>
      </c>
      <c r="AS81" s="21">
        <v>1</v>
      </c>
      <c r="AT81" s="21">
        <v>1</v>
      </c>
      <c r="AU81" s="21">
        <v>1</v>
      </c>
      <c r="AV81" s="21">
        <v>1</v>
      </c>
      <c r="AW81" s="21">
        <v>1</v>
      </c>
      <c r="AX81" s="21">
        <v>1</v>
      </c>
      <c r="AY81" s="21">
        <v>1998</v>
      </c>
      <c r="AZ81" s="21">
        <f t="shared" si="24"/>
        <v>26</v>
      </c>
      <c r="BA81" s="21" t="str">
        <f t="shared" si="25"/>
        <v>3</v>
      </c>
      <c r="BB81" s="22">
        <f>(BA81+AX81+AS81+AQ81+AH81+Z81)/3</f>
        <v>4.666666666666667</v>
      </c>
      <c r="BC81" s="21" t="s">
        <v>114</v>
      </c>
      <c r="BD81" s="24" t="s">
        <v>339</v>
      </c>
      <c r="BE81" s="21" t="s">
        <v>340</v>
      </c>
      <c r="BF81" s="32"/>
      <c r="BG81" s="32">
        <v>85400000</v>
      </c>
      <c r="BH81" s="32">
        <v>18000000</v>
      </c>
      <c r="BI81" s="21">
        <v>35666</v>
      </c>
      <c r="BJ81" s="21">
        <v>99893</v>
      </c>
      <c r="BK81" s="21">
        <v>4.2</v>
      </c>
    </row>
    <row r="82" spans="1:63" ht="64" hidden="1" x14ac:dyDescent="0.2">
      <c r="A82" s="2">
        <v>20700333</v>
      </c>
      <c r="B82" s="2">
        <v>1079537168</v>
      </c>
      <c r="C82" s="2">
        <v>5000</v>
      </c>
      <c r="D82" s="2" t="s">
        <v>73</v>
      </c>
      <c r="E82" s="2" t="s">
        <v>341</v>
      </c>
      <c r="F82" s="2" t="s">
        <v>342</v>
      </c>
      <c r="G82" s="2" t="s">
        <v>58</v>
      </c>
      <c r="H82" s="2" t="s">
        <v>70</v>
      </c>
      <c r="I82" s="2" t="s">
        <v>65</v>
      </c>
      <c r="J82" s="2" t="s">
        <v>61</v>
      </c>
      <c r="K82" s="2" t="s">
        <v>66</v>
      </c>
      <c r="L82" s="2" t="s">
        <v>76</v>
      </c>
      <c r="M82" s="2" t="s">
        <v>60</v>
      </c>
      <c r="N82" s="2" t="s">
        <v>61</v>
      </c>
      <c r="O82" s="2" t="s">
        <v>130</v>
      </c>
      <c r="P82" s="2">
        <v>0</v>
      </c>
      <c r="Q82" s="2">
        <v>0.2</v>
      </c>
      <c r="R82" s="2">
        <v>0</v>
      </c>
      <c r="S82" s="2">
        <v>0</v>
      </c>
      <c r="T82" s="2">
        <v>2</v>
      </c>
      <c r="U82" s="2">
        <v>50</v>
      </c>
      <c r="V82" s="2">
        <v>0</v>
      </c>
      <c r="W82" s="2">
        <f t="shared" si="27"/>
        <v>52.2</v>
      </c>
      <c r="X82" s="2" t="str">
        <f t="shared" si="17"/>
        <v>1</v>
      </c>
      <c r="Y82" s="2" t="str">
        <f t="shared" si="26"/>
        <v>1</v>
      </c>
      <c r="Z82" s="3">
        <f t="shared" si="18"/>
        <v>1</v>
      </c>
      <c r="AA82" s="2">
        <v>61</v>
      </c>
      <c r="AB82" s="2">
        <v>4</v>
      </c>
      <c r="AC82" s="2">
        <v>0.02</v>
      </c>
      <c r="AD82" s="2">
        <v>51.3</v>
      </c>
      <c r="AE82" s="2">
        <f t="shared" si="19"/>
        <v>2565</v>
      </c>
      <c r="AF82" s="2" t="str">
        <f t="shared" si="20"/>
        <v>1</v>
      </c>
      <c r="AG82" s="2" t="str">
        <f t="shared" si="21"/>
        <v>1</v>
      </c>
      <c r="AH82" s="3">
        <f t="shared" si="22"/>
        <v>1</v>
      </c>
      <c r="AI82" s="2">
        <v>1</v>
      </c>
      <c r="AJ82" s="2">
        <v>83.67</v>
      </c>
      <c r="AK82" s="2">
        <f>AJ82*0.39</f>
        <v>32.631300000000003</v>
      </c>
      <c r="AL82" s="2">
        <v>209.18</v>
      </c>
      <c r="AM82" s="2">
        <f>AL82*0.39</f>
        <v>81.580200000000005</v>
      </c>
      <c r="AN82" s="2" t="s">
        <v>61</v>
      </c>
      <c r="AO82" s="2" t="s">
        <v>61</v>
      </c>
      <c r="AP82" s="2">
        <v>39</v>
      </c>
      <c r="AQ82" s="19" t="str">
        <f t="shared" si="23"/>
        <v>1</v>
      </c>
      <c r="AR82" s="2">
        <v>1</v>
      </c>
      <c r="AS82" s="2">
        <v>1</v>
      </c>
      <c r="AT82" s="2">
        <v>1</v>
      </c>
      <c r="AU82" s="2">
        <v>1</v>
      </c>
      <c r="AV82" s="2">
        <v>1</v>
      </c>
      <c r="AW82" s="2" t="s">
        <v>61</v>
      </c>
      <c r="AX82" s="2">
        <v>1</v>
      </c>
      <c r="AY82" s="2">
        <v>2023</v>
      </c>
      <c r="AZ82" s="2">
        <f t="shared" si="24"/>
        <v>1</v>
      </c>
      <c r="BA82" s="2" t="str">
        <f t="shared" si="25"/>
        <v>1</v>
      </c>
      <c r="BB82" s="3">
        <f>(BA82+AX82+AS82+AQ82+AH82+Z82)/7</f>
        <v>0.8571428571428571</v>
      </c>
      <c r="BC82" s="2" t="s">
        <v>107</v>
      </c>
      <c r="BD82" s="8" t="s">
        <v>120</v>
      </c>
      <c r="BE82" s="2"/>
      <c r="BF82" s="2"/>
      <c r="BG82" s="2"/>
      <c r="BH82" s="2"/>
      <c r="BI82" s="2">
        <v>6124</v>
      </c>
      <c r="BJ82" s="2">
        <v>15012</v>
      </c>
      <c r="BK82" s="2">
        <v>0</v>
      </c>
    </row>
    <row r="83" spans="1:63" s="25" customFormat="1" ht="64" hidden="1" x14ac:dyDescent="0.2">
      <c r="A83" s="21">
        <v>20056589</v>
      </c>
      <c r="B83" s="21">
        <v>200103</v>
      </c>
      <c r="C83" s="21">
        <v>6500</v>
      </c>
      <c r="D83" s="21" t="s">
        <v>73</v>
      </c>
      <c r="E83" s="21" t="s">
        <v>343</v>
      </c>
      <c r="F83" s="21" t="s">
        <v>344</v>
      </c>
      <c r="G83" s="21" t="s">
        <v>125</v>
      </c>
      <c r="H83" s="21" t="s">
        <v>126</v>
      </c>
      <c r="I83" s="21" t="s">
        <v>81</v>
      </c>
      <c r="J83" s="21" t="s">
        <v>82</v>
      </c>
      <c r="K83" s="21" t="s">
        <v>66</v>
      </c>
      <c r="L83" s="21" t="s">
        <v>76</v>
      </c>
      <c r="M83" s="21" t="s">
        <v>60</v>
      </c>
      <c r="N83" s="21" t="s">
        <v>61</v>
      </c>
      <c r="O83" s="21" t="s">
        <v>83</v>
      </c>
      <c r="P83" s="21">
        <v>0.7</v>
      </c>
      <c r="Q83" s="21">
        <v>0.7</v>
      </c>
      <c r="R83" s="21">
        <v>0.2</v>
      </c>
      <c r="S83" s="21">
        <v>0.1</v>
      </c>
      <c r="T83" s="21">
        <v>22</v>
      </c>
      <c r="U83" s="21">
        <v>148</v>
      </c>
      <c r="V83" s="21">
        <v>0</v>
      </c>
      <c r="W83" s="21">
        <f t="shared" si="27"/>
        <v>171.7</v>
      </c>
      <c r="X83" s="2" t="str">
        <f t="shared" si="17"/>
        <v>1</v>
      </c>
      <c r="Y83" s="2" t="str">
        <f t="shared" si="26"/>
        <v>1</v>
      </c>
      <c r="Z83" s="3">
        <f t="shared" si="18"/>
        <v>1</v>
      </c>
      <c r="AA83" s="21">
        <v>46</v>
      </c>
      <c r="AB83" s="21">
        <v>7</v>
      </c>
      <c r="AC83" s="21">
        <v>0.02</v>
      </c>
      <c r="AD83" s="21">
        <v>47.4</v>
      </c>
      <c r="AE83" s="21">
        <f t="shared" si="19"/>
        <v>2370</v>
      </c>
      <c r="AF83" s="21" t="str">
        <f t="shared" si="20"/>
        <v>1</v>
      </c>
      <c r="AG83" s="21" t="str">
        <f t="shared" si="21"/>
        <v>1</v>
      </c>
      <c r="AH83" s="22">
        <f t="shared" si="22"/>
        <v>1</v>
      </c>
      <c r="AI83" s="21">
        <v>1</v>
      </c>
      <c r="AJ83" s="21">
        <v>108.77</v>
      </c>
      <c r="AK83" s="22">
        <f>AJ83*0.36</f>
        <v>39.157199999999996</v>
      </c>
      <c r="AL83" s="21">
        <v>271.94</v>
      </c>
      <c r="AM83" s="22">
        <f>AL83*0.36</f>
        <v>97.898399999999995</v>
      </c>
      <c r="AN83" s="21" t="s">
        <v>61</v>
      </c>
      <c r="AO83" s="21" t="s">
        <v>61</v>
      </c>
      <c r="AP83" s="21">
        <v>36</v>
      </c>
      <c r="AQ83" s="23" t="str">
        <f t="shared" si="23"/>
        <v>1</v>
      </c>
      <c r="AR83" s="21">
        <v>1</v>
      </c>
      <c r="AS83" s="21">
        <v>1</v>
      </c>
      <c r="AT83" s="21">
        <v>1</v>
      </c>
      <c r="AU83" s="21">
        <v>1</v>
      </c>
      <c r="AV83" s="21">
        <v>1</v>
      </c>
      <c r="AW83" s="21" t="s">
        <v>61</v>
      </c>
      <c r="AX83" s="21">
        <v>1</v>
      </c>
      <c r="AY83" s="21">
        <v>1999</v>
      </c>
      <c r="AZ83" s="21">
        <f t="shared" si="24"/>
        <v>25</v>
      </c>
      <c r="BA83" s="21" t="str">
        <f t="shared" si="25"/>
        <v>3</v>
      </c>
      <c r="BB83" s="22">
        <f>(BA83+AX83+AS83+AQ83+AI83+AH83+Z83)/7</f>
        <v>1.2857142857142858</v>
      </c>
      <c r="BC83" s="21" t="s">
        <v>107</v>
      </c>
      <c r="BD83" s="24" t="s">
        <v>120</v>
      </c>
      <c r="BE83" s="21"/>
      <c r="BF83" s="21"/>
      <c r="BG83" s="21"/>
      <c r="BH83" s="21"/>
      <c r="BI83" s="21">
        <v>19949</v>
      </c>
      <c r="BJ83" s="21">
        <v>73889</v>
      </c>
      <c r="BK83" s="21">
        <v>0.3</v>
      </c>
    </row>
    <row r="84" spans="1:63" ht="64" hidden="1" x14ac:dyDescent="0.2">
      <c r="A84" s="2">
        <v>20027665</v>
      </c>
      <c r="B84" s="2">
        <v>51660119</v>
      </c>
      <c r="C84" s="2">
        <v>2300</v>
      </c>
      <c r="D84" s="2" t="s">
        <v>73</v>
      </c>
      <c r="E84" s="2" t="s">
        <v>345</v>
      </c>
      <c r="F84" s="2" t="s">
        <v>346</v>
      </c>
      <c r="G84" s="2" t="s">
        <v>58</v>
      </c>
      <c r="H84" s="2" t="s">
        <v>59</v>
      </c>
      <c r="I84" s="2" t="s">
        <v>65</v>
      </c>
      <c r="J84" s="2" t="s">
        <v>61</v>
      </c>
      <c r="K84" s="2" t="s">
        <v>66</v>
      </c>
      <c r="L84" s="2" t="s">
        <v>76</v>
      </c>
      <c r="M84" s="2" t="s">
        <v>60</v>
      </c>
      <c r="N84" s="2" t="s">
        <v>61</v>
      </c>
      <c r="O84" s="2" t="s">
        <v>77</v>
      </c>
      <c r="P84" s="2">
        <v>15.9</v>
      </c>
      <c r="Q84" s="2">
        <v>3.2</v>
      </c>
      <c r="R84" s="2">
        <v>17.2</v>
      </c>
      <c r="S84" s="2">
        <v>1.9</v>
      </c>
      <c r="T84" s="2">
        <v>411</v>
      </c>
      <c r="U84" s="2">
        <v>1585</v>
      </c>
      <c r="V84" s="2">
        <v>0.1</v>
      </c>
      <c r="W84" s="2">
        <f t="shared" si="27"/>
        <v>2034.2</v>
      </c>
      <c r="X84" s="2" t="str">
        <f t="shared" si="17"/>
        <v>1</v>
      </c>
      <c r="Y84" s="2" t="str">
        <f t="shared" si="26"/>
        <v>1</v>
      </c>
      <c r="Z84" s="3">
        <f t="shared" si="18"/>
        <v>1</v>
      </c>
      <c r="AA84" s="2">
        <v>62</v>
      </c>
      <c r="AB84" s="2">
        <v>8</v>
      </c>
      <c r="AC84" s="2">
        <v>0.02</v>
      </c>
      <c r="AD84" s="2">
        <v>38.6</v>
      </c>
      <c r="AE84" s="2">
        <f t="shared" si="19"/>
        <v>1930</v>
      </c>
      <c r="AF84" s="2" t="str">
        <f t="shared" si="20"/>
        <v>1</v>
      </c>
      <c r="AG84" s="2" t="str">
        <f t="shared" si="21"/>
        <v>1</v>
      </c>
      <c r="AH84" s="3">
        <f t="shared" si="22"/>
        <v>1</v>
      </c>
      <c r="AI84" s="2">
        <v>3</v>
      </c>
      <c r="AJ84" s="2">
        <v>38.49</v>
      </c>
      <c r="AK84" s="2">
        <f>AJ84*0.37</f>
        <v>14.241300000000001</v>
      </c>
      <c r="AL84" s="2">
        <v>96.22</v>
      </c>
      <c r="AM84" s="2">
        <f>AL84*0.37</f>
        <v>35.601399999999998</v>
      </c>
      <c r="AN84" s="2" t="s">
        <v>61</v>
      </c>
      <c r="AO84" s="2" t="s">
        <v>61</v>
      </c>
      <c r="AP84" s="2">
        <v>37</v>
      </c>
      <c r="AQ84" s="19" t="str">
        <f t="shared" si="23"/>
        <v>1</v>
      </c>
      <c r="AR84" s="2">
        <v>1</v>
      </c>
      <c r="AS84" s="2">
        <v>1</v>
      </c>
      <c r="AT84" s="2">
        <v>1</v>
      </c>
      <c r="AU84" s="2">
        <v>1</v>
      </c>
      <c r="AV84" s="2">
        <v>1</v>
      </c>
      <c r="AW84" s="2" t="s">
        <v>61</v>
      </c>
      <c r="AX84" s="2">
        <v>1</v>
      </c>
      <c r="AY84" s="2">
        <v>2019</v>
      </c>
      <c r="AZ84" s="2">
        <f t="shared" si="24"/>
        <v>5</v>
      </c>
      <c r="BA84" s="2" t="str">
        <f t="shared" si="25"/>
        <v>1</v>
      </c>
      <c r="BB84" s="3">
        <f>(BA84+AX84+AS84+AQ84+AH84+Z84)/7</f>
        <v>0.8571428571428571</v>
      </c>
      <c r="BC84" s="2" t="s">
        <v>107</v>
      </c>
      <c r="BD84" s="8" t="s">
        <v>120</v>
      </c>
      <c r="BE84" s="2"/>
      <c r="BF84" s="2"/>
      <c r="BG84" s="2"/>
      <c r="BH84" s="2"/>
      <c r="BI84" s="2">
        <v>24394</v>
      </c>
      <c r="BJ84" s="2">
        <v>72176</v>
      </c>
      <c r="BK84" s="2">
        <v>9.1999999999999993</v>
      </c>
    </row>
    <row r="85" spans="1:63" ht="80" hidden="1" x14ac:dyDescent="0.2">
      <c r="A85" s="2">
        <v>20027669</v>
      </c>
      <c r="B85" s="2">
        <v>291239</v>
      </c>
      <c r="C85" s="2">
        <v>1600</v>
      </c>
      <c r="D85" s="2" t="s">
        <v>73</v>
      </c>
      <c r="E85" s="2" t="s">
        <v>347</v>
      </c>
      <c r="F85" s="2" t="s">
        <v>348</v>
      </c>
      <c r="G85" s="2" t="s">
        <v>58</v>
      </c>
      <c r="H85" s="2" t="s">
        <v>59</v>
      </c>
      <c r="I85" s="2" t="s">
        <v>65</v>
      </c>
      <c r="J85" s="2" t="s">
        <v>61</v>
      </c>
      <c r="K85" s="2" t="s">
        <v>66</v>
      </c>
      <c r="L85" s="2" t="s">
        <v>76</v>
      </c>
      <c r="M85" s="2" t="s">
        <v>60</v>
      </c>
      <c r="N85" s="2" t="s">
        <v>61</v>
      </c>
      <c r="O85" s="2" t="s">
        <v>77</v>
      </c>
      <c r="P85" s="2">
        <v>34780</v>
      </c>
      <c r="Q85" s="2">
        <v>14852</v>
      </c>
      <c r="R85" s="2">
        <v>2.2999999999999998</v>
      </c>
      <c r="S85" s="2">
        <v>4105</v>
      </c>
      <c r="T85" s="2">
        <v>564</v>
      </c>
      <c r="U85" s="2">
        <v>9599</v>
      </c>
      <c r="V85" s="2">
        <v>0.8</v>
      </c>
      <c r="W85" s="2">
        <f t="shared" si="27"/>
        <v>63902.3</v>
      </c>
      <c r="X85" s="2" t="str">
        <f t="shared" si="17"/>
        <v>5</v>
      </c>
      <c r="Y85" s="2" t="str">
        <f t="shared" si="26"/>
        <v>1</v>
      </c>
      <c r="Z85" s="3">
        <f t="shared" si="18"/>
        <v>3</v>
      </c>
      <c r="AA85" s="2">
        <v>38</v>
      </c>
      <c r="AB85" s="2">
        <v>10</v>
      </c>
      <c r="AC85" s="2">
        <v>0.02</v>
      </c>
      <c r="AD85" s="2">
        <v>36.1</v>
      </c>
      <c r="AE85" s="2">
        <f t="shared" si="19"/>
        <v>1805</v>
      </c>
      <c r="AF85" s="2" t="str">
        <f t="shared" si="20"/>
        <v>1</v>
      </c>
      <c r="AG85" s="2" t="str">
        <f t="shared" si="21"/>
        <v>1</v>
      </c>
      <c r="AH85" s="3">
        <f t="shared" si="22"/>
        <v>1</v>
      </c>
      <c r="AI85" s="2">
        <v>1</v>
      </c>
      <c r="AJ85" s="2">
        <v>26.8</v>
      </c>
      <c r="AK85" s="2">
        <f>AJ85*0.19</f>
        <v>5.0920000000000005</v>
      </c>
      <c r="AL85" s="2">
        <v>66.900000000000006</v>
      </c>
      <c r="AM85" s="2">
        <f>AL85*0.19</f>
        <v>12.711000000000002</v>
      </c>
      <c r="AN85" s="2" t="s">
        <v>61</v>
      </c>
      <c r="AO85" s="2" t="s">
        <v>61</v>
      </c>
      <c r="AP85" s="2">
        <v>40</v>
      </c>
      <c r="AQ85" s="19" t="str">
        <f t="shared" si="23"/>
        <v>1</v>
      </c>
      <c r="AR85" s="2">
        <v>1</v>
      </c>
      <c r="AS85" s="2">
        <v>1</v>
      </c>
      <c r="AT85" s="2">
        <v>1</v>
      </c>
      <c r="AU85" s="2">
        <v>1</v>
      </c>
      <c r="AV85" s="2">
        <v>1</v>
      </c>
      <c r="AW85" s="2" t="s">
        <v>61</v>
      </c>
      <c r="AX85" s="2">
        <v>1</v>
      </c>
      <c r="AY85" s="2">
        <v>2008</v>
      </c>
      <c r="AZ85" s="2">
        <f t="shared" si="24"/>
        <v>16</v>
      </c>
      <c r="BA85" s="2" t="str">
        <f t="shared" si="25"/>
        <v>2</v>
      </c>
      <c r="BB85" s="3">
        <f>(BA85+AX85+AS85+AQ85+AH85+Z85)/5</f>
        <v>1.8</v>
      </c>
      <c r="BC85" s="2" t="s">
        <v>105</v>
      </c>
      <c r="BD85" s="8" t="s">
        <v>349</v>
      </c>
      <c r="BE85" s="2"/>
      <c r="BF85" s="2"/>
      <c r="BG85" s="2"/>
      <c r="BH85" s="2"/>
      <c r="BI85" s="2">
        <v>376</v>
      </c>
      <c r="BJ85" s="2">
        <v>3172</v>
      </c>
      <c r="BK85" s="2">
        <v>1384</v>
      </c>
    </row>
    <row r="86" spans="1:63" s="25" customFormat="1" hidden="1" x14ac:dyDescent="0.2">
      <c r="A86" s="21">
        <v>20029067</v>
      </c>
      <c r="B86" s="21" t="s">
        <v>350</v>
      </c>
      <c r="C86" s="21">
        <v>30000</v>
      </c>
      <c r="D86" s="21" t="s">
        <v>152</v>
      </c>
      <c r="E86" s="21" t="s">
        <v>351</v>
      </c>
      <c r="F86" s="21" t="s">
        <v>352</v>
      </c>
      <c r="G86" s="21" t="s">
        <v>58</v>
      </c>
      <c r="H86" s="21" t="s">
        <v>59</v>
      </c>
      <c r="I86" s="21" t="s">
        <v>81</v>
      </c>
      <c r="J86" s="21" t="s">
        <v>82</v>
      </c>
      <c r="K86" s="21" t="s">
        <v>48</v>
      </c>
      <c r="L86" s="21">
        <v>110</v>
      </c>
      <c r="M86" s="21" t="s">
        <v>137</v>
      </c>
      <c r="N86" s="21" t="s">
        <v>60</v>
      </c>
      <c r="O86" s="21" t="s">
        <v>243</v>
      </c>
      <c r="P86" s="21">
        <v>45</v>
      </c>
      <c r="Q86" s="21">
        <v>11.9</v>
      </c>
      <c r="R86" s="21">
        <v>7.6</v>
      </c>
      <c r="S86" s="21">
        <v>2.8</v>
      </c>
      <c r="T86" s="21">
        <v>735</v>
      </c>
      <c r="U86" s="21">
        <v>3154</v>
      </c>
      <c r="V86" s="21">
        <v>0</v>
      </c>
      <c r="W86" s="21">
        <f t="shared" si="27"/>
        <v>3956.3</v>
      </c>
      <c r="X86" s="21" t="str">
        <f t="shared" si="17"/>
        <v>2</v>
      </c>
      <c r="Y86" s="21" t="str">
        <f t="shared" si="26"/>
        <v>1</v>
      </c>
      <c r="Z86" s="22">
        <f t="shared" si="18"/>
        <v>1.5</v>
      </c>
      <c r="AA86" s="21">
        <v>45</v>
      </c>
      <c r="AB86" s="21">
        <v>9</v>
      </c>
      <c r="AC86" s="21">
        <v>0.02</v>
      </c>
      <c r="AD86" s="21">
        <v>42.4</v>
      </c>
      <c r="AE86" s="21">
        <f t="shared" si="19"/>
        <v>2120</v>
      </c>
      <c r="AF86" s="21" t="str">
        <f t="shared" si="20"/>
        <v>1</v>
      </c>
      <c r="AG86" s="21" t="str">
        <f t="shared" si="21"/>
        <v>1</v>
      </c>
      <c r="AH86" s="22">
        <f t="shared" si="22"/>
        <v>1</v>
      </c>
      <c r="AI86" s="21">
        <v>1</v>
      </c>
      <c r="AJ86" s="21">
        <v>157.5</v>
      </c>
      <c r="AK86" s="21">
        <f>AJ86*0.3</f>
        <v>47.25</v>
      </c>
      <c r="AL86" s="21">
        <v>334.7</v>
      </c>
      <c r="AM86" s="21">
        <f>AL86*0.4944</f>
        <v>165.47567999999998</v>
      </c>
      <c r="AN86" s="21">
        <v>418.4</v>
      </c>
      <c r="AO86" s="21">
        <f>AN86*0.5131</f>
        <v>214.68104</v>
      </c>
      <c r="AP86" s="21">
        <v>51</v>
      </c>
      <c r="AQ86" s="23" t="str">
        <f t="shared" si="23"/>
        <v>1</v>
      </c>
      <c r="AR86" s="21">
        <v>1</v>
      </c>
      <c r="AS86" s="21">
        <v>1</v>
      </c>
      <c r="AT86" s="21">
        <v>1</v>
      </c>
      <c r="AU86" s="21">
        <v>1</v>
      </c>
      <c r="AV86" s="21">
        <v>1</v>
      </c>
      <c r="AW86" s="21">
        <v>1</v>
      </c>
      <c r="AX86" s="21">
        <v>1</v>
      </c>
      <c r="AY86" s="21">
        <v>1998</v>
      </c>
      <c r="AZ86" s="21">
        <f t="shared" si="24"/>
        <v>26</v>
      </c>
      <c r="BA86" s="21" t="str">
        <f t="shared" si="25"/>
        <v>3</v>
      </c>
      <c r="BB86" s="22">
        <f>(BA86+AX86+AS86+AQ86+AH86+Z86)/1.8</f>
        <v>4.7222222222222223</v>
      </c>
      <c r="BC86" s="21" t="s">
        <v>114</v>
      </c>
      <c r="BD86" s="21" t="s">
        <v>353</v>
      </c>
      <c r="BE86" s="21" t="s">
        <v>354</v>
      </c>
      <c r="BF86" s="21">
        <v>35800000</v>
      </c>
      <c r="BG86" s="21">
        <v>370000000</v>
      </c>
      <c r="BH86" s="21">
        <v>25000000</v>
      </c>
      <c r="BI86" s="21">
        <v>2256</v>
      </c>
      <c r="BJ86" s="21">
        <v>43900</v>
      </c>
      <c r="BK86" s="21">
        <v>5.0999999999999996</v>
      </c>
    </row>
    <row r="87" spans="1:63" ht="64" hidden="1" x14ac:dyDescent="0.2">
      <c r="A87" s="2">
        <v>20029067</v>
      </c>
      <c r="B87" s="2">
        <v>1054440599</v>
      </c>
      <c r="C87" s="2">
        <v>30000</v>
      </c>
      <c r="D87" s="2" t="s">
        <v>152</v>
      </c>
      <c r="E87" s="2" t="s">
        <v>351</v>
      </c>
      <c r="F87" s="2" t="s">
        <v>355</v>
      </c>
      <c r="G87" s="2" t="s">
        <v>58</v>
      </c>
      <c r="H87" s="2" t="s">
        <v>59</v>
      </c>
      <c r="I87" s="2" t="s">
        <v>81</v>
      </c>
      <c r="J87" s="2" t="s">
        <v>82</v>
      </c>
      <c r="K87" s="2" t="s">
        <v>48</v>
      </c>
      <c r="L87" s="2">
        <v>110</v>
      </c>
      <c r="M87" s="2" t="s">
        <v>137</v>
      </c>
      <c r="N87" s="2" t="s">
        <v>60</v>
      </c>
      <c r="O87" s="2" t="s">
        <v>243</v>
      </c>
      <c r="P87" s="2">
        <v>5.6</v>
      </c>
      <c r="Q87" s="2">
        <v>6.3</v>
      </c>
      <c r="R87" s="2">
        <v>0.7</v>
      </c>
      <c r="S87" s="2">
        <v>0.7</v>
      </c>
      <c r="T87" s="2">
        <v>617</v>
      </c>
      <c r="U87" s="2">
        <v>1930</v>
      </c>
      <c r="V87" s="2">
        <v>0</v>
      </c>
      <c r="W87" s="2">
        <f t="shared" si="27"/>
        <v>2560.3000000000002</v>
      </c>
      <c r="X87" s="2" t="str">
        <f t="shared" si="17"/>
        <v>1</v>
      </c>
      <c r="Y87" s="2" t="str">
        <f t="shared" si="26"/>
        <v>1</v>
      </c>
      <c r="Z87" s="3">
        <f t="shared" si="18"/>
        <v>1</v>
      </c>
      <c r="AA87" s="2">
        <v>64</v>
      </c>
      <c r="AB87" s="2">
        <v>7</v>
      </c>
      <c r="AC87" s="2">
        <v>0.02</v>
      </c>
      <c r="AD87" s="2">
        <v>46.1</v>
      </c>
      <c r="AE87" s="2">
        <f t="shared" si="19"/>
        <v>2305</v>
      </c>
      <c r="AF87" s="2" t="str">
        <f t="shared" si="20"/>
        <v>1</v>
      </c>
      <c r="AG87" s="2" t="str">
        <f t="shared" si="21"/>
        <v>1</v>
      </c>
      <c r="AH87" s="3">
        <f t="shared" si="22"/>
        <v>1</v>
      </c>
      <c r="AI87" s="2">
        <v>1</v>
      </c>
      <c r="AJ87" s="2">
        <v>157.5</v>
      </c>
      <c r="AK87" s="2">
        <f>AJ87*0.3</f>
        <v>47.25</v>
      </c>
      <c r="AL87" s="2">
        <v>334.7</v>
      </c>
      <c r="AM87" s="2">
        <f>AL87*0.4944</f>
        <v>165.47567999999998</v>
      </c>
      <c r="AN87" s="2">
        <v>418.7</v>
      </c>
      <c r="AO87" s="2">
        <f>AN87*0.5131</f>
        <v>214.83497</v>
      </c>
      <c r="AP87" s="2">
        <v>51</v>
      </c>
      <c r="AQ87" s="19" t="str">
        <f t="shared" si="23"/>
        <v>1</v>
      </c>
      <c r="AR87" s="2">
        <v>1</v>
      </c>
      <c r="AS87" s="2">
        <v>1</v>
      </c>
      <c r="AT87" s="2">
        <v>1</v>
      </c>
      <c r="AU87" s="2">
        <v>1</v>
      </c>
      <c r="AV87" s="2">
        <v>1</v>
      </c>
      <c r="AW87" s="2">
        <v>1</v>
      </c>
      <c r="AX87" s="2">
        <v>1</v>
      </c>
      <c r="AY87" s="2">
        <v>2020</v>
      </c>
      <c r="AZ87" s="2">
        <f>2024-AY87</f>
        <v>4</v>
      </c>
      <c r="BA87" s="2" t="str">
        <f t="shared" si="25"/>
        <v>1</v>
      </c>
      <c r="BB87" s="3">
        <f>(BA87+AX87+AS87+AQ87+AH87+Z87)/7</f>
        <v>0.8571428571428571</v>
      </c>
      <c r="BC87" s="2" t="s">
        <v>107</v>
      </c>
      <c r="BD87" s="8" t="s">
        <v>120</v>
      </c>
      <c r="BE87" s="2"/>
      <c r="BF87" s="2"/>
      <c r="BG87" s="2"/>
      <c r="BH87" s="2"/>
      <c r="BI87" s="2">
        <v>5225</v>
      </c>
      <c r="BJ87" s="2">
        <v>32113</v>
      </c>
      <c r="BK87" s="2">
        <v>1.4</v>
      </c>
    </row>
    <row r="88" spans="1:63" ht="32" hidden="1" x14ac:dyDescent="0.2">
      <c r="A88" s="2">
        <v>20700411</v>
      </c>
      <c r="B88" s="2">
        <v>200719</v>
      </c>
      <c r="C88" s="2">
        <v>30000</v>
      </c>
      <c r="D88" s="2" t="s">
        <v>152</v>
      </c>
      <c r="E88" s="2" t="s">
        <v>356</v>
      </c>
      <c r="F88" s="2" t="s">
        <v>357</v>
      </c>
      <c r="G88" s="2" t="s">
        <v>125</v>
      </c>
      <c r="H88" s="2" t="s">
        <v>148</v>
      </c>
      <c r="I88" s="2" t="s">
        <v>81</v>
      </c>
      <c r="J88" s="2" t="s">
        <v>82</v>
      </c>
      <c r="K88" s="2" t="s">
        <v>48</v>
      </c>
      <c r="L88" s="2">
        <v>110</v>
      </c>
      <c r="M88" s="2" t="s">
        <v>137</v>
      </c>
      <c r="N88" s="2" t="s">
        <v>60</v>
      </c>
      <c r="O88" s="2" t="s">
        <v>243</v>
      </c>
      <c r="P88" s="2">
        <v>23</v>
      </c>
      <c r="Q88" s="2">
        <v>37</v>
      </c>
      <c r="R88" s="2">
        <v>6.9</v>
      </c>
      <c r="S88" s="2">
        <v>7.8</v>
      </c>
      <c r="T88" s="2">
        <v>264</v>
      </c>
      <c r="U88" s="2">
        <v>1619</v>
      </c>
      <c r="V88" s="2">
        <v>0</v>
      </c>
      <c r="W88" s="2">
        <f t="shared" si="27"/>
        <v>1957.7</v>
      </c>
      <c r="X88" s="2" t="str">
        <f t="shared" si="17"/>
        <v>1</v>
      </c>
      <c r="Y88" s="2" t="str">
        <f t="shared" si="26"/>
        <v>1</v>
      </c>
      <c r="Z88" s="3">
        <f t="shared" si="18"/>
        <v>1</v>
      </c>
      <c r="AA88" s="2">
        <v>54</v>
      </c>
      <c r="AB88" s="2">
        <v>6</v>
      </c>
      <c r="AC88" s="2">
        <v>0.02</v>
      </c>
      <c r="AD88" s="2">
        <v>43.7</v>
      </c>
      <c r="AE88" s="2">
        <f t="shared" si="19"/>
        <v>2185</v>
      </c>
      <c r="AF88" s="2" t="str">
        <f t="shared" si="20"/>
        <v>1</v>
      </c>
      <c r="AG88" s="2" t="str">
        <f t="shared" si="21"/>
        <v>1</v>
      </c>
      <c r="AH88" s="3">
        <f t="shared" si="22"/>
        <v>1</v>
      </c>
      <c r="AI88" s="2">
        <v>1</v>
      </c>
      <c r="AJ88" s="2">
        <v>157.5</v>
      </c>
      <c r="AK88" s="2">
        <f>AJ88*0.61</f>
        <v>96.075000000000003</v>
      </c>
      <c r="AL88" s="2">
        <v>334.7</v>
      </c>
      <c r="AM88" s="2">
        <f>AL88*0.89</f>
        <v>297.88299999999998</v>
      </c>
      <c r="AN88" s="2">
        <v>418.4</v>
      </c>
      <c r="AO88" s="2">
        <f>AN88*0.32</f>
        <v>133.88800000000001</v>
      </c>
      <c r="AP88" s="2">
        <v>89</v>
      </c>
      <c r="AQ88" s="19" t="str">
        <f t="shared" si="23"/>
        <v>3</v>
      </c>
      <c r="AR88" s="2">
        <v>1</v>
      </c>
      <c r="AS88" s="2">
        <v>1</v>
      </c>
      <c r="AT88" s="2">
        <v>1</v>
      </c>
      <c r="AU88" s="2">
        <v>5</v>
      </c>
      <c r="AV88" s="2">
        <v>1</v>
      </c>
      <c r="AW88" s="2">
        <v>1</v>
      </c>
      <c r="AX88" s="2">
        <v>5</v>
      </c>
      <c r="AY88" s="2">
        <v>2009</v>
      </c>
      <c r="AZ88" s="2">
        <f t="shared" si="24"/>
        <v>15</v>
      </c>
      <c r="BA88" s="2" t="str">
        <f t="shared" si="25"/>
        <v>2</v>
      </c>
      <c r="BB88" s="3">
        <f>(BA88+AX88+AS88+AQ88+AH88+Z88)/5</f>
        <v>2.6</v>
      </c>
      <c r="BC88" s="2" t="s">
        <v>111</v>
      </c>
      <c r="BD88" s="8" t="s">
        <v>358</v>
      </c>
      <c r="BE88" s="2" t="s">
        <v>359</v>
      </c>
      <c r="BF88" s="2"/>
      <c r="BG88" s="2">
        <v>28500000</v>
      </c>
      <c r="BH88" s="2">
        <v>15000000</v>
      </c>
      <c r="BI88" s="2">
        <v>11273</v>
      </c>
      <c r="BJ88" s="2">
        <v>68758</v>
      </c>
      <c r="BK88" s="2">
        <v>10</v>
      </c>
    </row>
    <row r="89" spans="1:63" ht="96" x14ac:dyDescent="0.2">
      <c r="A89" s="2">
        <v>20027680</v>
      </c>
      <c r="B89" s="2">
        <v>200117</v>
      </c>
      <c r="C89" s="2">
        <v>12500</v>
      </c>
      <c r="D89" s="13" t="s">
        <v>73</v>
      </c>
      <c r="E89" s="5" t="s">
        <v>360</v>
      </c>
      <c r="F89" s="2" t="s">
        <v>361</v>
      </c>
      <c r="G89" s="2" t="s">
        <v>58</v>
      </c>
      <c r="H89" s="2" t="s">
        <v>59</v>
      </c>
      <c r="I89" s="2" t="s">
        <v>81</v>
      </c>
      <c r="J89" s="2" t="s">
        <v>143</v>
      </c>
      <c r="K89" s="2" t="s">
        <v>48</v>
      </c>
      <c r="L89" s="2" t="s">
        <v>76</v>
      </c>
      <c r="M89" s="31" t="s">
        <v>60</v>
      </c>
      <c r="N89" s="31" t="s">
        <v>61</v>
      </c>
      <c r="O89" s="2" t="s">
        <v>164</v>
      </c>
      <c r="P89" s="2">
        <v>3.5</v>
      </c>
      <c r="Q89" s="2">
        <v>28</v>
      </c>
      <c r="R89" s="2">
        <v>66</v>
      </c>
      <c r="S89" s="2">
        <v>6.7</v>
      </c>
      <c r="T89" s="2">
        <v>1560</v>
      </c>
      <c r="U89" s="2">
        <v>12050</v>
      </c>
      <c r="V89" s="2">
        <v>0</v>
      </c>
      <c r="W89" s="2">
        <f t="shared" si="27"/>
        <v>13714.2</v>
      </c>
      <c r="X89" s="2" t="str">
        <f t="shared" si="17"/>
        <v>3</v>
      </c>
      <c r="Y89" s="2" t="str">
        <f t="shared" si="26"/>
        <v>1</v>
      </c>
      <c r="Z89" s="3">
        <f t="shared" si="18"/>
        <v>2</v>
      </c>
      <c r="AA89" s="2">
        <v>26</v>
      </c>
      <c r="AB89" s="2">
        <v>17</v>
      </c>
      <c r="AC89" s="2">
        <v>0.02</v>
      </c>
      <c r="AD89" s="2">
        <v>37.9</v>
      </c>
      <c r="AE89" s="2">
        <f t="shared" si="19"/>
        <v>1895</v>
      </c>
      <c r="AF89" s="2" t="str">
        <f t="shared" si="20"/>
        <v>3</v>
      </c>
      <c r="AG89" s="2" t="str">
        <f t="shared" si="21"/>
        <v>1</v>
      </c>
      <c r="AH89" s="3">
        <f t="shared" si="22"/>
        <v>2</v>
      </c>
      <c r="AI89" s="2">
        <v>3</v>
      </c>
      <c r="AJ89" s="2">
        <v>209.1</v>
      </c>
      <c r="AK89" s="2">
        <f>AJ89*0.93</f>
        <v>194.46299999999999</v>
      </c>
      <c r="AL89" s="2">
        <v>522.96</v>
      </c>
      <c r="AM89" s="2">
        <f>AL89*0.93</f>
        <v>486.35280000000006</v>
      </c>
      <c r="AN89" s="2" t="s">
        <v>61</v>
      </c>
      <c r="AO89" s="2" t="s">
        <v>61</v>
      </c>
      <c r="AP89" s="2">
        <v>93</v>
      </c>
      <c r="AQ89" s="19" t="str">
        <f t="shared" si="23"/>
        <v>4</v>
      </c>
      <c r="AR89" s="2">
        <v>1</v>
      </c>
      <c r="AS89" s="2">
        <v>1</v>
      </c>
      <c r="AT89" s="2">
        <v>1</v>
      </c>
      <c r="AU89" s="2">
        <v>1</v>
      </c>
      <c r="AV89" s="2">
        <v>1</v>
      </c>
      <c r="AW89" s="2">
        <v>1</v>
      </c>
      <c r="AX89" s="2">
        <v>1</v>
      </c>
      <c r="AY89" s="2">
        <v>1999</v>
      </c>
      <c r="AZ89" s="2">
        <f t="shared" si="24"/>
        <v>25</v>
      </c>
      <c r="BA89" s="2" t="str">
        <f t="shared" si="25"/>
        <v>3</v>
      </c>
      <c r="BB89" s="3">
        <f>(BA89+AX89+AS89+AQ89+AH89+Z89)/3</f>
        <v>4.333333333333333</v>
      </c>
      <c r="BC89" s="2" t="s">
        <v>184</v>
      </c>
      <c r="BD89" s="8" t="s">
        <v>362</v>
      </c>
      <c r="BE89" s="2" t="s">
        <v>363</v>
      </c>
      <c r="BF89" s="36">
        <v>53000000</v>
      </c>
      <c r="BG89" s="36">
        <v>245000000</v>
      </c>
      <c r="BH89" s="36">
        <v>18000000</v>
      </c>
      <c r="BI89" s="2">
        <v>2430</v>
      </c>
      <c r="BJ89" s="2">
        <v>92229</v>
      </c>
      <c r="BK89" s="2">
        <v>21</v>
      </c>
    </row>
    <row r="90" spans="1:63" ht="80" hidden="1" x14ac:dyDescent="0.2">
      <c r="A90" s="2">
        <v>20037685</v>
      </c>
      <c r="B90" s="2">
        <v>8681</v>
      </c>
      <c r="C90" s="2">
        <v>4000</v>
      </c>
      <c r="D90" s="2" t="s">
        <v>73</v>
      </c>
      <c r="E90" s="2" t="s">
        <v>364</v>
      </c>
      <c r="F90" s="2" t="s">
        <v>365</v>
      </c>
      <c r="G90" s="2" t="s">
        <v>125</v>
      </c>
      <c r="H90" s="2" t="s">
        <v>148</v>
      </c>
      <c r="I90" s="2" t="s">
        <v>65</v>
      </c>
      <c r="J90" s="2" t="s">
        <v>61</v>
      </c>
      <c r="K90" s="2" t="s">
        <v>66</v>
      </c>
      <c r="L90" s="2" t="s">
        <v>76</v>
      </c>
      <c r="M90" s="2" t="s">
        <v>60</v>
      </c>
      <c r="N90" s="2" t="s">
        <v>61</v>
      </c>
      <c r="O90" s="2" t="s">
        <v>130</v>
      </c>
      <c r="P90" s="2">
        <v>2.8</v>
      </c>
      <c r="Q90" s="2">
        <v>2.2999999999999998</v>
      </c>
      <c r="R90" s="2">
        <v>13</v>
      </c>
      <c r="S90" s="2">
        <v>1.2</v>
      </c>
      <c r="T90" s="2">
        <v>184</v>
      </c>
      <c r="U90" s="2">
        <v>3123</v>
      </c>
      <c r="V90" s="2">
        <v>0</v>
      </c>
      <c r="W90" s="2">
        <f t="shared" si="27"/>
        <v>3326.3</v>
      </c>
      <c r="X90" s="2" t="str">
        <f t="shared" si="17"/>
        <v>1</v>
      </c>
      <c r="Y90" s="2" t="str">
        <f t="shared" si="26"/>
        <v>1</v>
      </c>
      <c r="Z90" s="3">
        <f t="shared" si="18"/>
        <v>1</v>
      </c>
      <c r="AA90" s="2">
        <v>28</v>
      </c>
      <c r="AB90" s="2">
        <v>22</v>
      </c>
      <c r="AC90" s="2">
        <v>0.02</v>
      </c>
      <c r="AD90" s="2">
        <v>36.700000000000003</v>
      </c>
      <c r="AE90" s="2">
        <f t="shared" si="19"/>
        <v>1835</v>
      </c>
      <c r="AF90" s="2" t="str">
        <f t="shared" si="20"/>
        <v>2</v>
      </c>
      <c r="AG90" s="2" t="str">
        <f t="shared" si="21"/>
        <v>1</v>
      </c>
      <c r="AH90" s="3">
        <f t="shared" si="22"/>
        <v>1.5</v>
      </c>
      <c r="AI90" s="2">
        <v>4</v>
      </c>
      <c r="AJ90" s="2">
        <v>66.930000000000007</v>
      </c>
      <c r="AK90" s="2">
        <f>AJ90*0.71</f>
        <v>47.520300000000006</v>
      </c>
      <c r="AL90" s="2">
        <v>167.34</v>
      </c>
      <c r="AM90" s="2">
        <f>AL90*0.71</f>
        <v>118.81139999999999</v>
      </c>
      <c r="AN90" s="2" t="s">
        <v>61</v>
      </c>
      <c r="AO90" s="2" t="s">
        <v>61</v>
      </c>
      <c r="AP90" s="2">
        <v>71</v>
      </c>
      <c r="AQ90" s="19" t="str">
        <f t="shared" si="23"/>
        <v>2</v>
      </c>
      <c r="AR90" s="2">
        <v>1</v>
      </c>
      <c r="AS90" s="2">
        <v>1</v>
      </c>
      <c r="AT90" s="2">
        <v>1</v>
      </c>
      <c r="AU90" s="2">
        <v>1</v>
      </c>
      <c r="AV90" s="2">
        <v>1</v>
      </c>
      <c r="AW90" s="2" t="s">
        <v>61</v>
      </c>
      <c r="AX90" s="2">
        <v>1</v>
      </c>
      <c r="AY90" s="2">
        <v>1997</v>
      </c>
      <c r="AZ90" s="2">
        <f t="shared" si="24"/>
        <v>27</v>
      </c>
      <c r="BA90" s="2" t="str">
        <f t="shared" si="25"/>
        <v>3</v>
      </c>
      <c r="BB90" s="3">
        <f>(BA90+AX90+AS90+AQ90+AI90+AH90+Z90)/7</f>
        <v>1.9285714285714286</v>
      </c>
      <c r="BC90" s="2" t="s">
        <v>105</v>
      </c>
      <c r="BD90" s="8" t="s">
        <v>349</v>
      </c>
      <c r="BE90" s="2" t="s">
        <v>140</v>
      </c>
      <c r="BF90" s="2"/>
      <c r="BG90" s="2"/>
      <c r="BH90" s="2"/>
      <c r="BI90" s="2">
        <v>27311</v>
      </c>
      <c r="BJ90" s="2">
        <v>63119</v>
      </c>
      <c r="BK90" s="2">
        <v>15.3</v>
      </c>
    </row>
    <row r="91" spans="1:63" s="25" customFormat="1" ht="80" hidden="1" x14ac:dyDescent="0.2">
      <c r="A91" s="21">
        <v>20057689</v>
      </c>
      <c r="B91" s="21">
        <v>1057609400</v>
      </c>
      <c r="C91" s="21">
        <v>2500</v>
      </c>
      <c r="D91" s="21" t="s">
        <v>73</v>
      </c>
      <c r="E91" s="21" t="s">
        <v>366</v>
      </c>
      <c r="F91" s="21" t="s">
        <v>367</v>
      </c>
      <c r="G91" s="21" t="s">
        <v>125</v>
      </c>
      <c r="H91" s="21" t="s">
        <v>126</v>
      </c>
      <c r="I91" s="21" t="s">
        <v>65</v>
      </c>
      <c r="J91" s="21" t="s">
        <v>61</v>
      </c>
      <c r="K91" s="21" t="s">
        <v>66</v>
      </c>
      <c r="L91" s="21" t="s">
        <v>76</v>
      </c>
      <c r="M91" s="21" t="s">
        <v>60</v>
      </c>
      <c r="N91" s="21" t="s">
        <v>61</v>
      </c>
      <c r="O91" s="21" t="s">
        <v>77</v>
      </c>
      <c r="P91" s="21">
        <v>89</v>
      </c>
      <c r="Q91" s="21">
        <v>16</v>
      </c>
      <c r="R91" s="21">
        <v>2.2000000000000002</v>
      </c>
      <c r="S91" s="21">
        <v>3.1</v>
      </c>
      <c r="T91" s="21">
        <v>815</v>
      </c>
      <c r="U91" s="21">
        <v>4007</v>
      </c>
      <c r="V91" s="21">
        <v>0</v>
      </c>
      <c r="W91" s="21">
        <f t="shared" si="27"/>
        <v>4932.3</v>
      </c>
      <c r="X91" s="2" t="str">
        <f t="shared" si="17"/>
        <v>2</v>
      </c>
      <c r="Y91" s="2" t="str">
        <f t="shared" si="26"/>
        <v>1</v>
      </c>
      <c r="Z91" s="3">
        <f t="shared" si="18"/>
        <v>1.5</v>
      </c>
      <c r="AA91" s="21">
        <v>39</v>
      </c>
      <c r="AB91" s="21">
        <v>15</v>
      </c>
      <c r="AC91" s="21">
        <v>4.0000000000000001E-3</v>
      </c>
      <c r="AD91" s="21">
        <v>44.9</v>
      </c>
      <c r="AE91" s="21">
        <f t="shared" si="19"/>
        <v>11225</v>
      </c>
      <c r="AF91" s="21" t="str">
        <f t="shared" si="20"/>
        <v>1</v>
      </c>
      <c r="AG91" s="21" t="str">
        <f t="shared" si="21"/>
        <v>1</v>
      </c>
      <c r="AH91" s="22">
        <f t="shared" si="22"/>
        <v>1</v>
      </c>
      <c r="AI91" s="21">
        <v>3</v>
      </c>
      <c r="AJ91" s="21">
        <v>41.84</v>
      </c>
      <c r="AK91" s="21">
        <f>AJ91*0.42</f>
        <v>17.572800000000001</v>
      </c>
      <c r="AL91" s="21">
        <v>104.58</v>
      </c>
      <c r="AM91" s="21">
        <f>AL91*0.42</f>
        <v>43.9236</v>
      </c>
      <c r="AN91" s="21" t="s">
        <v>61</v>
      </c>
      <c r="AO91" s="21" t="s">
        <v>61</v>
      </c>
      <c r="AP91" s="21">
        <v>43</v>
      </c>
      <c r="AQ91" s="23" t="str">
        <f t="shared" si="23"/>
        <v>1</v>
      </c>
      <c r="AR91" s="21">
        <v>1</v>
      </c>
      <c r="AS91" s="21">
        <v>1</v>
      </c>
      <c r="AT91" s="21">
        <v>1</v>
      </c>
      <c r="AU91" s="21">
        <v>1</v>
      </c>
      <c r="AV91" s="21">
        <v>1</v>
      </c>
      <c r="AW91" s="21" t="s">
        <v>61</v>
      </c>
      <c r="AX91" s="21">
        <v>1</v>
      </c>
      <c r="AY91" s="21">
        <v>2020</v>
      </c>
      <c r="AZ91" s="21">
        <f t="shared" si="24"/>
        <v>4</v>
      </c>
      <c r="BA91" s="21" t="str">
        <f t="shared" si="25"/>
        <v>1</v>
      </c>
      <c r="BB91" s="22">
        <f>(BA91+AX91+AS91+AQ91+AI91+AH91+Z91)/7</f>
        <v>1.3571428571428572</v>
      </c>
      <c r="BC91" s="21" t="s">
        <v>107</v>
      </c>
      <c r="BD91" s="24" t="s">
        <v>139</v>
      </c>
      <c r="BE91" s="21" t="s">
        <v>140</v>
      </c>
      <c r="BF91" s="21"/>
      <c r="BG91" s="21"/>
      <c r="BH91" s="21"/>
      <c r="BI91" s="21">
        <v>3837</v>
      </c>
      <c r="BJ91" s="21">
        <v>81353</v>
      </c>
      <c r="BK91" s="21">
        <v>5</v>
      </c>
    </row>
    <row r="92" spans="1:63" s="25" customFormat="1" ht="80" hidden="1" x14ac:dyDescent="0.2">
      <c r="A92" s="21">
        <v>20057668</v>
      </c>
      <c r="B92" s="21">
        <v>1057609396</v>
      </c>
      <c r="C92" s="21">
        <v>2500</v>
      </c>
      <c r="D92" s="21" t="s">
        <v>73</v>
      </c>
      <c r="E92" s="21" t="s">
        <v>368</v>
      </c>
      <c r="F92" s="21" t="s">
        <v>369</v>
      </c>
      <c r="G92" s="21" t="s">
        <v>125</v>
      </c>
      <c r="H92" s="21" t="s">
        <v>126</v>
      </c>
      <c r="I92" s="21" t="s">
        <v>65</v>
      </c>
      <c r="J92" s="21" t="s">
        <v>61</v>
      </c>
      <c r="K92" s="21" t="s">
        <v>66</v>
      </c>
      <c r="L92" s="21" t="s">
        <v>76</v>
      </c>
      <c r="M92" s="21" t="s">
        <v>60</v>
      </c>
      <c r="N92" s="21" t="s">
        <v>61</v>
      </c>
      <c r="O92" s="21" t="s">
        <v>77</v>
      </c>
      <c r="P92" s="21">
        <v>71</v>
      </c>
      <c r="Q92" s="21">
        <v>6</v>
      </c>
      <c r="R92" s="21">
        <v>2.2000000000000002</v>
      </c>
      <c r="S92" s="21">
        <v>1.5</v>
      </c>
      <c r="T92" s="21">
        <v>550</v>
      </c>
      <c r="U92" s="21">
        <v>1015</v>
      </c>
      <c r="V92" s="21">
        <v>0</v>
      </c>
      <c r="W92" s="21">
        <f t="shared" si="27"/>
        <v>1645.7</v>
      </c>
      <c r="X92" s="2" t="str">
        <f t="shared" si="17"/>
        <v>1</v>
      </c>
      <c r="Y92" s="2" t="str">
        <f t="shared" si="26"/>
        <v>1</v>
      </c>
      <c r="Z92" s="3">
        <f t="shared" si="18"/>
        <v>1</v>
      </c>
      <c r="AA92" s="21">
        <v>54</v>
      </c>
      <c r="AB92" s="21">
        <v>6</v>
      </c>
      <c r="AC92" s="21">
        <v>4.0000000000000001E-3</v>
      </c>
      <c r="AD92" s="21">
        <v>44.3</v>
      </c>
      <c r="AE92" s="21">
        <f t="shared" si="19"/>
        <v>11074.999999999998</v>
      </c>
      <c r="AF92" s="21" t="str">
        <f t="shared" si="20"/>
        <v>1</v>
      </c>
      <c r="AG92" s="21" t="str">
        <f t="shared" si="21"/>
        <v>1</v>
      </c>
      <c r="AH92" s="22">
        <f t="shared" si="22"/>
        <v>1</v>
      </c>
      <c r="AI92" s="21">
        <v>3</v>
      </c>
      <c r="AJ92" s="21">
        <v>41.84</v>
      </c>
      <c r="AK92" s="21">
        <f>AJ92*0.41</f>
        <v>17.154399999999999</v>
      </c>
      <c r="AL92" s="21">
        <v>104.58</v>
      </c>
      <c r="AM92" s="21">
        <f>AL92*0.41</f>
        <v>42.877799999999993</v>
      </c>
      <c r="AN92" s="21" t="s">
        <v>61</v>
      </c>
      <c r="AO92" s="21" t="s">
        <v>61</v>
      </c>
      <c r="AP92" s="21">
        <v>41</v>
      </c>
      <c r="AQ92" s="23" t="str">
        <f t="shared" si="23"/>
        <v>1</v>
      </c>
      <c r="AR92" s="21">
        <v>1</v>
      </c>
      <c r="AS92" s="21">
        <v>1</v>
      </c>
      <c r="AT92" s="21">
        <v>1</v>
      </c>
      <c r="AU92" s="21">
        <v>1</v>
      </c>
      <c r="AV92" s="21">
        <v>1</v>
      </c>
      <c r="AW92" s="21" t="s">
        <v>61</v>
      </c>
      <c r="AX92" s="21">
        <v>1</v>
      </c>
      <c r="AY92" s="21">
        <v>2020</v>
      </c>
      <c r="AZ92" s="21">
        <f t="shared" si="24"/>
        <v>4</v>
      </c>
      <c r="BA92" s="21" t="str">
        <f t="shared" si="25"/>
        <v>1</v>
      </c>
      <c r="BB92" s="22">
        <f>(BA92+AX92+AS92+AQ92+AI92+AH92+Z92)/7</f>
        <v>1.2857142857142858</v>
      </c>
      <c r="BC92" s="21" t="s">
        <v>107</v>
      </c>
      <c r="BD92" s="24" t="s">
        <v>139</v>
      </c>
      <c r="BE92" s="21" t="s">
        <v>140</v>
      </c>
      <c r="BF92" s="21"/>
      <c r="BG92" s="21"/>
      <c r="BH92" s="21"/>
      <c r="BI92" s="21">
        <v>1086</v>
      </c>
      <c r="BJ92" s="21">
        <v>72337</v>
      </c>
      <c r="BK92" s="21">
        <v>3.7</v>
      </c>
    </row>
    <row r="93" spans="1:63" s="25" customFormat="1" ht="80" hidden="1" x14ac:dyDescent="0.2">
      <c r="A93" s="21">
        <v>20057677</v>
      </c>
      <c r="B93" s="21" t="s">
        <v>370</v>
      </c>
      <c r="C93" s="21">
        <v>1000</v>
      </c>
      <c r="D93" s="21" t="s">
        <v>73</v>
      </c>
      <c r="E93" s="21" t="s">
        <v>371</v>
      </c>
      <c r="F93" s="21" t="s">
        <v>372</v>
      </c>
      <c r="G93" s="21" t="s">
        <v>125</v>
      </c>
      <c r="H93" s="21" t="s">
        <v>126</v>
      </c>
      <c r="I93" s="21" t="s">
        <v>65</v>
      </c>
      <c r="J93" s="21" t="s">
        <v>61</v>
      </c>
      <c r="K93" s="21" t="s">
        <v>66</v>
      </c>
      <c r="L93" s="21" t="s">
        <v>76</v>
      </c>
      <c r="M93" s="21" t="s">
        <v>60</v>
      </c>
      <c r="N93" s="21" t="s">
        <v>61</v>
      </c>
      <c r="O93" s="21" t="s">
        <v>77</v>
      </c>
      <c r="P93" s="21">
        <v>1.2</v>
      </c>
      <c r="Q93" s="21">
        <v>1.9</v>
      </c>
      <c r="R93" s="21">
        <v>0.3</v>
      </c>
      <c r="S93" s="21">
        <v>0.1</v>
      </c>
      <c r="T93" s="21">
        <v>141</v>
      </c>
      <c r="U93" s="21">
        <v>521</v>
      </c>
      <c r="V93" s="21">
        <v>0.2</v>
      </c>
      <c r="W93" s="21">
        <f t="shared" si="27"/>
        <v>665.5</v>
      </c>
      <c r="X93" s="2" t="str">
        <f t="shared" si="17"/>
        <v>1</v>
      </c>
      <c r="Y93" s="2" t="str">
        <f t="shared" si="26"/>
        <v>1</v>
      </c>
      <c r="Z93" s="3">
        <f t="shared" si="18"/>
        <v>1</v>
      </c>
      <c r="AA93" s="21">
        <v>49</v>
      </c>
      <c r="AB93" s="21">
        <v>6</v>
      </c>
      <c r="AC93" s="21">
        <v>1E-3</v>
      </c>
      <c r="AD93" s="21">
        <v>40.9</v>
      </c>
      <c r="AE93" s="21">
        <f t="shared" si="19"/>
        <v>40900</v>
      </c>
      <c r="AF93" s="21" t="str">
        <f t="shared" si="20"/>
        <v>1</v>
      </c>
      <c r="AG93" s="21" t="str">
        <f t="shared" si="21"/>
        <v>1</v>
      </c>
      <c r="AH93" s="22">
        <f t="shared" si="22"/>
        <v>1</v>
      </c>
      <c r="AI93" s="21">
        <v>3</v>
      </c>
      <c r="AJ93" s="21">
        <v>16.73</v>
      </c>
      <c r="AK93" s="21">
        <f>AJ93*0.43</f>
        <v>7.1939000000000002</v>
      </c>
      <c r="AL93" s="21">
        <v>41.8</v>
      </c>
      <c r="AM93" s="21">
        <f>AL93*0.43</f>
        <v>17.974</v>
      </c>
      <c r="AN93" s="21" t="s">
        <v>61</v>
      </c>
      <c r="AO93" s="21" t="s">
        <v>61</v>
      </c>
      <c r="AP93" s="21">
        <v>43</v>
      </c>
      <c r="AQ93" s="23" t="str">
        <f t="shared" si="23"/>
        <v>1</v>
      </c>
      <c r="AR93" s="21">
        <v>1</v>
      </c>
      <c r="AS93" s="21">
        <v>1</v>
      </c>
      <c r="AT93" s="21">
        <v>1</v>
      </c>
      <c r="AU93" s="21">
        <v>1</v>
      </c>
      <c r="AV93" s="21">
        <v>1</v>
      </c>
      <c r="AW93" s="21" t="s">
        <v>61</v>
      </c>
      <c r="AX93" s="21">
        <v>1</v>
      </c>
      <c r="AY93" s="21">
        <v>2020</v>
      </c>
      <c r="AZ93" s="21">
        <f t="shared" si="24"/>
        <v>4</v>
      </c>
      <c r="BA93" s="21" t="str">
        <f t="shared" si="25"/>
        <v>1</v>
      </c>
      <c r="BB93" s="22">
        <f>(BA93+AX93+AS93+AQ93+AI93+AH93+Z93)/7</f>
        <v>1.2857142857142858</v>
      </c>
      <c r="BC93" s="21" t="s">
        <v>107</v>
      </c>
      <c r="BD93" s="24" t="s">
        <v>139</v>
      </c>
      <c r="BE93" s="21" t="s">
        <v>140</v>
      </c>
      <c r="BF93" s="21"/>
      <c r="BG93" s="21"/>
      <c r="BH93" s="21"/>
      <c r="BI93" s="21">
        <v>19972</v>
      </c>
      <c r="BJ93" s="21">
        <v>60013</v>
      </c>
      <c r="BK93" s="21">
        <v>0</v>
      </c>
    </row>
    <row r="94" spans="1:63" ht="16" hidden="1" x14ac:dyDescent="0.2">
      <c r="A94" s="2">
        <v>20700518</v>
      </c>
      <c r="B94" s="2">
        <v>253584</v>
      </c>
      <c r="C94" s="2">
        <v>1000</v>
      </c>
      <c r="D94" s="2" t="s">
        <v>73</v>
      </c>
      <c r="E94" s="2" t="s">
        <v>373</v>
      </c>
      <c r="F94" s="2" t="s">
        <v>374</v>
      </c>
      <c r="G94" s="2" t="s">
        <v>58</v>
      </c>
      <c r="H94" s="2" t="s">
        <v>59</v>
      </c>
      <c r="I94" s="2" t="s">
        <v>65</v>
      </c>
      <c r="J94" s="2" t="s">
        <v>61</v>
      </c>
      <c r="K94" s="2" t="s">
        <v>66</v>
      </c>
      <c r="L94" s="2" t="s">
        <v>76</v>
      </c>
      <c r="M94" s="2" t="s">
        <v>60</v>
      </c>
      <c r="N94" s="2" t="s">
        <v>61</v>
      </c>
      <c r="O94" s="2" t="s">
        <v>77</v>
      </c>
      <c r="P94" s="2">
        <v>9755</v>
      </c>
      <c r="Q94" s="2">
        <v>1358</v>
      </c>
      <c r="R94" s="2">
        <v>3.7</v>
      </c>
      <c r="S94" s="2">
        <v>368</v>
      </c>
      <c r="T94" s="2">
        <v>315</v>
      </c>
      <c r="U94" s="2">
        <v>2206</v>
      </c>
      <c r="V94" s="2">
        <v>0.9</v>
      </c>
      <c r="W94" s="2">
        <f t="shared" si="27"/>
        <v>14005.7</v>
      </c>
      <c r="X94" s="2" t="str">
        <f t="shared" si="17"/>
        <v>3</v>
      </c>
      <c r="Y94" s="2" t="str">
        <f t="shared" si="26"/>
        <v>1</v>
      </c>
      <c r="Z94" s="3">
        <f t="shared" si="18"/>
        <v>2</v>
      </c>
      <c r="AA94" s="2">
        <v>38</v>
      </c>
      <c r="AB94" s="2">
        <v>14</v>
      </c>
      <c r="AC94" s="2">
        <v>0.02</v>
      </c>
      <c r="AD94" s="2">
        <v>36.200000000000003</v>
      </c>
      <c r="AE94" s="2">
        <f t="shared" si="19"/>
        <v>1810</v>
      </c>
      <c r="AF94" s="2" t="str">
        <f t="shared" si="20"/>
        <v>1</v>
      </c>
      <c r="AG94" s="2" t="str">
        <f t="shared" si="21"/>
        <v>1</v>
      </c>
      <c r="AH94" s="3">
        <f t="shared" si="22"/>
        <v>1</v>
      </c>
      <c r="AI94" s="2">
        <v>1</v>
      </c>
      <c r="AJ94" s="2">
        <v>16.73</v>
      </c>
      <c r="AK94" s="2">
        <f>AJ94*0.48</f>
        <v>8.0304000000000002</v>
      </c>
      <c r="AL94" s="2">
        <v>41.99</v>
      </c>
      <c r="AM94" s="2">
        <f>AL94*0.48</f>
        <v>20.155200000000001</v>
      </c>
      <c r="AN94" s="2" t="s">
        <v>61</v>
      </c>
      <c r="AO94" s="2" t="s">
        <v>61</v>
      </c>
      <c r="AP94" s="2">
        <v>48</v>
      </c>
      <c r="AQ94" s="19" t="str">
        <f t="shared" si="23"/>
        <v>1</v>
      </c>
      <c r="AR94" s="2">
        <v>1</v>
      </c>
      <c r="AS94" s="2">
        <v>1</v>
      </c>
      <c r="AT94" s="2">
        <v>1</v>
      </c>
      <c r="AU94" s="2">
        <v>1</v>
      </c>
      <c r="AV94" s="2">
        <v>5</v>
      </c>
      <c r="AW94" s="2" t="s">
        <v>61</v>
      </c>
      <c r="AX94" s="2">
        <v>5</v>
      </c>
      <c r="AY94" s="2">
        <v>2005</v>
      </c>
      <c r="AZ94" s="2">
        <f t="shared" si="24"/>
        <v>19</v>
      </c>
      <c r="BA94" s="2" t="str">
        <f t="shared" si="25"/>
        <v>2</v>
      </c>
      <c r="BB94" s="3">
        <f>(BA94+AX94+AS94+AQ94+AH94+Z94)/4</f>
        <v>3</v>
      </c>
      <c r="BC94" s="2" t="s">
        <v>111</v>
      </c>
      <c r="BD94" s="8" t="s">
        <v>192</v>
      </c>
      <c r="BE94" s="2" t="s">
        <v>375</v>
      </c>
      <c r="BF94" s="2"/>
      <c r="BG94" s="2"/>
      <c r="BH94" s="2"/>
      <c r="BI94" s="2">
        <v>1538</v>
      </c>
      <c r="BJ94" s="2">
        <v>51712</v>
      </c>
      <c r="BK94" s="2">
        <v>189</v>
      </c>
    </row>
    <row r="95" spans="1:63" ht="80" hidden="1" x14ac:dyDescent="0.2">
      <c r="A95" s="2">
        <v>20027681</v>
      </c>
      <c r="B95" s="2">
        <v>55400119</v>
      </c>
      <c r="C95" s="2">
        <v>2300</v>
      </c>
      <c r="D95" s="2" t="s">
        <v>73</v>
      </c>
      <c r="E95" s="2" t="s">
        <v>376</v>
      </c>
      <c r="F95" s="2" t="s">
        <v>377</v>
      </c>
      <c r="G95" s="2" t="s">
        <v>58</v>
      </c>
      <c r="H95" s="2" t="s">
        <v>64</v>
      </c>
      <c r="I95" s="2" t="s">
        <v>65</v>
      </c>
      <c r="J95" s="2" t="s">
        <v>61</v>
      </c>
      <c r="K95" s="2" t="s">
        <v>66</v>
      </c>
      <c r="L95" s="2" t="s">
        <v>76</v>
      </c>
      <c r="M95" s="2" t="s">
        <v>60</v>
      </c>
      <c r="N95" s="2" t="s">
        <v>61</v>
      </c>
      <c r="O95" s="2" t="s">
        <v>77</v>
      </c>
      <c r="P95" s="2">
        <v>25</v>
      </c>
      <c r="Q95" s="2">
        <v>13.2</v>
      </c>
      <c r="R95" s="2">
        <v>3.4</v>
      </c>
      <c r="S95" s="2">
        <v>2</v>
      </c>
      <c r="T95" s="2">
        <v>489</v>
      </c>
      <c r="U95" s="2">
        <v>894</v>
      </c>
      <c r="V95" s="2">
        <v>0</v>
      </c>
      <c r="W95" s="2">
        <f t="shared" si="27"/>
        <v>1426.6</v>
      </c>
      <c r="X95" s="2" t="str">
        <f t="shared" si="17"/>
        <v>1</v>
      </c>
      <c r="Y95" s="2" t="str">
        <f t="shared" si="26"/>
        <v>1</v>
      </c>
      <c r="Z95" s="3">
        <f t="shared" si="18"/>
        <v>1</v>
      </c>
      <c r="AA95" s="2">
        <v>59</v>
      </c>
      <c r="AB95" s="2">
        <v>8</v>
      </c>
      <c r="AC95" s="2">
        <v>0.02</v>
      </c>
      <c r="AD95" s="2">
        <v>42.1</v>
      </c>
      <c r="AE95" s="2">
        <f t="shared" si="19"/>
        <v>2105</v>
      </c>
      <c r="AF95" s="2" t="str">
        <f t="shared" si="20"/>
        <v>1</v>
      </c>
      <c r="AG95" s="2" t="str">
        <f t="shared" si="21"/>
        <v>1</v>
      </c>
      <c r="AH95" s="3">
        <f t="shared" si="22"/>
        <v>1</v>
      </c>
      <c r="AI95" s="2">
        <v>3</v>
      </c>
      <c r="AJ95" s="2">
        <v>38.49</v>
      </c>
      <c r="AK95" s="2">
        <f>AJ95*0.33</f>
        <v>12.701700000000001</v>
      </c>
      <c r="AL95" s="2">
        <v>96.22</v>
      </c>
      <c r="AM95" s="2">
        <f>AL95*0.33</f>
        <v>31.752600000000001</v>
      </c>
      <c r="AN95" s="2" t="s">
        <v>61</v>
      </c>
      <c r="AO95" s="2" t="s">
        <v>61</v>
      </c>
      <c r="AP95" s="2">
        <v>33</v>
      </c>
      <c r="AQ95" s="19" t="str">
        <f t="shared" si="23"/>
        <v>1</v>
      </c>
      <c r="AR95" s="2">
        <v>1</v>
      </c>
      <c r="AS95" s="2">
        <v>1</v>
      </c>
      <c r="AT95" s="2">
        <v>1</v>
      </c>
      <c r="AU95" s="2">
        <v>1</v>
      </c>
      <c r="AV95" s="2">
        <v>1</v>
      </c>
      <c r="AW95" s="2" t="s">
        <v>61</v>
      </c>
      <c r="AX95" s="2">
        <v>1</v>
      </c>
      <c r="AY95" s="2">
        <v>2019</v>
      </c>
      <c r="AZ95" s="2">
        <f t="shared" si="24"/>
        <v>5</v>
      </c>
      <c r="BA95" s="2" t="str">
        <f t="shared" si="25"/>
        <v>1</v>
      </c>
      <c r="BB95" s="3">
        <f>(BA95+AX95+AS95+AQ95+AH95+Z95)/7</f>
        <v>0.8571428571428571</v>
      </c>
      <c r="BC95" s="2" t="s">
        <v>107</v>
      </c>
      <c r="BD95" s="8" t="s">
        <v>139</v>
      </c>
      <c r="BE95" s="2" t="s">
        <v>140</v>
      </c>
      <c r="BF95" s="2"/>
      <c r="BG95" s="2"/>
      <c r="BH95" s="2"/>
      <c r="BI95" s="2">
        <v>1746</v>
      </c>
      <c r="BJ95" s="2">
        <v>67666</v>
      </c>
      <c r="BK95" s="2">
        <v>5.8</v>
      </c>
    </row>
    <row r="96" spans="1:63" ht="64" x14ac:dyDescent="0.2">
      <c r="A96" s="2">
        <v>20057679</v>
      </c>
      <c r="B96" s="2" t="s">
        <v>378</v>
      </c>
      <c r="C96" s="2">
        <v>20000</v>
      </c>
      <c r="D96" s="2" t="s">
        <v>152</v>
      </c>
      <c r="E96" s="52" t="s">
        <v>379</v>
      </c>
      <c r="F96" s="2" t="s">
        <v>380</v>
      </c>
      <c r="G96" s="2" t="s">
        <v>125</v>
      </c>
      <c r="H96" s="2" t="s">
        <v>126</v>
      </c>
      <c r="I96" s="2" t="s">
        <v>81</v>
      </c>
      <c r="J96" s="2" t="s">
        <v>143</v>
      </c>
      <c r="K96" s="2" t="s">
        <v>48</v>
      </c>
      <c r="L96" s="2" t="s">
        <v>76</v>
      </c>
      <c r="M96" s="31" t="s">
        <v>60</v>
      </c>
      <c r="N96" s="31" t="s">
        <v>61</v>
      </c>
      <c r="O96" s="2" t="s">
        <v>218</v>
      </c>
      <c r="P96" s="2">
        <v>2.6</v>
      </c>
      <c r="Q96" s="2">
        <v>0.5</v>
      </c>
      <c r="R96" s="2">
        <v>0.2</v>
      </c>
      <c r="S96" s="2">
        <v>0.1</v>
      </c>
      <c r="T96" s="2">
        <v>27</v>
      </c>
      <c r="U96" s="2">
        <v>77</v>
      </c>
      <c r="V96" s="2">
        <v>0</v>
      </c>
      <c r="W96" s="2">
        <f t="shared" si="27"/>
        <v>107.4</v>
      </c>
      <c r="X96" s="2" t="str">
        <f t="shared" si="17"/>
        <v>1</v>
      </c>
      <c r="Y96" s="2" t="str">
        <f t="shared" si="26"/>
        <v>1</v>
      </c>
      <c r="Z96" s="3">
        <f t="shared" si="18"/>
        <v>1</v>
      </c>
      <c r="AA96" s="2">
        <v>43</v>
      </c>
      <c r="AB96" s="2">
        <v>11</v>
      </c>
      <c r="AC96" s="2">
        <v>0.02</v>
      </c>
      <c r="AD96" s="2">
        <v>44</v>
      </c>
      <c r="AE96" s="2">
        <f t="shared" si="19"/>
        <v>2200</v>
      </c>
      <c r="AF96" s="2" t="str">
        <f t="shared" si="20"/>
        <v>1</v>
      </c>
      <c r="AG96" s="2" t="str">
        <f t="shared" si="21"/>
        <v>1</v>
      </c>
      <c r="AH96" s="3">
        <f t="shared" si="22"/>
        <v>1</v>
      </c>
      <c r="AI96" s="2">
        <v>3</v>
      </c>
      <c r="AJ96" s="2">
        <v>334.7</v>
      </c>
      <c r="AK96" s="2">
        <f>AJ96*0.98</f>
        <v>328.00599999999997</v>
      </c>
      <c r="AL96" s="2">
        <v>8366.7000000000007</v>
      </c>
      <c r="AM96" s="2">
        <f>AL96*0.98</f>
        <v>8199.366</v>
      </c>
      <c r="AN96" s="2" t="s">
        <v>61</v>
      </c>
      <c r="AO96" s="2" t="s">
        <v>61</v>
      </c>
      <c r="AP96" s="2">
        <v>98</v>
      </c>
      <c r="AQ96" s="19" t="str">
        <f t="shared" si="23"/>
        <v>4</v>
      </c>
      <c r="AR96" s="2">
        <v>1</v>
      </c>
      <c r="AS96" s="2">
        <v>1</v>
      </c>
      <c r="AT96" s="2">
        <v>5</v>
      </c>
      <c r="AU96" s="2">
        <v>1</v>
      </c>
      <c r="AV96" s="2">
        <v>1</v>
      </c>
      <c r="AW96" s="2">
        <v>1</v>
      </c>
      <c r="AX96" s="2">
        <v>5</v>
      </c>
      <c r="AY96" s="2">
        <v>1997</v>
      </c>
      <c r="AZ96" s="2">
        <f t="shared" si="24"/>
        <v>27</v>
      </c>
      <c r="BA96" s="2" t="str">
        <f t="shared" si="25"/>
        <v>3</v>
      </c>
      <c r="BB96" s="3">
        <f>(BA96+AX96+AS96+AQ96+AI96+AH96+Z96)/5</f>
        <v>3.6</v>
      </c>
      <c r="BC96" s="2" t="s">
        <v>184</v>
      </c>
      <c r="BD96" s="8" t="s">
        <v>381</v>
      </c>
      <c r="BE96" s="2" t="s">
        <v>382</v>
      </c>
      <c r="BF96" s="31">
        <v>64500000</v>
      </c>
      <c r="BG96" s="31">
        <v>67800000</v>
      </c>
      <c r="BH96" s="31">
        <v>12000000</v>
      </c>
      <c r="BI96" s="2">
        <v>2705</v>
      </c>
      <c r="BJ96" s="2">
        <v>19411</v>
      </c>
      <c r="BK96" s="2">
        <v>0</v>
      </c>
    </row>
    <row r="97" spans="1:63" s="25" customFormat="1" ht="64" hidden="1" x14ac:dyDescent="0.2">
      <c r="A97" s="21">
        <v>20057667</v>
      </c>
      <c r="B97" s="21" t="s">
        <v>383</v>
      </c>
      <c r="C97" s="21">
        <v>2500</v>
      </c>
      <c r="D97" s="21" t="s">
        <v>73</v>
      </c>
      <c r="E97" s="21" t="s">
        <v>384</v>
      </c>
      <c r="F97" s="21" t="s">
        <v>385</v>
      </c>
      <c r="G97" s="21" t="s">
        <v>125</v>
      </c>
      <c r="H97" s="21" t="s">
        <v>126</v>
      </c>
      <c r="I97" s="21" t="s">
        <v>65</v>
      </c>
      <c r="J97" s="21" t="s">
        <v>61</v>
      </c>
      <c r="K97" s="21" t="s">
        <v>66</v>
      </c>
      <c r="L97" s="21" t="s">
        <v>76</v>
      </c>
      <c r="M97" s="21" t="s">
        <v>60</v>
      </c>
      <c r="N97" s="21" t="s">
        <v>61</v>
      </c>
      <c r="O97" s="21" t="s">
        <v>77</v>
      </c>
      <c r="P97" s="21">
        <v>45</v>
      </c>
      <c r="Q97" s="21">
        <v>4</v>
      </c>
      <c r="R97" s="21">
        <v>0.7</v>
      </c>
      <c r="S97" s="21">
        <v>0.4</v>
      </c>
      <c r="T97" s="21">
        <v>169</v>
      </c>
      <c r="U97" s="21">
        <v>391</v>
      </c>
      <c r="V97" s="21">
        <v>0.2</v>
      </c>
      <c r="W97" s="21">
        <f t="shared" si="27"/>
        <v>610.1</v>
      </c>
      <c r="X97" s="2" t="str">
        <f t="shared" si="17"/>
        <v>1</v>
      </c>
      <c r="Y97" s="2" t="str">
        <f t="shared" si="26"/>
        <v>1</v>
      </c>
      <c r="Z97" s="3">
        <f t="shared" si="18"/>
        <v>1</v>
      </c>
      <c r="AA97" s="21">
        <v>54</v>
      </c>
      <c r="AB97" s="21">
        <v>6</v>
      </c>
      <c r="AC97" s="21">
        <v>1E-3</v>
      </c>
      <c r="AD97" s="21">
        <v>41.6</v>
      </c>
      <c r="AE97" s="21">
        <f t="shared" si="19"/>
        <v>41600</v>
      </c>
      <c r="AF97" s="21" t="str">
        <f t="shared" si="20"/>
        <v>1</v>
      </c>
      <c r="AG97" s="21" t="str">
        <f t="shared" si="21"/>
        <v>1</v>
      </c>
      <c r="AH97" s="22">
        <f t="shared" si="22"/>
        <v>1</v>
      </c>
      <c r="AI97" s="21">
        <v>1</v>
      </c>
      <c r="AJ97" s="21">
        <v>41.84</v>
      </c>
      <c r="AK97" s="21">
        <f>AJ97*0.71</f>
        <v>29.706400000000002</v>
      </c>
      <c r="AL97" s="21">
        <v>104.6</v>
      </c>
      <c r="AM97" s="21">
        <f>AL97*0.71</f>
        <v>74.265999999999991</v>
      </c>
      <c r="AN97" s="21" t="s">
        <v>61</v>
      </c>
      <c r="AO97" s="21" t="s">
        <v>61</v>
      </c>
      <c r="AP97" s="21">
        <v>71</v>
      </c>
      <c r="AQ97" s="23" t="str">
        <f t="shared" si="23"/>
        <v>2</v>
      </c>
      <c r="AR97" s="21">
        <v>1</v>
      </c>
      <c r="AS97" s="21">
        <v>1</v>
      </c>
      <c r="AT97" s="21">
        <v>1</v>
      </c>
      <c r="AU97" s="21">
        <v>1</v>
      </c>
      <c r="AV97" s="21">
        <v>1</v>
      </c>
      <c r="AW97" s="21" t="s">
        <v>61</v>
      </c>
      <c r="AX97" s="21">
        <v>1</v>
      </c>
      <c r="AY97" s="21">
        <v>2022</v>
      </c>
      <c r="AZ97" s="21">
        <f t="shared" si="24"/>
        <v>2</v>
      </c>
      <c r="BA97" s="21" t="str">
        <f t="shared" si="25"/>
        <v>1</v>
      </c>
      <c r="BB97" s="22">
        <f>(BA97+AX97+AS97+AQ97+AI97+AH97+Z97)/7</f>
        <v>1.1428571428571428</v>
      </c>
      <c r="BC97" s="21" t="s">
        <v>107</v>
      </c>
      <c r="BD97" s="24" t="s">
        <v>120</v>
      </c>
      <c r="BE97" s="21"/>
      <c r="BF97" s="21"/>
      <c r="BG97" s="21"/>
      <c r="BH97" s="21"/>
      <c r="BI97" s="21">
        <v>19763</v>
      </c>
      <c r="BJ97" s="21">
        <v>64483</v>
      </c>
      <c r="BK97" s="21">
        <v>0.6</v>
      </c>
    </row>
    <row r="98" spans="1:63" ht="80" hidden="1" x14ac:dyDescent="0.2">
      <c r="A98" s="2">
        <v>20047769</v>
      </c>
      <c r="B98" s="2" t="s">
        <v>386</v>
      </c>
      <c r="C98" s="2">
        <v>60000</v>
      </c>
      <c r="D98" s="2" t="s">
        <v>134</v>
      </c>
      <c r="E98" s="2" t="s">
        <v>387</v>
      </c>
      <c r="F98" s="2" t="s">
        <v>388</v>
      </c>
      <c r="G98" s="2" t="s">
        <v>70</v>
      </c>
      <c r="H98" s="2" t="s">
        <v>70</v>
      </c>
      <c r="I98" s="2" t="s">
        <v>81</v>
      </c>
      <c r="J98" s="2" t="s">
        <v>82</v>
      </c>
      <c r="K98" s="2" t="s">
        <v>48</v>
      </c>
      <c r="L98" s="2">
        <v>110</v>
      </c>
      <c r="M98" s="2">
        <v>66</v>
      </c>
      <c r="N98" s="2" t="s">
        <v>60</v>
      </c>
      <c r="O98" s="2" t="s">
        <v>138</v>
      </c>
      <c r="P98" s="2">
        <v>6</v>
      </c>
      <c r="Q98" s="2">
        <v>116</v>
      </c>
      <c r="R98" s="2">
        <v>12.7</v>
      </c>
      <c r="S98" s="2">
        <v>121</v>
      </c>
      <c r="T98" s="2">
        <v>328</v>
      </c>
      <c r="U98" s="2">
        <v>1886</v>
      </c>
      <c r="V98" s="2">
        <v>0</v>
      </c>
      <c r="W98" s="2">
        <f t="shared" si="27"/>
        <v>2469.6999999999998</v>
      </c>
      <c r="X98" s="2" t="str">
        <f t="shared" si="17"/>
        <v>1</v>
      </c>
      <c r="Y98" s="2" t="str">
        <f t="shared" si="26"/>
        <v>1</v>
      </c>
      <c r="Z98" s="3">
        <f t="shared" si="18"/>
        <v>1</v>
      </c>
      <c r="AA98" s="2">
        <v>32</v>
      </c>
      <c r="AB98" s="2">
        <v>16</v>
      </c>
      <c r="AC98" s="2">
        <v>0.02</v>
      </c>
      <c r="AD98" s="2">
        <v>32.700000000000003</v>
      </c>
      <c r="AE98" s="2">
        <f t="shared" si="19"/>
        <v>1635</v>
      </c>
      <c r="AF98" s="2" t="str">
        <f t="shared" si="20"/>
        <v>2</v>
      </c>
      <c r="AG98" s="2" t="str">
        <f t="shared" si="21"/>
        <v>1</v>
      </c>
      <c r="AH98" s="3">
        <f t="shared" si="22"/>
        <v>1.5</v>
      </c>
      <c r="AI98" s="2">
        <v>1</v>
      </c>
      <c r="AJ98" s="2">
        <v>314.89999999999998</v>
      </c>
      <c r="AK98" s="2">
        <f>AJ98*0.35</f>
        <v>110.21499999999999</v>
      </c>
      <c r="AL98" s="2">
        <v>393.6</v>
      </c>
      <c r="AM98" s="2">
        <v>0</v>
      </c>
      <c r="AN98" s="2">
        <v>836.7</v>
      </c>
      <c r="AO98" s="2">
        <f>AN98*0.35</f>
        <v>292.84499999999997</v>
      </c>
      <c r="AP98" s="2">
        <v>35</v>
      </c>
      <c r="AQ98" s="19" t="str">
        <f t="shared" si="23"/>
        <v>1</v>
      </c>
      <c r="AR98" s="2">
        <v>1</v>
      </c>
      <c r="AS98" s="2">
        <v>1</v>
      </c>
      <c r="AT98" s="2">
        <v>1</v>
      </c>
      <c r="AU98" s="2">
        <v>1</v>
      </c>
      <c r="AV98" s="2">
        <v>1</v>
      </c>
      <c r="AW98" s="2">
        <v>1</v>
      </c>
      <c r="AX98" s="2">
        <v>1</v>
      </c>
      <c r="AY98" s="2">
        <v>1998</v>
      </c>
      <c r="AZ98" s="2">
        <f t="shared" si="24"/>
        <v>26</v>
      </c>
      <c r="BA98" s="2" t="str">
        <f t="shared" si="25"/>
        <v>3</v>
      </c>
      <c r="BB98" s="3">
        <f>(BA98+AX98+AS98+AQ98+AH98+Z98)/7</f>
        <v>1.2142857142857142</v>
      </c>
      <c r="BC98" s="2" t="s">
        <v>107</v>
      </c>
      <c r="BD98" s="8" t="s">
        <v>139</v>
      </c>
      <c r="BE98" s="2" t="s">
        <v>203</v>
      </c>
      <c r="BF98" s="2"/>
      <c r="BG98" s="2"/>
      <c r="BH98" s="2"/>
      <c r="BI98" s="2">
        <v>798</v>
      </c>
      <c r="BJ98" s="2">
        <v>73252</v>
      </c>
      <c r="BK98" s="2">
        <v>80</v>
      </c>
    </row>
    <row r="99" spans="1:63" s="25" customFormat="1" ht="32" hidden="1" x14ac:dyDescent="0.2">
      <c r="A99" s="21">
        <v>20047769</v>
      </c>
      <c r="B99" s="21" t="s">
        <v>389</v>
      </c>
      <c r="C99" s="21">
        <v>33000</v>
      </c>
      <c r="D99" s="21" t="s">
        <v>152</v>
      </c>
      <c r="E99" s="51" t="s">
        <v>387</v>
      </c>
      <c r="F99" s="21" t="s">
        <v>390</v>
      </c>
      <c r="G99" s="21" t="s">
        <v>70</v>
      </c>
      <c r="H99" s="21" t="s">
        <v>70</v>
      </c>
      <c r="I99" s="21" t="s">
        <v>81</v>
      </c>
      <c r="J99" s="21" t="s">
        <v>82</v>
      </c>
      <c r="K99" s="21" t="s">
        <v>48</v>
      </c>
      <c r="L99" s="21">
        <v>110</v>
      </c>
      <c r="M99" s="21" t="s">
        <v>137</v>
      </c>
      <c r="N99" s="21" t="s">
        <v>60</v>
      </c>
      <c r="O99" s="21" t="s">
        <v>391</v>
      </c>
      <c r="P99" s="21">
        <v>10.199999999999999</v>
      </c>
      <c r="Q99" s="21">
        <v>35</v>
      </c>
      <c r="R99" s="21">
        <v>16.7</v>
      </c>
      <c r="S99" s="21">
        <v>8.4</v>
      </c>
      <c r="T99" s="21">
        <v>1392</v>
      </c>
      <c r="U99" s="21">
        <v>12821</v>
      </c>
      <c r="V99" s="21">
        <v>0</v>
      </c>
      <c r="W99" s="21">
        <f t="shared" si="27"/>
        <v>14283.3</v>
      </c>
      <c r="X99" s="21" t="str">
        <f t="shared" si="17"/>
        <v>3</v>
      </c>
      <c r="Y99" s="21" t="str">
        <f t="shared" si="26"/>
        <v>1</v>
      </c>
      <c r="Z99" s="22">
        <f t="shared" si="18"/>
        <v>2</v>
      </c>
      <c r="AA99" s="21">
        <v>22</v>
      </c>
      <c r="AB99" s="21">
        <v>30</v>
      </c>
      <c r="AC99" s="21">
        <v>0.02</v>
      </c>
      <c r="AD99" s="21">
        <v>44.8</v>
      </c>
      <c r="AE99" s="21">
        <f t="shared" si="19"/>
        <v>2240</v>
      </c>
      <c r="AF99" s="21" t="str">
        <f t="shared" si="20"/>
        <v>4</v>
      </c>
      <c r="AG99" s="21" t="str">
        <f t="shared" si="21"/>
        <v>1</v>
      </c>
      <c r="AH99" s="22">
        <f t="shared" si="22"/>
        <v>2.5</v>
      </c>
      <c r="AI99" s="21">
        <v>5</v>
      </c>
      <c r="AJ99" s="21">
        <v>173.21</v>
      </c>
      <c r="AK99" s="21">
        <f>AJ99*0.35</f>
        <v>60.6235</v>
      </c>
      <c r="AL99" s="21">
        <v>234.29</v>
      </c>
      <c r="AM99" s="21">
        <f>AL99*0.68</f>
        <v>159.31720000000001</v>
      </c>
      <c r="AN99" s="21">
        <v>1087.76</v>
      </c>
      <c r="AO99" s="21">
        <f>AN99*0.35</f>
        <v>380.71599999999995</v>
      </c>
      <c r="AP99" s="21">
        <v>35</v>
      </c>
      <c r="AQ99" s="23" t="str">
        <f t="shared" si="23"/>
        <v>1</v>
      </c>
      <c r="AR99" s="21">
        <v>1</v>
      </c>
      <c r="AS99" s="21">
        <v>1</v>
      </c>
      <c r="AT99" s="21">
        <v>1</v>
      </c>
      <c r="AU99" s="21">
        <v>1</v>
      </c>
      <c r="AV99" s="21">
        <v>5</v>
      </c>
      <c r="AW99" s="21">
        <v>1</v>
      </c>
      <c r="AX99" s="21">
        <v>5</v>
      </c>
      <c r="AY99" s="21">
        <v>1984</v>
      </c>
      <c r="AZ99" s="21">
        <f t="shared" si="24"/>
        <v>40</v>
      </c>
      <c r="BA99" s="21" t="str">
        <f t="shared" si="25"/>
        <v>5</v>
      </c>
      <c r="BB99" s="22">
        <f>(BA99+AX99+AS99+AQ99+AH99+Z99)/3.5</f>
        <v>4.7142857142857144</v>
      </c>
      <c r="BC99" s="21" t="s">
        <v>114</v>
      </c>
      <c r="BD99" s="24" t="s">
        <v>392</v>
      </c>
      <c r="BE99" s="21" t="s">
        <v>203</v>
      </c>
      <c r="BF99" s="21"/>
      <c r="BG99" s="21"/>
      <c r="BH99" s="21">
        <v>12000000</v>
      </c>
      <c r="BI99" s="21">
        <v>2618</v>
      </c>
      <c r="BJ99" s="21">
        <v>79007</v>
      </c>
      <c r="BK99" s="21">
        <v>21</v>
      </c>
    </row>
    <row r="100" spans="1:63" ht="32" hidden="1" x14ac:dyDescent="0.2">
      <c r="A100" s="2">
        <v>20037768</v>
      </c>
      <c r="B100" s="2">
        <v>56220119</v>
      </c>
      <c r="C100" s="2">
        <v>5000</v>
      </c>
      <c r="D100" s="2" t="s">
        <v>73</v>
      </c>
      <c r="E100" s="2" t="s">
        <v>393</v>
      </c>
      <c r="F100" s="2" t="s">
        <v>394</v>
      </c>
      <c r="G100" s="2" t="s">
        <v>125</v>
      </c>
      <c r="H100" s="2" t="s">
        <v>148</v>
      </c>
      <c r="I100" s="2" t="s">
        <v>65</v>
      </c>
      <c r="J100" s="2" t="s">
        <v>61</v>
      </c>
      <c r="K100" s="2" t="s">
        <v>66</v>
      </c>
      <c r="L100" s="2" t="s">
        <v>76</v>
      </c>
      <c r="M100" s="2" t="s">
        <v>60</v>
      </c>
      <c r="N100" s="2" t="s">
        <v>61</v>
      </c>
      <c r="O100" s="2" t="s">
        <v>130</v>
      </c>
      <c r="P100" s="2">
        <v>6</v>
      </c>
      <c r="Q100" s="2">
        <v>31</v>
      </c>
      <c r="R100" s="2">
        <v>2.7</v>
      </c>
      <c r="S100" s="2">
        <v>8</v>
      </c>
      <c r="T100" s="2">
        <v>654</v>
      </c>
      <c r="U100" s="2">
        <v>2396</v>
      </c>
      <c r="V100" s="2">
        <v>0</v>
      </c>
      <c r="W100" s="2">
        <f t="shared" si="27"/>
        <v>3097.7</v>
      </c>
      <c r="X100" s="2" t="str">
        <f t="shared" si="17"/>
        <v>1</v>
      </c>
      <c r="Y100" s="2" t="str">
        <f t="shared" si="26"/>
        <v>1</v>
      </c>
      <c r="Z100" s="3">
        <f t="shared" si="18"/>
        <v>1</v>
      </c>
      <c r="AA100" s="2">
        <v>47</v>
      </c>
      <c r="AB100" s="2">
        <v>7</v>
      </c>
      <c r="AC100" s="2">
        <v>0.02</v>
      </c>
      <c r="AD100" s="2">
        <v>43.3</v>
      </c>
      <c r="AE100" s="2">
        <f t="shared" si="19"/>
        <v>2165</v>
      </c>
      <c r="AF100" s="2" t="str">
        <f t="shared" si="20"/>
        <v>1</v>
      </c>
      <c r="AG100" s="2" t="str">
        <f t="shared" si="21"/>
        <v>1</v>
      </c>
      <c r="AH100" s="3">
        <f t="shared" si="22"/>
        <v>1</v>
      </c>
      <c r="AI100" s="2">
        <v>3</v>
      </c>
      <c r="AJ100" s="2">
        <v>83.67</v>
      </c>
      <c r="AK100" s="2">
        <f>AJ100*0.66</f>
        <v>55.222200000000001</v>
      </c>
      <c r="AL100" s="2">
        <v>209.18</v>
      </c>
      <c r="AM100" s="2">
        <f>AL100*0.66</f>
        <v>138.05880000000002</v>
      </c>
      <c r="AN100" s="2" t="s">
        <v>61</v>
      </c>
      <c r="AO100" s="2" t="s">
        <v>61</v>
      </c>
      <c r="AP100" s="2">
        <v>66</v>
      </c>
      <c r="AQ100" s="19" t="str">
        <f t="shared" si="23"/>
        <v>1</v>
      </c>
      <c r="AR100" s="2">
        <v>1</v>
      </c>
      <c r="AS100" s="2">
        <v>1</v>
      </c>
      <c r="AT100" s="2">
        <v>5</v>
      </c>
      <c r="AU100" s="2">
        <v>1</v>
      </c>
      <c r="AV100" s="2">
        <v>1</v>
      </c>
      <c r="AW100" s="2" t="s">
        <v>61</v>
      </c>
      <c r="AX100" s="2">
        <v>5</v>
      </c>
      <c r="AY100" s="2">
        <v>2019</v>
      </c>
      <c r="AZ100" s="2">
        <f t="shared" si="24"/>
        <v>5</v>
      </c>
      <c r="BA100" s="2" t="str">
        <f t="shared" si="25"/>
        <v>1</v>
      </c>
      <c r="BB100" s="3">
        <f>(BA100+AX100+AS100+AQ100+AH100+Z100)/3.5</f>
        <v>2.8571428571428572</v>
      </c>
      <c r="BC100" s="2" t="s">
        <v>111</v>
      </c>
      <c r="BD100" s="8" t="s">
        <v>358</v>
      </c>
      <c r="BE100" s="2" t="s">
        <v>395</v>
      </c>
      <c r="BF100" s="2">
        <v>38500000</v>
      </c>
      <c r="BG100" s="2">
        <v>54800000</v>
      </c>
      <c r="BH100" s="2">
        <v>9000000</v>
      </c>
      <c r="BI100" s="2">
        <v>3047</v>
      </c>
      <c r="BJ100" s="2">
        <v>78272</v>
      </c>
      <c r="BK100" s="2">
        <v>9.3000000000000007</v>
      </c>
    </row>
    <row r="101" spans="1:63" ht="64" hidden="1" x14ac:dyDescent="0.2">
      <c r="A101" s="2">
        <v>20037768</v>
      </c>
      <c r="B101" s="2">
        <v>183828</v>
      </c>
      <c r="C101" s="2">
        <v>5000</v>
      </c>
      <c r="D101" s="2" t="s">
        <v>73</v>
      </c>
      <c r="E101" s="2" t="s">
        <v>393</v>
      </c>
      <c r="F101" s="2" t="s">
        <v>396</v>
      </c>
      <c r="G101" s="2" t="s">
        <v>125</v>
      </c>
      <c r="H101" s="2" t="s">
        <v>148</v>
      </c>
      <c r="I101" s="2" t="s">
        <v>65</v>
      </c>
      <c r="J101" s="2" t="s">
        <v>61</v>
      </c>
      <c r="K101" s="2" t="s">
        <v>66</v>
      </c>
      <c r="L101" s="2" t="s">
        <v>76</v>
      </c>
      <c r="M101" s="2" t="s">
        <v>60</v>
      </c>
      <c r="N101" s="2" t="s">
        <v>61</v>
      </c>
      <c r="O101" s="2" t="s">
        <v>130</v>
      </c>
      <c r="P101" s="2">
        <v>1.2</v>
      </c>
      <c r="Q101" s="2">
        <v>1.8</v>
      </c>
      <c r="R101" s="2">
        <v>0.2</v>
      </c>
      <c r="S101" s="2">
        <v>0.8</v>
      </c>
      <c r="T101" s="2">
        <v>136</v>
      </c>
      <c r="U101" s="2">
        <v>93</v>
      </c>
      <c r="V101" s="2">
        <v>0</v>
      </c>
      <c r="W101" s="2">
        <f t="shared" si="27"/>
        <v>233</v>
      </c>
      <c r="X101" s="2" t="str">
        <f t="shared" si="17"/>
        <v>1</v>
      </c>
      <c r="Y101" s="2" t="str">
        <f t="shared" si="26"/>
        <v>1</v>
      </c>
      <c r="Z101" s="3">
        <f t="shared" si="18"/>
        <v>1</v>
      </c>
      <c r="AA101" s="2">
        <v>54</v>
      </c>
      <c r="AB101" s="2">
        <v>6</v>
      </c>
      <c r="AC101" s="2">
        <v>0.02</v>
      </c>
      <c r="AD101" s="2">
        <v>43.9</v>
      </c>
      <c r="AE101" s="2">
        <f t="shared" si="19"/>
        <v>2195</v>
      </c>
      <c r="AF101" s="2" t="str">
        <f t="shared" si="20"/>
        <v>1</v>
      </c>
      <c r="AG101" s="2" t="str">
        <f t="shared" si="21"/>
        <v>1</v>
      </c>
      <c r="AH101" s="3">
        <f t="shared" si="22"/>
        <v>1</v>
      </c>
      <c r="AI101" s="2">
        <v>2</v>
      </c>
      <c r="AJ101" s="2">
        <v>83.67</v>
      </c>
      <c r="AK101" s="37">
        <f>AJ101*0.66</f>
        <v>55.222200000000001</v>
      </c>
      <c r="AL101" s="2">
        <v>209.1</v>
      </c>
      <c r="AM101" s="3">
        <f>AL101*0.66</f>
        <v>138.006</v>
      </c>
      <c r="AN101" s="2" t="s">
        <v>61</v>
      </c>
      <c r="AO101" s="2" t="s">
        <v>61</v>
      </c>
      <c r="AP101" s="2">
        <v>66</v>
      </c>
      <c r="AQ101" s="19" t="str">
        <f t="shared" si="23"/>
        <v>1</v>
      </c>
      <c r="AR101" s="2">
        <v>1</v>
      </c>
      <c r="AS101" s="2">
        <v>1</v>
      </c>
      <c r="AT101" s="2">
        <v>1</v>
      </c>
      <c r="AU101" s="2">
        <v>1</v>
      </c>
      <c r="AV101" s="2">
        <v>1</v>
      </c>
      <c r="AW101" s="2" t="s">
        <v>61</v>
      </c>
      <c r="AX101" s="2">
        <v>1</v>
      </c>
      <c r="AY101" s="2">
        <v>1998</v>
      </c>
      <c r="AZ101" s="2">
        <f t="shared" si="24"/>
        <v>26</v>
      </c>
      <c r="BA101" s="2" t="str">
        <f t="shared" si="25"/>
        <v>3</v>
      </c>
      <c r="BB101" s="3">
        <f>(BA101+AX101+AS101+AQ101+AH101+Z101)/7</f>
        <v>1.1428571428571428</v>
      </c>
      <c r="BC101" s="2" t="s">
        <v>107</v>
      </c>
      <c r="BD101" s="8" t="s">
        <v>120</v>
      </c>
      <c r="BE101" s="2"/>
      <c r="BF101" s="2"/>
      <c r="BG101" s="2"/>
      <c r="BH101" s="2"/>
      <c r="BI101" s="2">
        <v>5298</v>
      </c>
      <c r="BJ101" s="2">
        <v>44984</v>
      </c>
      <c r="BK101" s="2">
        <v>1.9</v>
      </c>
    </row>
    <row r="102" spans="1:63" ht="32" hidden="1" x14ac:dyDescent="0.2">
      <c r="A102" s="2">
        <v>20017777</v>
      </c>
      <c r="B102" s="2" t="s">
        <v>397</v>
      </c>
      <c r="C102" s="2">
        <v>33000</v>
      </c>
      <c r="D102" s="2" t="s">
        <v>152</v>
      </c>
      <c r="E102" s="2" t="s">
        <v>398</v>
      </c>
      <c r="F102" s="2" t="s">
        <v>399</v>
      </c>
      <c r="G102" s="2" t="s">
        <v>70</v>
      </c>
      <c r="H102" s="2" t="s">
        <v>70</v>
      </c>
      <c r="I102" s="2" t="s">
        <v>81</v>
      </c>
      <c r="J102" s="2" t="s">
        <v>82</v>
      </c>
      <c r="K102" s="2" t="s">
        <v>48</v>
      </c>
      <c r="L102" s="2">
        <v>66</v>
      </c>
      <c r="M102" s="2" t="s">
        <v>60</v>
      </c>
      <c r="N102" s="2" t="s">
        <v>61</v>
      </c>
      <c r="O102" s="2" t="s">
        <v>155</v>
      </c>
      <c r="P102" s="2">
        <v>35</v>
      </c>
      <c r="Q102" s="2">
        <v>12.8</v>
      </c>
      <c r="R102" s="2">
        <v>7.4</v>
      </c>
      <c r="S102" s="2">
        <v>6</v>
      </c>
      <c r="T102" s="2">
        <v>753</v>
      </c>
      <c r="U102" s="2">
        <v>4485</v>
      </c>
      <c r="V102" s="2">
        <v>0.2</v>
      </c>
      <c r="W102" s="2">
        <v>5299.2</v>
      </c>
      <c r="X102" s="2" t="str">
        <f t="shared" si="17"/>
        <v>2</v>
      </c>
      <c r="Y102" s="2" t="str">
        <f t="shared" si="26"/>
        <v>1</v>
      </c>
      <c r="Z102" s="3">
        <f t="shared" si="18"/>
        <v>1.5</v>
      </c>
      <c r="AA102" s="2">
        <v>37</v>
      </c>
      <c r="AB102" s="2">
        <v>11</v>
      </c>
      <c r="AC102" s="2">
        <v>0.04</v>
      </c>
      <c r="AD102" s="2">
        <v>28.3</v>
      </c>
      <c r="AE102" s="2">
        <f t="shared" si="19"/>
        <v>707.5</v>
      </c>
      <c r="AF102" s="2" t="str">
        <f t="shared" si="20"/>
        <v>1</v>
      </c>
      <c r="AG102" s="2" t="str">
        <f t="shared" si="21"/>
        <v>4</v>
      </c>
      <c r="AH102" s="3">
        <f t="shared" si="22"/>
        <v>2.5</v>
      </c>
      <c r="AI102" s="2">
        <v>5</v>
      </c>
      <c r="AJ102" s="2">
        <v>289</v>
      </c>
      <c r="AK102" s="2">
        <f>AJ102*0.56</f>
        <v>161.84</v>
      </c>
      <c r="AL102" s="2">
        <v>1381</v>
      </c>
      <c r="AM102" s="2">
        <f>AL102*0.56</f>
        <v>773.36000000000013</v>
      </c>
      <c r="AN102" s="2" t="s">
        <v>61</v>
      </c>
      <c r="AO102" s="2" t="s">
        <v>61</v>
      </c>
      <c r="AP102" s="2">
        <v>56</v>
      </c>
      <c r="AQ102" s="19" t="str">
        <f t="shared" si="23"/>
        <v>1</v>
      </c>
      <c r="AR102" s="2">
        <v>1</v>
      </c>
      <c r="AS102" s="2">
        <v>1</v>
      </c>
      <c r="AT102" s="2">
        <v>1</v>
      </c>
      <c r="AU102" s="2">
        <v>1</v>
      </c>
      <c r="AV102" s="2">
        <v>5</v>
      </c>
      <c r="AW102" s="2">
        <v>1</v>
      </c>
      <c r="AX102" s="2">
        <v>5</v>
      </c>
      <c r="AY102" s="2">
        <v>1983</v>
      </c>
      <c r="AZ102" s="2">
        <f t="shared" si="24"/>
        <v>41</v>
      </c>
      <c r="BA102" s="2" t="str">
        <f>IF(AZ102&gt;=36,"5",IF(AZ102&gt;=31,"4",IF(AZ102&gt;=21,"3",IF(AZ102&gt;=7,"2","1"))))</f>
        <v>5</v>
      </c>
      <c r="BB102" s="3">
        <f>(BA102+AX102+AS102+AQ102+AH102+Z102)/5</f>
        <v>3.2</v>
      </c>
      <c r="BC102" s="2" t="s">
        <v>111</v>
      </c>
      <c r="BD102" s="8" t="s">
        <v>358</v>
      </c>
      <c r="BE102" s="2" t="s">
        <v>400</v>
      </c>
      <c r="BF102" s="2"/>
      <c r="BG102" s="2">
        <v>45680000</v>
      </c>
      <c r="BH102" s="2">
        <v>9000000</v>
      </c>
      <c r="BI102" s="2">
        <v>17870</v>
      </c>
      <c r="BJ102" s="2">
        <v>91129</v>
      </c>
      <c r="BK102" s="2">
        <v>15.8</v>
      </c>
    </row>
    <row r="103" spans="1:63" s="25" customFormat="1" ht="48" x14ac:dyDescent="0.2">
      <c r="A103" s="21">
        <v>20017777</v>
      </c>
      <c r="B103" s="21" t="s">
        <v>401</v>
      </c>
      <c r="C103" s="21">
        <v>33000</v>
      </c>
      <c r="D103" s="21" t="s">
        <v>152</v>
      </c>
      <c r="E103" s="5" t="s">
        <v>398</v>
      </c>
      <c r="F103" s="21" t="s">
        <v>402</v>
      </c>
      <c r="G103" s="21" t="s">
        <v>70</v>
      </c>
      <c r="H103" s="21" t="s">
        <v>70</v>
      </c>
      <c r="I103" s="21" t="s">
        <v>81</v>
      </c>
      <c r="J103" s="21" t="s">
        <v>82</v>
      </c>
      <c r="K103" s="21" t="s">
        <v>48</v>
      </c>
      <c r="L103" s="21">
        <v>66</v>
      </c>
      <c r="M103" s="21" t="s">
        <v>60</v>
      </c>
      <c r="N103" s="21" t="s">
        <v>61</v>
      </c>
      <c r="O103" s="21" t="s">
        <v>155</v>
      </c>
      <c r="P103" s="21">
        <v>70</v>
      </c>
      <c r="Q103" s="21">
        <v>70</v>
      </c>
      <c r="R103" s="21">
        <v>53</v>
      </c>
      <c r="S103" s="21">
        <v>9.3000000000000007</v>
      </c>
      <c r="T103" s="21">
        <v>885</v>
      </c>
      <c r="U103" s="21">
        <v>3912</v>
      </c>
      <c r="V103" s="21">
        <v>10.9</v>
      </c>
      <c r="W103" s="21">
        <f t="shared" ref="W103:W134" si="28">(P103+Q103+T103+R103+S103+U103)</f>
        <v>4999.3</v>
      </c>
      <c r="X103" s="21" t="str">
        <f t="shared" si="17"/>
        <v>2</v>
      </c>
      <c r="Y103" s="21" t="str">
        <f t="shared" si="26"/>
        <v>2</v>
      </c>
      <c r="Z103" s="22">
        <f t="shared" si="18"/>
        <v>2</v>
      </c>
      <c r="AA103" s="21">
        <v>47</v>
      </c>
      <c r="AB103" s="21">
        <v>13</v>
      </c>
      <c r="AC103" s="21">
        <v>0.02</v>
      </c>
      <c r="AD103" s="21">
        <v>33.1</v>
      </c>
      <c r="AE103" s="21">
        <f t="shared" si="19"/>
        <v>1655</v>
      </c>
      <c r="AF103" s="21" t="str">
        <f t="shared" si="20"/>
        <v>1</v>
      </c>
      <c r="AG103" s="21" t="str">
        <f t="shared" si="21"/>
        <v>1</v>
      </c>
      <c r="AH103" s="22">
        <f t="shared" si="22"/>
        <v>1</v>
      </c>
      <c r="AI103" s="21">
        <v>1</v>
      </c>
      <c r="AJ103" s="21">
        <v>289</v>
      </c>
      <c r="AK103" s="21">
        <f>AJ103*0.58</f>
        <v>167.61999999999998</v>
      </c>
      <c r="AL103" s="21">
        <v>1381</v>
      </c>
      <c r="AM103" s="21">
        <f>AL103*0.58</f>
        <v>800.9799999999999</v>
      </c>
      <c r="AN103" s="21" t="s">
        <v>61</v>
      </c>
      <c r="AO103" s="21" t="s">
        <v>61</v>
      </c>
      <c r="AP103" s="21">
        <v>58</v>
      </c>
      <c r="AQ103" s="23" t="str">
        <f t="shared" si="23"/>
        <v>1</v>
      </c>
      <c r="AR103" s="21">
        <v>1</v>
      </c>
      <c r="AS103" s="21">
        <v>1</v>
      </c>
      <c r="AT103" s="21">
        <v>1</v>
      </c>
      <c r="AU103" s="21">
        <v>1</v>
      </c>
      <c r="AV103" s="21">
        <v>5</v>
      </c>
      <c r="AW103" s="21">
        <v>1</v>
      </c>
      <c r="AX103" s="21">
        <v>5</v>
      </c>
      <c r="AY103" s="21">
        <v>1983</v>
      </c>
      <c r="AZ103" s="21">
        <f t="shared" si="24"/>
        <v>41</v>
      </c>
      <c r="BA103" s="21" t="str">
        <f t="shared" si="25"/>
        <v>5</v>
      </c>
      <c r="BB103" s="22">
        <f>(BA103+AX103+AS103+AQ103+AH103+Z103)/4</f>
        <v>3.75</v>
      </c>
      <c r="BC103" s="21" t="s">
        <v>184</v>
      </c>
      <c r="BD103" s="24" t="s">
        <v>403</v>
      </c>
      <c r="BE103" s="21" t="s">
        <v>404</v>
      </c>
      <c r="BF103" s="21">
        <v>32000000</v>
      </c>
      <c r="BG103" s="21">
        <v>360000000</v>
      </c>
      <c r="BH103" s="21">
        <v>18000000</v>
      </c>
      <c r="BI103" s="21">
        <v>2459</v>
      </c>
      <c r="BJ103" s="21">
        <v>75827</v>
      </c>
      <c r="BK103" s="21">
        <v>22</v>
      </c>
    </row>
    <row r="104" spans="1:63" ht="64" hidden="1" x14ac:dyDescent="0.2">
      <c r="A104" s="2">
        <v>20700439</v>
      </c>
      <c r="B104" s="2">
        <v>70480113</v>
      </c>
      <c r="C104" s="2">
        <v>3000</v>
      </c>
      <c r="D104" s="2" t="s">
        <v>73</v>
      </c>
      <c r="E104" s="2" t="s">
        <v>405</v>
      </c>
      <c r="F104" s="2" t="s">
        <v>406</v>
      </c>
      <c r="G104" s="2" t="s">
        <v>58</v>
      </c>
      <c r="H104" s="2" t="s">
        <v>59</v>
      </c>
      <c r="I104" s="2" t="s">
        <v>65</v>
      </c>
      <c r="J104" s="2" t="s">
        <v>61</v>
      </c>
      <c r="K104" s="2" t="s">
        <v>66</v>
      </c>
      <c r="L104" s="2" t="s">
        <v>76</v>
      </c>
      <c r="M104" s="2" t="s">
        <v>60</v>
      </c>
      <c r="N104" s="2" t="s">
        <v>61</v>
      </c>
      <c r="O104" s="2" t="s">
        <v>130</v>
      </c>
      <c r="P104" s="2">
        <v>5.8</v>
      </c>
      <c r="Q104" s="2">
        <v>2.7</v>
      </c>
      <c r="R104" s="2">
        <v>3</v>
      </c>
      <c r="S104" s="2">
        <v>0.6</v>
      </c>
      <c r="T104" s="2">
        <v>273</v>
      </c>
      <c r="U104" s="2">
        <v>2061</v>
      </c>
      <c r="V104" s="2">
        <v>0</v>
      </c>
      <c r="W104" s="2">
        <f t="shared" si="28"/>
        <v>2346.1</v>
      </c>
      <c r="X104" s="2" t="str">
        <f t="shared" si="17"/>
        <v>1</v>
      </c>
      <c r="Y104" s="2" t="str">
        <f t="shared" si="26"/>
        <v>1</v>
      </c>
      <c r="Z104" s="3">
        <f t="shared" si="18"/>
        <v>1</v>
      </c>
      <c r="AA104" s="2">
        <v>28</v>
      </c>
      <c r="AB104" s="2">
        <v>14</v>
      </c>
      <c r="AC104" s="2">
        <v>0.02</v>
      </c>
      <c r="AD104" s="2">
        <v>43.5</v>
      </c>
      <c r="AE104" s="2">
        <f t="shared" si="19"/>
        <v>2175</v>
      </c>
      <c r="AF104" s="2" t="str">
        <f t="shared" si="20"/>
        <v>2</v>
      </c>
      <c r="AG104" s="2" t="str">
        <f t="shared" si="21"/>
        <v>1</v>
      </c>
      <c r="AH104" s="3">
        <f t="shared" si="22"/>
        <v>1.5</v>
      </c>
      <c r="AI104" s="2">
        <v>1</v>
      </c>
      <c r="AJ104" s="2">
        <v>50.2</v>
      </c>
      <c r="AK104" s="2">
        <f>AJ104*0.74</f>
        <v>37.148000000000003</v>
      </c>
      <c r="AL104" s="2">
        <v>125.5</v>
      </c>
      <c r="AM104" s="2">
        <f>AL104*0.74</f>
        <v>92.87</v>
      </c>
      <c r="AN104" s="2" t="s">
        <v>61</v>
      </c>
      <c r="AO104" s="2" t="s">
        <v>61</v>
      </c>
      <c r="AP104" s="2">
        <v>74</v>
      </c>
      <c r="AQ104" s="19" t="str">
        <f t="shared" si="23"/>
        <v>2</v>
      </c>
      <c r="AR104" s="2">
        <v>1</v>
      </c>
      <c r="AS104" s="2">
        <v>1</v>
      </c>
      <c r="AT104" s="2">
        <v>1</v>
      </c>
      <c r="AU104" s="2">
        <v>1</v>
      </c>
      <c r="AV104" s="2">
        <v>1</v>
      </c>
      <c r="AW104" s="2" t="s">
        <v>61</v>
      </c>
      <c r="AX104" s="2">
        <v>1</v>
      </c>
      <c r="AY104" s="2">
        <v>2013</v>
      </c>
      <c r="AZ104" s="2">
        <f t="shared" si="24"/>
        <v>11</v>
      </c>
      <c r="BA104" s="2" t="str">
        <f t="shared" si="25"/>
        <v>2</v>
      </c>
      <c r="BB104" s="3">
        <f>(BA104+AX104+AS104+AQ104+AH104+Z104)/7</f>
        <v>1.2142857142857142</v>
      </c>
      <c r="BC104" s="2" t="s">
        <v>107</v>
      </c>
      <c r="BD104" s="8" t="s">
        <v>120</v>
      </c>
      <c r="BE104" s="2"/>
      <c r="BF104" s="2"/>
      <c r="BG104" s="2"/>
      <c r="BH104" s="2"/>
      <c r="BI104" s="2">
        <v>35205</v>
      </c>
      <c r="BJ104" s="2">
        <v>82975</v>
      </c>
      <c r="BK104" s="2">
        <v>4</v>
      </c>
    </row>
    <row r="105" spans="1:63" ht="16" hidden="1" x14ac:dyDescent="0.2">
      <c r="A105" s="2">
        <v>20027785</v>
      </c>
      <c r="B105" s="2">
        <v>393793</v>
      </c>
      <c r="C105" s="2">
        <v>10000</v>
      </c>
      <c r="D105" s="2" t="s">
        <v>73</v>
      </c>
      <c r="E105" s="2" t="s">
        <v>407</v>
      </c>
      <c r="F105" s="2" t="s">
        <v>408</v>
      </c>
      <c r="G105" s="2" t="s">
        <v>58</v>
      </c>
      <c r="H105" s="2" t="s">
        <v>59</v>
      </c>
      <c r="I105" s="2" t="s">
        <v>81</v>
      </c>
      <c r="J105" s="2" t="s">
        <v>143</v>
      </c>
      <c r="K105" s="2" t="s">
        <v>66</v>
      </c>
      <c r="L105" s="2" t="s">
        <v>76</v>
      </c>
      <c r="M105" s="2" t="s">
        <v>60</v>
      </c>
      <c r="N105" s="2" t="s">
        <v>61</v>
      </c>
      <c r="O105" s="2" t="s">
        <v>83</v>
      </c>
      <c r="P105" s="2">
        <v>1</v>
      </c>
      <c r="Q105" s="2">
        <v>1</v>
      </c>
      <c r="R105" s="2">
        <v>1</v>
      </c>
      <c r="S105" s="2">
        <v>1</v>
      </c>
      <c r="T105" s="2">
        <v>1</v>
      </c>
      <c r="U105" s="2">
        <v>188.6</v>
      </c>
      <c r="V105" s="2">
        <v>0.5</v>
      </c>
      <c r="W105" s="2">
        <f t="shared" si="28"/>
        <v>193.6</v>
      </c>
      <c r="X105" s="2" t="str">
        <f t="shared" si="17"/>
        <v>1</v>
      </c>
      <c r="Y105" s="2" t="str">
        <f t="shared" si="26"/>
        <v>1</v>
      </c>
      <c r="Z105" s="3">
        <f t="shared" si="18"/>
        <v>1</v>
      </c>
      <c r="AA105" s="2">
        <v>76.44</v>
      </c>
      <c r="AB105" s="2">
        <v>4.1500000000000004</v>
      </c>
      <c r="AC105" s="2">
        <v>0.01</v>
      </c>
      <c r="AD105" s="2">
        <v>44.9</v>
      </c>
      <c r="AE105" s="2">
        <f t="shared" si="19"/>
        <v>4490</v>
      </c>
      <c r="AF105" s="2" t="str">
        <f t="shared" si="20"/>
        <v>1</v>
      </c>
      <c r="AG105" s="2" t="str">
        <f t="shared" si="21"/>
        <v>1</v>
      </c>
      <c r="AH105" s="3">
        <f t="shared" si="22"/>
        <v>1</v>
      </c>
      <c r="AI105" s="2">
        <v>1</v>
      </c>
      <c r="AJ105" s="2">
        <v>167.3</v>
      </c>
      <c r="AK105" s="2">
        <f>AJ105*0.678</f>
        <v>113.42940000000002</v>
      </c>
      <c r="AL105" s="2">
        <v>418.4</v>
      </c>
      <c r="AM105" s="2">
        <f>AL105*0.678</f>
        <v>283.67520000000002</v>
      </c>
      <c r="AN105" s="2" t="s">
        <v>61</v>
      </c>
      <c r="AO105" s="2" t="s">
        <v>61</v>
      </c>
      <c r="AP105" s="2">
        <v>67.8</v>
      </c>
      <c r="AQ105" s="19" t="str">
        <f t="shared" si="23"/>
        <v>1</v>
      </c>
      <c r="AR105" s="2">
        <v>1</v>
      </c>
      <c r="AS105" s="2">
        <v>1</v>
      </c>
      <c r="AT105" s="2">
        <v>1</v>
      </c>
      <c r="AU105" s="2">
        <v>1</v>
      </c>
      <c r="AV105" s="2">
        <v>1</v>
      </c>
      <c r="AW105" s="2" t="s">
        <v>61</v>
      </c>
      <c r="AX105" s="2">
        <v>1</v>
      </c>
      <c r="AY105" s="2">
        <v>2022</v>
      </c>
      <c r="AZ105" s="2">
        <f t="shared" si="24"/>
        <v>2</v>
      </c>
      <c r="BA105" s="2" t="str">
        <f t="shared" si="25"/>
        <v>1</v>
      </c>
      <c r="BB105" s="3">
        <v>3</v>
      </c>
      <c r="BC105" s="2" t="s">
        <v>111</v>
      </c>
      <c r="BD105" s="8" t="s">
        <v>220</v>
      </c>
      <c r="BE105" s="2" t="s">
        <v>277</v>
      </c>
      <c r="BF105" s="2"/>
      <c r="BG105" s="2"/>
      <c r="BH105" s="2"/>
      <c r="BI105" s="2">
        <v>1162.5999999999999</v>
      </c>
      <c r="BJ105" s="2">
        <v>3929.2</v>
      </c>
      <c r="BK105" s="2">
        <v>0</v>
      </c>
    </row>
    <row r="106" spans="1:63" ht="64" hidden="1" x14ac:dyDescent="0.2">
      <c r="A106" s="2">
        <v>20700474</v>
      </c>
      <c r="B106" s="2">
        <v>1058585425</v>
      </c>
      <c r="C106" s="2">
        <v>30000</v>
      </c>
      <c r="D106" s="2" t="s">
        <v>152</v>
      </c>
      <c r="E106" s="2" t="s">
        <v>409</v>
      </c>
      <c r="F106" s="2" t="s">
        <v>410</v>
      </c>
      <c r="G106" s="2" t="s">
        <v>70</v>
      </c>
      <c r="H106" s="2" t="s">
        <v>70</v>
      </c>
      <c r="I106" s="2" t="s">
        <v>81</v>
      </c>
      <c r="J106" s="2" t="s">
        <v>82</v>
      </c>
      <c r="K106" s="2" t="s">
        <v>48</v>
      </c>
      <c r="L106" s="2">
        <v>66</v>
      </c>
      <c r="M106" s="2" t="s">
        <v>60</v>
      </c>
      <c r="N106" s="2" t="s">
        <v>61</v>
      </c>
      <c r="O106" s="2" t="s">
        <v>172</v>
      </c>
      <c r="P106" s="2">
        <v>14.4</v>
      </c>
      <c r="Q106" s="2">
        <v>4.3</v>
      </c>
      <c r="R106" s="2">
        <v>0.5</v>
      </c>
      <c r="S106" s="2">
        <v>0.4</v>
      </c>
      <c r="T106" s="2">
        <v>277</v>
      </c>
      <c r="U106" s="2">
        <v>489</v>
      </c>
      <c r="V106" s="2">
        <v>0</v>
      </c>
      <c r="W106" s="2">
        <f t="shared" si="28"/>
        <v>785.59999999999991</v>
      </c>
      <c r="X106" s="2" t="str">
        <f t="shared" si="17"/>
        <v>1</v>
      </c>
      <c r="Y106" s="2" t="str">
        <f t="shared" ref="Y106:Y137" si="29">IF(V106&gt;=16,"5",IF(V106&gt;=15,"4",IF(V106&gt;=12,"3",IF(V106&gt;=7,"2","1"))))</f>
        <v>1</v>
      </c>
      <c r="Z106" s="3">
        <f t="shared" si="18"/>
        <v>1</v>
      </c>
      <c r="AA106" s="2">
        <v>54</v>
      </c>
      <c r="AB106" s="2">
        <v>10</v>
      </c>
      <c r="AC106" s="2">
        <v>0.02</v>
      </c>
      <c r="AD106" s="2">
        <v>44.5</v>
      </c>
      <c r="AE106" s="2">
        <f t="shared" si="19"/>
        <v>2225</v>
      </c>
      <c r="AF106" s="2" t="str">
        <f t="shared" si="20"/>
        <v>1</v>
      </c>
      <c r="AG106" s="2" t="str">
        <f t="shared" si="21"/>
        <v>1</v>
      </c>
      <c r="AH106" s="3">
        <f t="shared" si="22"/>
        <v>1</v>
      </c>
      <c r="AI106" s="2">
        <v>1</v>
      </c>
      <c r="AJ106" s="2">
        <v>262.39999999999998</v>
      </c>
      <c r="AK106" s="2">
        <f>AJ106*0.25</f>
        <v>65.599999999999994</v>
      </c>
      <c r="AL106" s="2">
        <v>1255</v>
      </c>
      <c r="AM106" s="2">
        <f>AL106*0.25</f>
        <v>313.75</v>
      </c>
      <c r="AN106" s="2" t="s">
        <v>61</v>
      </c>
      <c r="AO106" s="2" t="s">
        <v>61</v>
      </c>
      <c r="AP106" s="2">
        <v>25</v>
      </c>
      <c r="AQ106" s="19" t="str">
        <f t="shared" si="23"/>
        <v>1</v>
      </c>
      <c r="AR106" s="2">
        <v>1</v>
      </c>
      <c r="AS106" s="2">
        <v>1</v>
      </c>
      <c r="AT106" s="2">
        <v>1</v>
      </c>
      <c r="AU106" s="2">
        <v>1</v>
      </c>
      <c r="AV106" s="2">
        <v>1</v>
      </c>
      <c r="AW106" s="2">
        <v>1</v>
      </c>
      <c r="AX106" s="2">
        <v>1</v>
      </c>
      <c r="AY106" s="2">
        <v>2021</v>
      </c>
      <c r="AZ106" s="2">
        <f t="shared" si="24"/>
        <v>3</v>
      </c>
      <c r="BA106" s="2" t="str">
        <f t="shared" si="25"/>
        <v>1</v>
      </c>
      <c r="BB106" s="3">
        <f>(BA106+AX106+AS106+AQ106+AH106+Z106)/7</f>
        <v>0.8571428571428571</v>
      </c>
      <c r="BC106" s="2" t="s">
        <v>107</v>
      </c>
      <c r="BD106" s="8" t="s">
        <v>120</v>
      </c>
      <c r="BE106" s="2"/>
      <c r="BF106" s="2"/>
      <c r="BG106" s="2"/>
      <c r="BH106" s="2"/>
      <c r="BI106" s="2">
        <v>7190</v>
      </c>
      <c r="BJ106" s="2">
        <v>44473</v>
      </c>
      <c r="BK106" s="2">
        <v>0.7</v>
      </c>
    </row>
    <row r="107" spans="1:63" ht="64" hidden="1" x14ac:dyDescent="0.2">
      <c r="A107" s="2">
        <v>20700474</v>
      </c>
      <c r="B107" s="2">
        <v>1058585391</v>
      </c>
      <c r="C107" s="2">
        <v>30000</v>
      </c>
      <c r="D107" s="2" t="s">
        <v>152</v>
      </c>
      <c r="E107" s="2" t="s">
        <v>409</v>
      </c>
      <c r="F107" s="2" t="s">
        <v>411</v>
      </c>
      <c r="G107" s="2" t="s">
        <v>70</v>
      </c>
      <c r="H107" s="2" t="s">
        <v>70</v>
      </c>
      <c r="I107" s="2" t="s">
        <v>81</v>
      </c>
      <c r="J107" s="2" t="s">
        <v>82</v>
      </c>
      <c r="K107" s="2" t="s">
        <v>48</v>
      </c>
      <c r="L107" s="2">
        <v>66</v>
      </c>
      <c r="M107" s="2" t="s">
        <v>60</v>
      </c>
      <c r="N107" s="2" t="s">
        <v>61</v>
      </c>
      <c r="O107" s="2" t="s">
        <v>172</v>
      </c>
      <c r="P107" s="2">
        <v>10.1</v>
      </c>
      <c r="Q107" s="2">
        <v>2.5</v>
      </c>
      <c r="R107" s="2">
        <v>0.4</v>
      </c>
      <c r="S107" s="2">
        <v>0.2</v>
      </c>
      <c r="T107" s="2">
        <v>227</v>
      </c>
      <c r="U107" s="2">
        <v>534</v>
      </c>
      <c r="V107" s="2">
        <v>0</v>
      </c>
      <c r="W107" s="2">
        <f t="shared" si="28"/>
        <v>774.2</v>
      </c>
      <c r="X107" s="2" t="str">
        <f t="shared" si="17"/>
        <v>1</v>
      </c>
      <c r="Y107" s="2" t="str">
        <f t="shared" si="29"/>
        <v>1</v>
      </c>
      <c r="Z107" s="3">
        <f t="shared" si="18"/>
        <v>1</v>
      </c>
      <c r="AA107" s="2">
        <v>56</v>
      </c>
      <c r="AB107" s="2">
        <v>7</v>
      </c>
      <c r="AC107" s="2">
        <v>0.02</v>
      </c>
      <c r="AD107" s="2">
        <v>44.7</v>
      </c>
      <c r="AE107" s="2">
        <f t="shared" si="19"/>
        <v>2235</v>
      </c>
      <c r="AF107" s="2" t="str">
        <f t="shared" si="20"/>
        <v>1</v>
      </c>
      <c r="AG107" s="2" t="str">
        <f t="shared" si="21"/>
        <v>1</v>
      </c>
      <c r="AH107" s="3">
        <f t="shared" si="22"/>
        <v>1</v>
      </c>
      <c r="AI107" s="2">
        <v>1</v>
      </c>
      <c r="AJ107" s="2">
        <v>262.39999999999998</v>
      </c>
      <c r="AK107" s="2">
        <f>AJ107*0.25</f>
        <v>65.599999999999994</v>
      </c>
      <c r="AL107" s="2">
        <v>1255</v>
      </c>
      <c r="AM107" s="2">
        <f>AL107*0.25</f>
        <v>313.75</v>
      </c>
      <c r="AN107" s="2" t="s">
        <v>61</v>
      </c>
      <c r="AO107" s="2" t="s">
        <v>61</v>
      </c>
      <c r="AP107" s="2">
        <v>25</v>
      </c>
      <c r="AQ107" s="19" t="str">
        <f t="shared" si="23"/>
        <v>1</v>
      </c>
      <c r="AR107" s="2">
        <v>1</v>
      </c>
      <c r="AS107" s="2">
        <v>1</v>
      </c>
      <c r="AT107" s="2">
        <v>1</v>
      </c>
      <c r="AU107" s="2">
        <v>1</v>
      </c>
      <c r="AV107" s="2">
        <v>1</v>
      </c>
      <c r="AW107" s="2">
        <v>1</v>
      </c>
      <c r="AX107" s="2">
        <v>1</v>
      </c>
      <c r="AY107" s="2">
        <v>2021</v>
      </c>
      <c r="AZ107" s="2">
        <f t="shared" si="24"/>
        <v>3</v>
      </c>
      <c r="BA107" s="2" t="str">
        <f t="shared" si="25"/>
        <v>1</v>
      </c>
      <c r="BB107" s="3">
        <f>(BA107+AX107+AS107+AQ107+AH107+Z107)/7</f>
        <v>0.8571428571428571</v>
      </c>
      <c r="BC107" s="2" t="s">
        <v>107</v>
      </c>
      <c r="BD107" s="8" t="s">
        <v>120</v>
      </c>
      <c r="BE107" s="2"/>
      <c r="BF107" s="2"/>
      <c r="BG107" s="2"/>
      <c r="BH107" s="2"/>
      <c r="BI107" s="2">
        <v>9308</v>
      </c>
      <c r="BJ107" s="2">
        <v>41614</v>
      </c>
      <c r="BK107" s="2">
        <v>0.4</v>
      </c>
    </row>
    <row r="108" spans="1:63" s="25" customFormat="1" ht="80" hidden="1" x14ac:dyDescent="0.2">
      <c r="A108" s="21">
        <v>20057668</v>
      </c>
      <c r="B108" s="21">
        <v>153149</v>
      </c>
      <c r="C108" s="21">
        <v>2000</v>
      </c>
      <c r="D108" s="21" t="s">
        <v>73</v>
      </c>
      <c r="E108" s="21" t="s">
        <v>412</v>
      </c>
      <c r="F108" s="21" t="s">
        <v>413</v>
      </c>
      <c r="G108" s="21" t="s">
        <v>125</v>
      </c>
      <c r="H108" s="21" t="s">
        <v>126</v>
      </c>
      <c r="I108" s="21" t="s">
        <v>65</v>
      </c>
      <c r="J108" s="21" t="s">
        <v>61</v>
      </c>
      <c r="K108" s="21" t="s">
        <v>66</v>
      </c>
      <c r="L108" s="21" t="s">
        <v>76</v>
      </c>
      <c r="M108" s="21" t="s">
        <v>60</v>
      </c>
      <c r="N108" s="21" t="s">
        <v>61</v>
      </c>
      <c r="O108" s="21" t="s">
        <v>77</v>
      </c>
      <c r="P108" s="21">
        <v>3.9</v>
      </c>
      <c r="Q108" s="21">
        <v>2.4</v>
      </c>
      <c r="R108" s="21">
        <v>3</v>
      </c>
      <c r="S108" s="21">
        <v>1.1000000000000001</v>
      </c>
      <c r="T108" s="21">
        <v>176</v>
      </c>
      <c r="U108" s="21">
        <v>1944</v>
      </c>
      <c r="V108" s="21">
        <v>0.2</v>
      </c>
      <c r="W108" s="21">
        <f t="shared" si="28"/>
        <v>2130.4</v>
      </c>
      <c r="X108" s="2" t="str">
        <f t="shared" si="17"/>
        <v>1</v>
      </c>
      <c r="Y108" s="2" t="str">
        <f t="shared" si="29"/>
        <v>1</v>
      </c>
      <c r="Z108" s="3">
        <f t="shared" si="18"/>
        <v>1</v>
      </c>
      <c r="AA108" s="21">
        <v>35</v>
      </c>
      <c r="AB108" s="21">
        <v>10</v>
      </c>
      <c r="AC108" s="21">
        <v>0.02</v>
      </c>
      <c r="AD108" s="21">
        <v>46.3</v>
      </c>
      <c r="AE108" s="21">
        <f t="shared" si="19"/>
        <v>2315</v>
      </c>
      <c r="AF108" s="21" t="str">
        <f t="shared" si="20"/>
        <v>1</v>
      </c>
      <c r="AG108" s="21" t="str">
        <f t="shared" si="21"/>
        <v>1</v>
      </c>
      <c r="AH108" s="22">
        <f t="shared" si="22"/>
        <v>1</v>
      </c>
      <c r="AI108" s="21">
        <v>3</v>
      </c>
      <c r="AJ108" s="21">
        <v>33.5</v>
      </c>
      <c r="AK108" s="21">
        <f>AJ108*0.36</f>
        <v>12.059999999999999</v>
      </c>
      <c r="AL108" s="21">
        <v>83.6</v>
      </c>
      <c r="AM108" s="21">
        <f>AL108*0.36</f>
        <v>30.095999999999997</v>
      </c>
      <c r="AN108" s="21" t="s">
        <v>61</v>
      </c>
      <c r="AO108" s="21" t="s">
        <v>61</v>
      </c>
      <c r="AP108" s="21">
        <v>36</v>
      </c>
      <c r="AQ108" s="23" t="str">
        <f t="shared" si="23"/>
        <v>1</v>
      </c>
      <c r="AR108" s="21">
        <v>1</v>
      </c>
      <c r="AS108" s="21">
        <v>1</v>
      </c>
      <c r="AT108" s="21">
        <v>1</v>
      </c>
      <c r="AU108" s="21">
        <v>1</v>
      </c>
      <c r="AV108" s="21">
        <v>1</v>
      </c>
      <c r="AW108" s="21" t="s">
        <v>61</v>
      </c>
      <c r="AX108" s="21">
        <v>1</v>
      </c>
      <c r="AY108" s="21">
        <v>1995</v>
      </c>
      <c r="AZ108" s="21">
        <f t="shared" si="24"/>
        <v>29</v>
      </c>
      <c r="BA108" s="21" t="str">
        <f t="shared" si="25"/>
        <v>3</v>
      </c>
      <c r="BB108" s="22">
        <f>(BA108+AX108+AS108+AQ108+AH108+Z108)/7</f>
        <v>1.1428571428571428</v>
      </c>
      <c r="BC108" s="21" t="s">
        <v>107</v>
      </c>
      <c r="BD108" s="24" t="s">
        <v>139</v>
      </c>
      <c r="BE108" s="21" t="s">
        <v>140</v>
      </c>
      <c r="BF108" s="21"/>
      <c r="BG108" s="21"/>
      <c r="BH108" s="21"/>
      <c r="BI108" s="21">
        <v>31811</v>
      </c>
      <c r="BJ108" s="21">
        <v>70661</v>
      </c>
      <c r="BK108" s="21">
        <v>8.3000000000000007</v>
      </c>
    </row>
    <row r="109" spans="1:63" ht="32" hidden="1" x14ac:dyDescent="0.2">
      <c r="A109" s="2">
        <v>20017774</v>
      </c>
      <c r="B109" s="2">
        <v>56210119</v>
      </c>
      <c r="C109" s="2">
        <v>6500</v>
      </c>
      <c r="D109" s="2" t="s">
        <v>73</v>
      </c>
      <c r="E109" s="2" t="s">
        <v>414</v>
      </c>
      <c r="F109" s="2" t="s">
        <v>415</v>
      </c>
      <c r="G109" s="2" t="s">
        <v>70</v>
      </c>
      <c r="H109" s="2" t="s">
        <v>70</v>
      </c>
      <c r="I109" s="2" t="s">
        <v>81</v>
      </c>
      <c r="J109" s="2" t="s">
        <v>82</v>
      </c>
      <c r="K109" s="2" t="s">
        <v>66</v>
      </c>
      <c r="L109" s="2" t="s">
        <v>76</v>
      </c>
      <c r="M109" s="2" t="s">
        <v>60</v>
      </c>
      <c r="N109" s="2" t="s">
        <v>61</v>
      </c>
      <c r="O109" s="2" t="s">
        <v>83</v>
      </c>
      <c r="P109" s="2">
        <v>6.7</v>
      </c>
      <c r="Q109" s="2">
        <v>25</v>
      </c>
      <c r="R109" s="2">
        <v>2.9</v>
      </c>
      <c r="S109" s="2">
        <v>6.4</v>
      </c>
      <c r="T109" s="2">
        <v>706</v>
      </c>
      <c r="U109" s="2">
        <v>3113</v>
      </c>
      <c r="V109" s="2">
        <v>0</v>
      </c>
      <c r="W109" s="2">
        <f t="shared" si="28"/>
        <v>3860</v>
      </c>
      <c r="X109" s="2" t="str">
        <f t="shared" si="17"/>
        <v>1</v>
      </c>
      <c r="Y109" s="2" t="str">
        <f t="shared" si="29"/>
        <v>1</v>
      </c>
      <c r="Z109" s="3">
        <f t="shared" si="18"/>
        <v>1</v>
      </c>
      <c r="AA109" s="2">
        <v>36</v>
      </c>
      <c r="AB109" s="2">
        <v>13</v>
      </c>
      <c r="AC109" s="2">
        <v>0.02</v>
      </c>
      <c r="AD109" s="2">
        <v>43</v>
      </c>
      <c r="AE109" s="2">
        <f t="shared" si="19"/>
        <v>2150</v>
      </c>
      <c r="AF109" s="2" t="str">
        <f t="shared" si="20"/>
        <v>1</v>
      </c>
      <c r="AG109" s="2" t="str">
        <f t="shared" si="21"/>
        <v>1</v>
      </c>
      <c r="AH109" s="3">
        <f t="shared" si="22"/>
        <v>1</v>
      </c>
      <c r="AI109" s="2">
        <v>3</v>
      </c>
      <c r="AJ109" s="2">
        <v>108.78</v>
      </c>
      <c r="AK109" s="2">
        <f>AJ109*0.72</f>
        <v>78.321600000000004</v>
      </c>
      <c r="AL109" s="2">
        <v>271.94</v>
      </c>
      <c r="AM109" s="2">
        <f>AL109*0.72</f>
        <v>195.79679999999999</v>
      </c>
      <c r="AN109" s="2" t="s">
        <v>61</v>
      </c>
      <c r="AO109" s="2" t="s">
        <v>61</v>
      </c>
      <c r="AP109" s="2">
        <v>72</v>
      </c>
      <c r="AQ109" s="19" t="str">
        <f t="shared" si="23"/>
        <v>2</v>
      </c>
      <c r="AR109" s="2">
        <v>1</v>
      </c>
      <c r="AS109" s="2">
        <v>1</v>
      </c>
      <c r="AT109" s="2">
        <v>5</v>
      </c>
      <c r="AU109" s="2">
        <v>5</v>
      </c>
      <c r="AV109" s="2">
        <v>5</v>
      </c>
      <c r="AW109" s="2" t="s">
        <v>61</v>
      </c>
      <c r="AX109" s="2">
        <v>5</v>
      </c>
      <c r="AY109" s="2">
        <v>2019</v>
      </c>
      <c r="AZ109" s="2">
        <f t="shared" si="24"/>
        <v>5</v>
      </c>
      <c r="BA109" s="2" t="str">
        <f t="shared" si="25"/>
        <v>1</v>
      </c>
      <c r="BB109" s="3">
        <f>(BA109+AX109+AS109+AQ109+AH109+Z109)/4</f>
        <v>2.75</v>
      </c>
      <c r="BC109" s="2" t="s">
        <v>111</v>
      </c>
      <c r="BD109" s="8" t="s">
        <v>358</v>
      </c>
      <c r="BE109" s="2" t="s">
        <v>395</v>
      </c>
      <c r="BF109" s="2">
        <v>28500000</v>
      </c>
      <c r="BG109" s="2">
        <v>48900000</v>
      </c>
      <c r="BH109" s="2">
        <v>9000000</v>
      </c>
      <c r="BI109" s="2">
        <v>1186</v>
      </c>
      <c r="BJ109" s="2">
        <v>68854</v>
      </c>
      <c r="BK109" s="2">
        <v>7.6</v>
      </c>
    </row>
    <row r="110" spans="1:63" ht="48" hidden="1" x14ac:dyDescent="0.2">
      <c r="A110" s="2">
        <v>20017774</v>
      </c>
      <c r="B110" s="2">
        <v>288054</v>
      </c>
      <c r="C110" s="2">
        <v>6500</v>
      </c>
      <c r="D110" s="2" t="s">
        <v>73</v>
      </c>
      <c r="E110" s="2" t="s">
        <v>414</v>
      </c>
      <c r="F110" s="2" t="s">
        <v>416</v>
      </c>
      <c r="G110" s="2" t="s">
        <v>70</v>
      </c>
      <c r="H110" s="2" t="s">
        <v>70</v>
      </c>
      <c r="I110" s="2" t="s">
        <v>81</v>
      </c>
      <c r="J110" s="2" t="s">
        <v>143</v>
      </c>
      <c r="K110" s="2" t="s">
        <v>66</v>
      </c>
      <c r="L110" s="2" t="s">
        <v>76</v>
      </c>
      <c r="M110" s="2" t="s">
        <v>60</v>
      </c>
      <c r="N110" s="2" t="s">
        <v>61</v>
      </c>
      <c r="O110" s="2" t="s">
        <v>83</v>
      </c>
      <c r="P110" s="2">
        <v>6.1</v>
      </c>
      <c r="Q110" s="2">
        <v>2.2000000000000002</v>
      </c>
      <c r="R110" s="2">
        <v>50</v>
      </c>
      <c r="S110" s="2">
        <v>1.1000000000000001</v>
      </c>
      <c r="T110" s="2">
        <v>270</v>
      </c>
      <c r="U110" s="2">
        <v>2253</v>
      </c>
      <c r="V110" s="2">
        <v>0</v>
      </c>
      <c r="W110" s="2">
        <f t="shared" si="28"/>
        <v>2582.4</v>
      </c>
      <c r="X110" s="2" t="str">
        <f t="shared" si="17"/>
        <v>1</v>
      </c>
      <c r="Y110" s="2" t="str">
        <f t="shared" si="29"/>
        <v>1</v>
      </c>
      <c r="Z110" s="3">
        <f t="shared" si="18"/>
        <v>1</v>
      </c>
      <c r="AA110" s="2">
        <v>35</v>
      </c>
      <c r="AB110" s="2">
        <v>13</v>
      </c>
      <c r="AC110" s="2">
        <v>2.9000000000000001E-2</v>
      </c>
      <c r="AD110" s="2">
        <v>31</v>
      </c>
      <c r="AE110" s="3">
        <f t="shared" si="19"/>
        <v>1068.9655172413793</v>
      </c>
      <c r="AF110" s="2" t="str">
        <f t="shared" si="20"/>
        <v>1</v>
      </c>
      <c r="AG110" s="2" t="str">
        <f t="shared" si="21"/>
        <v>2</v>
      </c>
      <c r="AH110" s="3">
        <f t="shared" si="22"/>
        <v>1.5</v>
      </c>
      <c r="AI110" s="2">
        <v>3</v>
      </c>
      <c r="AJ110" s="2">
        <v>108.8</v>
      </c>
      <c r="AK110" s="2">
        <f>AJ110*0.72</f>
        <v>78.335999999999999</v>
      </c>
      <c r="AL110" s="2">
        <v>271.89999999999998</v>
      </c>
      <c r="AM110" s="2">
        <f>AL110*0.72</f>
        <v>195.76799999999997</v>
      </c>
      <c r="AN110" s="2" t="s">
        <v>61</v>
      </c>
      <c r="AO110" s="2" t="s">
        <v>61</v>
      </c>
      <c r="AP110" s="2">
        <v>72</v>
      </c>
      <c r="AQ110" s="19" t="str">
        <f t="shared" si="23"/>
        <v>2</v>
      </c>
      <c r="AR110" s="2">
        <v>1</v>
      </c>
      <c r="AS110" s="2">
        <v>1</v>
      </c>
      <c r="AT110" s="2">
        <v>1</v>
      </c>
      <c r="AU110" s="2">
        <v>1</v>
      </c>
      <c r="AV110" s="2">
        <v>1</v>
      </c>
      <c r="AW110" s="2" t="s">
        <v>61</v>
      </c>
      <c r="AX110" s="2">
        <v>1</v>
      </c>
      <c r="AY110" s="2">
        <v>2007</v>
      </c>
      <c r="AZ110" s="2">
        <f t="shared" si="24"/>
        <v>17</v>
      </c>
      <c r="BA110" s="2" t="str">
        <f t="shared" si="25"/>
        <v>2</v>
      </c>
      <c r="BB110" s="3">
        <f>(BA110+AX110+AS110+AQ110+AH110+Z110)/3</f>
        <v>2.8333333333333335</v>
      </c>
      <c r="BC110" s="2" t="s">
        <v>111</v>
      </c>
      <c r="BD110" s="8" t="s">
        <v>235</v>
      </c>
      <c r="BE110" s="2" t="s">
        <v>417</v>
      </c>
      <c r="BF110" s="2"/>
      <c r="BG110" s="2">
        <v>42500000</v>
      </c>
      <c r="BH110" s="2">
        <v>12000000</v>
      </c>
      <c r="BI110" s="2">
        <v>29608</v>
      </c>
      <c r="BJ110" s="2">
        <v>76139</v>
      </c>
      <c r="BK110" s="2">
        <v>15</v>
      </c>
    </row>
    <row r="111" spans="1:63" ht="80" hidden="1" x14ac:dyDescent="0.2">
      <c r="A111" s="2">
        <v>20027765</v>
      </c>
      <c r="B111" s="2">
        <v>1057609398</v>
      </c>
      <c r="C111" s="2">
        <v>2500</v>
      </c>
      <c r="D111" s="2" t="s">
        <v>73</v>
      </c>
      <c r="E111" s="2" t="s">
        <v>418</v>
      </c>
      <c r="F111" s="2" t="s">
        <v>419</v>
      </c>
      <c r="G111" s="2" t="s">
        <v>58</v>
      </c>
      <c r="H111" s="2" t="s">
        <v>59</v>
      </c>
      <c r="I111" s="2" t="s">
        <v>65</v>
      </c>
      <c r="J111" s="2" t="s">
        <v>61</v>
      </c>
      <c r="K111" s="2" t="s">
        <v>66</v>
      </c>
      <c r="L111" s="2" t="s">
        <v>76</v>
      </c>
      <c r="M111" s="2" t="s">
        <v>60</v>
      </c>
      <c r="N111" s="2" t="s">
        <v>61</v>
      </c>
      <c r="O111" s="2" t="s">
        <v>77</v>
      </c>
      <c r="P111" s="2">
        <v>91</v>
      </c>
      <c r="Q111" s="2">
        <v>12.5</v>
      </c>
      <c r="R111" s="2">
        <v>2.6</v>
      </c>
      <c r="S111" s="2">
        <v>5.6</v>
      </c>
      <c r="T111" s="2">
        <v>886</v>
      </c>
      <c r="U111" s="2">
        <v>2957</v>
      </c>
      <c r="V111" s="2">
        <v>0</v>
      </c>
      <c r="W111" s="2">
        <f t="shared" si="28"/>
        <v>3954.7</v>
      </c>
      <c r="X111" s="2" t="str">
        <f t="shared" si="17"/>
        <v>2</v>
      </c>
      <c r="Y111" s="2" t="str">
        <f t="shared" si="29"/>
        <v>1</v>
      </c>
      <c r="Z111" s="3">
        <f t="shared" si="18"/>
        <v>1.5</v>
      </c>
      <c r="AA111" s="2">
        <v>38</v>
      </c>
      <c r="AB111" s="2">
        <v>11</v>
      </c>
      <c r="AC111" s="2">
        <v>0.02</v>
      </c>
      <c r="AD111" s="2">
        <v>43.1</v>
      </c>
      <c r="AE111" s="2">
        <f t="shared" si="19"/>
        <v>2155</v>
      </c>
      <c r="AF111" s="2" t="str">
        <f t="shared" si="20"/>
        <v>1</v>
      </c>
      <c r="AG111" s="2" t="str">
        <f t="shared" si="21"/>
        <v>1</v>
      </c>
      <c r="AH111" s="3">
        <f t="shared" si="22"/>
        <v>1</v>
      </c>
      <c r="AI111" s="2">
        <v>1</v>
      </c>
      <c r="AJ111" s="2">
        <v>33.47</v>
      </c>
      <c r="AK111" s="2">
        <f>AJ111*0.26</f>
        <v>8.7021999999999995</v>
      </c>
      <c r="AL111" s="2">
        <v>83.67</v>
      </c>
      <c r="AM111" s="2">
        <f>AL111*0.26</f>
        <v>21.754200000000001</v>
      </c>
      <c r="AN111" s="2" t="s">
        <v>61</v>
      </c>
      <c r="AO111" s="2" t="s">
        <v>61</v>
      </c>
      <c r="AP111" s="2">
        <v>26</v>
      </c>
      <c r="AQ111" s="19" t="str">
        <f t="shared" si="23"/>
        <v>1</v>
      </c>
      <c r="AR111" s="2">
        <v>1</v>
      </c>
      <c r="AS111" s="2">
        <v>1</v>
      </c>
      <c r="AT111" s="2">
        <v>1</v>
      </c>
      <c r="AU111" s="2">
        <v>1</v>
      </c>
      <c r="AV111" s="2">
        <v>1</v>
      </c>
      <c r="AW111" s="2" t="s">
        <v>61</v>
      </c>
      <c r="AX111" s="2">
        <v>1</v>
      </c>
      <c r="AY111" s="2">
        <v>1998</v>
      </c>
      <c r="AZ111" s="2">
        <f t="shared" si="24"/>
        <v>26</v>
      </c>
      <c r="BA111" s="2" t="str">
        <f t="shared" si="25"/>
        <v>3</v>
      </c>
      <c r="BB111" s="3">
        <f>(BA111+AX111+AS111+AQ111+AH111+Z111)/7</f>
        <v>1.2142857142857142</v>
      </c>
      <c r="BC111" s="2" t="s">
        <v>107</v>
      </c>
      <c r="BD111" s="8" t="s">
        <v>139</v>
      </c>
      <c r="BE111" s="2" t="s">
        <v>140</v>
      </c>
      <c r="BF111" s="2"/>
      <c r="BG111" s="2"/>
      <c r="BH111" s="2"/>
      <c r="BI111" s="2">
        <v>2794</v>
      </c>
      <c r="BJ111" s="2">
        <v>76942</v>
      </c>
      <c r="BK111" s="2">
        <v>6.9</v>
      </c>
    </row>
    <row r="112" spans="1:63" ht="48" x14ac:dyDescent="0.2">
      <c r="A112" s="2">
        <v>20027775</v>
      </c>
      <c r="B112" s="2">
        <v>148223</v>
      </c>
      <c r="C112" s="2">
        <v>500</v>
      </c>
      <c r="D112" s="2" t="s">
        <v>73</v>
      </c>
      <c r="E112" s="5" t="s">
        <v>420</v>
      </c>
      <c r="F112" s="2" t="s">
        <v>421</v>
      </c>
      <c r="G112" s="2" t="s">
        <v>58</v>
      </c>
      <c r="H112" s="2" t="s">
        <v>59</v>
      </c>
      <c r="I112" s="2" t="s">
        <v>65</v>
      </c>
      <c r="J112" s="2" t="s">
        <v>61</v>
      </c>
      <c r="K112" s="2" t="s">
        <v>66</v>
      </c>
      <c r="L112" s="2" t="s">
        <v>76</v>
      </c>
      <c r="M112" s="2" t="s">
        <v>60</v>
      </c>
      <c r="N112" s="2" t="s">
        <v>61</v>
      </c>
      <c r="O112" s="2" t="s">
        <v>77</v>
      </c>
      <c r="P112" s="2">
        <v>25912</v>
      </c>
      <c r="Q112" s="2">
        <v>5962</v>
      </c>
      <c r="R112" s="2">
        <v>3.8</v>
      </c>
      <c r="S112" s="2">
        <v>2388</v>
      </c>
      <c r="T112" s="2">
        <v>73</v>
      </c>
      <c r="U112" s="2">
        <v>622</v>
      </c>
      <c r="V112" s="2">
        <v>5.4</v>
      </c>
      <c r="W112" s="2">
        <f t="shared" si="28"/>
        <v>34960.800000000003</v>
      </c>
      <c r="X112" s="2" t="str">
        <f t="shared" si="17"/>
        <v>5</v>
      </c>
      <c r="Y112" s="2" t="str">
        <f t="shared" si="29"/>
        <v>1</v>
      </c>
      <c r="Z112" s="3">
        <f t="shared" si="18"/>
        <v>3</v>
      </c>
      <c r="AA112" s="2">
        <v>17</v>
      </c>
      <c r="AB112" s="2">
        <v>29</v>
      </c>
      <c r="AC112" s="2">
        <v>0.02</v>
      </c>
      <c r="AD112" s="2">
        <v>30.1</v>
      </c>
      <c r="AE112" s="2">
        <f t="shared" si="19"/>
        <v>1505</v>
      </c>
      <c r="AF112" s="2" t="str">
        <f t="shared" si="20"/>
        <v>5</v>
      </c>
      <c r="AG112" s="2" t="str">
        <f t="shared" si="21"/>
        <v>1</v>
      </c>
      <c r="AH112" s="3">
        <f t="shared" si="22"/>
        <v>3</v>
      </c>
      <c r="AI112" s="2">
        <v>3</v>
      </c>
      <c r="AJ112" s="2">
        <v>14.49</v>
      </c>
      <c r="AK112" s="2">
        <f>AJ112*0.26</f>
        <v>3.7674000000000003</v>
      </c>
      <c r="AL112" s="2">
        <v>62.76</v>
      </c>
      <c r="AM112" s="2">
        <f>AL112*0.26</f>
        <v>16.317599999999999</v>
      </c>
      <c r="AN112" s="2" t="s">
        <v>61</v>
      </c>
      <c r="AO112" s="2" t="s">
        <v>61</v>
      </c>
      <c r="AP112" s="2">
        <v>26</v>
      </c>
      <c r="AQ112" s="19" t="str">
        <f t="shared" si="23"/>
        <v>1</v>
      </c>
      <c r="AR112" s="2">
        <v>1</v>
      </c>
      <c r="AS112" s="2">
        <v>1</v>
      </c>
      <c r="AT112" s="2">
        <v>5</v>
      </c>
      <c r="AU112" s="2">
        <v>1</v>
      </c>
      <c r="AV112" s="2">
        <v>5</v>
      </c>
      <c r="AW112" s="2" t="s">
        <v>61</v>
      </c>
      <c r="AX112" s="2">
        <v>5</v>
      </c>
      <c r="AY112" s="2">
        <v>2000</v>
      </c>
      <c r="AZ112" s="2">
        <f t="shared" si="24"/>
        <v>24</v>
      </c>
      <c r="BA112" s="2" t="str">
        <f t="shared" si="25"/>
        <v>3</v>
      </c>
      <c r="BB112" s="2">
        <f>(BA112+AX112+AS112+AQ112+AH112+Z112)/4</f>
        <v>4</v>
      </c>
      <c r="BC112" s="2" t="s">
        <v>184</v>
      </c>
      <c r="BD112" s="8" t="s">
        <v>422</v>
      </c>
      <c r="BE112" s="2" t="s">
        <v>423</v>
      </c>
      <c r="BF112" s="26">
        <v>60000000</v>
      </c>
      <c r="BG112" s="26">
        <v>60000000</v>
      </c>
      <c r="BH112" s="26">
        <v>9000000</v>
      </c>
      <c r="BI112" s="2">
        <v>317</v>
      </c>
      <c r="BJ112" s="2">
        <v>8768</v>
      </c>
      <c r="BK112" s="2">
        <v>981</v>
      </c>
    </row>
    <row r="113" spans="1:63" ht="48" hidden="1" x14ac:dyDescent="0.2">
      <c r="A113" s="2">
        <v>20027775</v>
      </c>
      <c r="B113" s="2">
        <v>148222</v>
      </c>
      <c r="C113" s="2">
        <v>500</v>
      </c>
      <c r="D113" s="2" t="s">
        <v>73</v>
      </c>
      <c r="E113" s="2" t="s">
        <v>420</v>
      </c>
      <c r="F113" s="2" t="s">
        <v>424</v>
      </c>
      <c r="G113" s="2" t="s">
        <v>58</v>
      </c>
      <c r="H113" s="2" t="s">
        <v>59</v>
      </c>
      <c r="I113" s="2" t="s">
        <v>65</v>
      </c>
      <c r="J113" s="2" t="s">
        <v>61</v>
      </c>
      <c r="K113" s="2" t="s">
        <v>66</v>
      </c>
      <c r="L113" s="2" t="s">
        <v>76</v>
      </c>
      <c r="M113" s="2" t="s">
        <v>60</v>
      </c>
      <c r="N113" s="2" t="s">
        <v>61</v>
      </c>
      <c r="O113" s="2" t="s">
        <v>77</v>
      </c>
      <c r="P113" s="2">
        <v>13979</v>
      </c>
      <c r="Q113" s="2">
        <v>5265</v>
      </c>
      <c r="R113" s="2">
        <v>36</v>
      </c>
      <c r="S113" s="2">
        <v>2139</v>
      </c>
      <c r="T113" s="2">
        <v>196</v>
      </c>
      <c r="U113" s="2">
        <v>2749</v>
      </c>
      <c r="V113" s="2">
        <v>0.6</v>
      </c>
      <c r="W113" s="2">
        <f t="shared" si="28"/>
        <v>24364</v>
      </c>
      <c r="X113" s="2" t="str">
        <f t="shared" si="17"/>
        <v>5</v>
      </c>
      <c r="Y113" s="2" t="str">
        <f t="shared" si="29"/>
        <v>1</v>
      </c>
      <c r="Z113" s="3">
        <f t="shared" si="18"/>
        <v>3</v>
      </c>
      <c r="AA113" s="2">
        <v>27</v>
      </c>
      <c r="AB113" s="2">
        <v>24</v>
      </c>
      <c r="AC113" s="2">
        <v>0.02</v>
      </c>
      <c r="AD113" s="2">
        <v>32.4</v>
      </c>
      <c r="AE113" s="2">
        <f t="shared" si="19"/>
        <v>1620</v>
      </c>
      <c r="AF113" s="2" t="str">
        <f t="shared" si="20"/>
        <v>3</v>
      </c>
      <c r="AG113" s="2" t="str">
        <f t="shared" si="21"/>
        <v>1</v>
      </c>
      <c r="AH113" s="3">
        <f t="shared" si="22"/>
        <v>2</v>
      </c>
      <c r="AI113" s="2">
        <v>3</v>
      </c>
      <c r="AJ113" s="2">
        <v>14.49</v>
      </c>
      <c r="AK113" s="2">
        <f>AJ113*0.26</f>
        <v>3.7674000000000003</v>
      </c>
      <c r="AL113" s="2">
        <v>62.76</v>
      </c>
      <c r="AM113" s="2">
        <f>AL113*0.26</f>
        <v>16.317599999999999</v>
      </c>
      <c r="AN113" s="2" t="s">
        <v>61</v>
      </c>
      <c r="AO113" s="2" t="s">
        <v>61</v>
      </c>
      <c r="AP113" s="2">
        <v>26</v>
      </c>
      <c r="AQ113" s="19" t="str">
        <f t="shared" si="23"/>
        <v>1</v>
      </c>
      <c r="AR113" s="2">
        <v>1</v>
      </c>
      <c r="AS113" s="2">
        <v>1</v>
      </c>
      <c r="AT113" s="2">
        <v>5</v>
      </c>
      <c r="AU113" s="2">
        <v>1</v>
      </c>
      <c r="AV113" s="2">
        <v>5</v>
      </c>
      <c r="AW113" s="2" t="s">
        <v>61</v>
      </c>
      <c r="AX113" s="2">
        <v>5</v>
      </c>
      <c r="AY113" s="2">
        <v>2000</v>
      </c>
      <c r="AZ113" s="2">
        <f t="shared" si="24"/>
        <v>24</v>
      </c>
      <c r="BA113" s="2" t="str">
        <f t="shared" si="25"/>
        <v>3</v>
      </c>
      <c r="BB113" s="3">
        <f>(BA113+AX113+AS113+AQ113+AH113+Z113)/5</f>
        <v>3</v>
      </c>
      <c r="BC113" s="2" t="s">
        <v>111</v>
      </c>
      <c r="BD113" s="8" t="s">
        <v>422</v>
      </c>
      <c r="BE113" s="2" t="s">
        <v>423</v>
      </c>
      <c r="BF113" s="26"/>
      <c r="BG113" s="26">
        <v>60000000</v>
      </c>
      <c r="BH113" s="26">
        <v>9000000</v>
      </c>
      <c r="BI113" s="2">
        <v>391</v>
      </c>
      <c r="BJ113" s="2">
        <v>42738</v>
      </c>
      <c r="BK113" s="2">
        <v>943</v>
      </c>
    </row>
    <row r="114" spans="1:63" s="25" customFormat="1" ht="32" hidden="1" x14ac:dyDescent="0.2">
      <c r="A114" s="21">
        <v>20700356</v>
      </c>
      <c r="B114" s="21">
        <v>6817</v>
      </c>
      <c r="C114" s="21">
        <v>35000</v>
      </c>
      <c r="D114" s="21" t="s">
        <v>152</v>
      </c>
      <c r="E114" s="51" t="s">
        <v>425</v>
      </c>
      <c r="F114" s="21" t="s">
        <v>426</v>
      </c>
      <c r="G114" s="21" t="s">
        <v>70</v>
      </c>
      <c r="H114" s="21" t="s">
        <v>70</v>
      </c>
      <c r="I114" s="21" t="s">
        <v>81</v>
      </c>
      <c r="J114" s="21" t="s">
        <v>82</v>
      </c>
      <c r="K114" s="21" t="s">
        <v>48</v>
      </c>
      <c r="L114" s="21">
        <v>66</v>
      </c>
      <c r="M114" s="21" t="s">
        <v>60</v>
      </c>
      <c r="N114" s="21" t="s">
        <v>61</v>
      </c>
      <c r="O114" s="21" t="s">
        <v>155</v>
      </c>
      <c r="P114" s="21">
        <v>5.6</v>
      </c>
      <c r="Q114" s="21">
        <v>3.3</v>
      </c>
      <c r="R114" s="21">
        <v>43</v>
      </c>
      <c r="S114" s="21">
        <v>1.5</v>
      </c>
      <c r="T114" s="21">
        <v>332</v>
      </c>
      <c r="U114" s="21">
        <v>4028</v>
      </c>
      <c r="V114" s="21">
        <v>0.2</v>
      </c>
      <c r="W114" s="21">
        <f t="shared" si="28"/>
        <v>4413.3999999999996</v>
      </c>
      <c r="X114" s="21" t="str">
        <f t="shared" si="17"/>
        <v>2</v>
      </c>
      <c r="Y114" s="21" t="str">
        <f t="shared" si="29"/>
        <v>1</v>
      </c>
      <c r="Z114" s="22">
        <f t="shared" si="18"/>
        <v>1.5</v>
      </c>
      <c r="AA114" s="21">
        <v>17</v>
      </c>
      <c r="AB114" s="21">
        <v>31</v>
      </c>
      <c r="AC114" s="21">
        <v>0.03</v>
      </c>
      <c r="AD114" s="21">
        <v>33.9</v>
      </c>
      <c r="AE114" s="21">
        <f t="shared" si="19"/>
        <v>1130</v>
      </c>
      <c r="AF114" s="21" t="str">
        <f t="shared" si="20"/>
        <v>5</v>
      </c>
      <c r="AG114" s="21" t="str">
        <f t="shared" si="21"/>
        <v>2</v>
      </c>
      <c r="AH114" s="22">
        <f t="shared" si="22"/>
        <v>3.5</v>
      </c>
      <c r="AI114" s="21">
        <v>5</v>
      </c>
      <c r="AJ114" s="21">
        <v>306</v>
      </c>
      <c r="AK114" s="21">
        <f>AJ114*0.38</f>
        <v>116.28</v>
      </c>
      <c r="AL114" s="21">
        <v>1465</v>
      </c>
      <c r="AM114" s="21">
        <f>AL114*0.38</f>
        <v>556.70000000000005</v>
      </c>
      <c r="AN114" s="21" t="s">
        <v>61</v>
      </c>
      <c r="AO114" s="21" t="s">
        <v>61</v>
      </c>
      <c r="AP114" s="21">
        <v>38</v>
      </c>
      <c r="AQ114" s="23" t="str">
        <f t="shared" si="23"/>
        <v>1</v>
      </c>
      <c r="AR114" s="21">
        <v>1</v>
      </c>
      <c r="AS114" s="21">
        <v>1</v>
      </c>
      <c r="AT114" s="21">
        <v>5</v>
      </c>
      <c r="AU114" s="21">
        <v>5</v>
      </c>
      <c r="AV114" s="21">
        <v>5</v>
      </c>
      <c r="AW114" s="21">
        <v>1</v>
      </c>
      <c r="AX114" s="21">
        <v>5</v>
      </c>
      <c r="AY114" s="21">
        <v>1971</v>
      </c>
      <c r="AZ114" s="21">
        <f t="shared" si="24"/>
        <v>53</v>
      </c>
      <c r="BA114" s="21" t="str">
        <f t="shared" si="25"/>
        <v>5</v>
      </c>
      <c r="BB114" s="22">
        <f>(BA114+AX114+AS114+AQ114+AH114+Z114)/3.5</f>
        <v>4.8571428571428568</v>
      </c>
      <c r="BC114" s="21" t="s">
        <v>114</v>
      </c>
      <c r="BD114" s="24" t="s">
        <v>392</v>
      </c>
      <c r="BE114" s="21" t="s">
        <v>140</v>
      </c>
      <c r="BF114" s="21">
        <v>38500000</v>
      </c>
      <c r="BG114" s="21">
        <v>385000000</v>
      </c>
      <c r="BH114" s="21">
        <v>21000000</v>
      </c>
      <c r="BI114" s="21">
        <v>22829</v>
      </c>
      <c r="BJ114" s="21">
        <v>62703</v>
      </c>
      <c r="BK114" s="21">
        <v>30</v>
      </c>
    </row>
    <row r="115" spans="1:63" s="25" customFormat="1" ht="32" hidden="1" x14ac:dyDescent="0.2">
      <c r="A115" s="21">
        <v>20700356</v>
      </c>
      <c r="B115" s="21" t="s">
        <v>427</v>
      </c>
      <c r="C115" s="21">
        <v>33000</v>
      </c>
      <c r="D115" s="21" t="s">
        <v>152</v>
      </c>
      <c r="E115" s="21" t="s">
        <v>425</v>
      </c>
      <c r="F115" s="21" t="s">
        <v>428</v>
      </c>
      <c r="G115" s="21" t="s">
        <v>70</v>
      </c>
      <c r="H115" s="21" t="s">
        <v>70</v>
      </c>
      <c r="I115" s="21" t="s">
        <v>81</v>
      </c>
      <c r="J115" s="21" t="s">
        <v>82</v>
      </c>
      <c r="K115" s="21" t="s">
        <v>48</v>
      </c>
      <c r="L115" s="21">
        <v>66</v>
      </c>
      <c r="M115" s="21" t="s">
        <v>60</v>
      </c>
      <c r="N115" s="21" t="s">
        <v>61</v>
      </c>
      <c r="O115" s="21" t="s">
        <v>155</v>
      </c>
      <c r="P115" s="21">
        <v>12.9</v>
      </c>
      <c r="Q115" s="21">
        <v>19.7</v>
      </c>
      <c r="R115" s="21">
        <v>74</v>
      </c>
      <c r="S115" s="21">
        <v>13.8</v>
      </c>
      <c r="T115" s="21">
        <v>293</v>
      </c>
      <c r="U115" s="21">
        <v>5295</v>
      </c>
      <c r="V115" s="21">
        <v>0.8</v>
      </c>
      <c r="W115" s="21">
        <f t="shared" si="28"/>
        <v>5708.4</v>
      </c>
      <c r="X115" s="21" t="str">
        <f t="shared" si="17"/>
        <v>2</v>
      </c>
      <c r="Y115" s="21" t="str">
        <f t="shared" si="29"/>
        <v>1</v>
      </c>
      <c r="Z115" s="22">
        <f t="shared" si="18"/>
        <v>1.5</v>
      </c>
      <c r="AA115" s="21">
        <v>20</v>
      </c>
      <c r="AB115" s="21">
        <v>25</v>
      </c>
      <c r="AC115" s="21">
        <v>0.02</v>
      </c>
      <c r="AD115" s="21">
        <v>33.200000000000003</v>
      </c>
      <c r="AE115" s="21">
        <f t="shared" si="19"/>
        <v>1660</v>
      </c>
      <c r="AF115" s="21" t="str">
        <f t="shared" si="20"/>
        <v>4</v>
      </c>
      <c r="AG115" s="21" t="str">
        <f t="shared" si="21"/>
        <v>1</v>
      </c>
      <c r="AH115" s="22">
        <f t="shared" si="22"/>
        <v>2.5</v>
      </c>
      <c r="AI115" s="21">
        <v>1</v>
      </c>
      <c r="AJ115" s="21">
        <v>288.7</v>
      </c>
      <c r="AK115" s="21">
        <f>AJ115*0.41</f>
        <v>118.36699999999999</v>
      </c>
      <c r="AL115" s="21">
        <v>1380</v>
      </c>
      <c r="AM115" s="21">
        <f>AL115*0.41</f>
        <v>565.79999999999995</v>
      </c>
      <c r="AN115" s="21" t="s">
        <v>61</v>
      </c>
      <c r="AO115" s="21" t="s">
        <v>61</v>
      </c>
      <c r="AP115" s="21">
        <v>41</v>
      </c>
      <c r="AQ115" s="23" t="str">
        <f t="shared" si="23"/>
        <v>1</v>
      </c>
      <c r="AR115" s="21">
        <v>1</v>
      </c>
      <c r="AS115" s="21">
        <v>1</v>
      </c>
      <c r="AT115" s="21">
        <v>1</v>
      </c>
      <c r="AU115" s="21">
        <v>1</v>
      </c>
      <c r="AV115" s="21">
        <v>1</v>
      </c>
      <c r="AW115" s="21">
        <v>1</v>
      </c>
      <c r="AX115" s="21">
        <v>1</v>
      </c>
      <c r="AY115" s="21">
        <v>1998</v>
      </c>
      <c r="AZ115" s="21">
        <f t="shared" si="24"/>
        <v>26</v>
      </c>
      <c r="BA115" s="21" t="str">
        <f t="shared" si="25"/>
        <v>3</v>
      </c>
      <c r="BB115" s="22">
        <f>(BA115+AX115+AS115+AQ115+AH115+Z115)/3.5</f>
        <v>2.8571428571428572</v>
      </c>
      <c r="BC115" s="21" t="s">
        <v>111</v>
      </c>
      <c r="BD115" s="24" t="s">
        <v>315</v>
      </c>
      <c r="BE115" s="21" t="s">
        <v>429</v>
      </c>
      <c r="BF115" s="21"/>
      <c r="BG115" s="21">
        <v>95800000</v>
      </c>
      <c r="BH115" s="21">
        <v>15000000</v>
      </c>
      <c r="BI115" s="21">
        <v>27121</v>
      </c>
      <c r="BJ115" s="21">
        <v>67654</v>
      </c>
      <c r="BK115" s="21">
        <v>93</v>
      </c>
    </row>
    <row r="116" spans="1:63" s="25" customFormat="1" hidden="1" x14ac:dyDescent="0.2">
      <c r="A116" s="21">
        <v>20700452</v>
      </c>
      <c r="B116" s="21">
        <v>224024</v>
      </c>
      <c r="C116" s="21">
        <v>6250</v>
      </c>
      <c r="D116" s="21" t="s">
        <v>73</v>
      </c>
      <c r="E116" s="21" t="s">
        <v>430</v>
      </c>
      <c r="F116" s="21" t="s">
        <v>431</v>
      </c>
      <c r="G116" s="21" t="s">
        <v>125</v>
      </c>
      <c r="H116" s="21" t="s">
        <v>126</v>
      </c>
      <c r="I116" s="21" t="s">
        <v>81</v>
      </c>
      <c r="J116" s="21" t="s">
        <v>143</v>
      </c>
      <c r="K116" s="21" t="s">
        <v>66</v>
      </c>
      <c r="L116" s="21" t="s">
        <v>76</v>
      </c>
      <c r="M116" s="21" t="s">
        <v>60</v>
      </c>
      <c r="N116" s="21" t="s">
        <v>61</v>
      </c>
      <c r="O116" s="21" t="s">
        <v>83</v>
      </c>
      <c r="P116" s="21">
        <v>4.7</v>
      </c>
      <c r="Q116" s="21">
        <v>19</v>
      </c>
      <c r="R116" s="21">
        <v>33</v>
      </c>
      <c r="S116" s="21">
        <v>4.5</v>
      </c>
      <c r="T116" s="21">
        <v>648</v>
      </c>
      <c r="U116" s="21">
        <v>3986</v>
      </c>
      <c r="V116" s="21">
        <v>0.2</v>
      </c>
      <c r="W116" s="21">
        <f t="shared" si="28"/>
        <v>4695.2</v>
      </c>
      <c r="X116" s="2" t="str">
        <f t="shared" si="17"/>
        <v>2</v>
      </c>
      <c r="Y116" s="2" t="str">
        <f t="shared" si="29"/>
        <v>1</v>
      </c>
      <c r="Z116" s="3">
        <f t="shared" si="18"/>
        <v>1.5</v>
      </c>
      <c r="AA116" s="21">
        <v>38</v>
      </c>
      <c r="AB116" s="21">
        <v>11</v>
      </c>
      <c r="AC116" s="21">
        <v>6.0000000000000001E-3</v>
      </c>
      <c r="AD116" s="21">
        <v>45.4</v>
      </c>
      <c r="AE116" s="38">
        <f t="shared" si="19"/>
        <v>7566.6666666666661</v>
      </c>
      <c r="AF116" s="21" t="str">
        <f t="shared" si="20"/>
        <v>1</v>
      </c>
      <c r="AG116" s="21" t="str">
        <f t="shared" si="21"/>
        <v>1</v>
      </c>
      <c r="AH116" s="22">
        <f t="shared" si="22"/>
        <v>1</v>
      </c>
      <c r="AI116" s="21">
        <v>1</v>
      </c>
      <c r="AJ116" s="21">
        <v>83.67</v>
      </c>
      <c r="AK116" s="21">
        <f>AJ116*0.62</f>
        <v>51.875399999999999</v>
      </c>
      <c r="AL116" s="21">
        <v>209.19</v>
      </c>
      <c r="AM116" s="21">
        <f>AL116*0.62</f>
        <v>129.6978</v>
      </c>
      <c r="AN116" s="21" t="s">
        <v>61</v>
      </c>
      <c r="AO116" s="21" t="s">
        <v>61</v>
      </c>
      <c r="AP116" s="21">
        <v>62</v>
      </c>
      <c r="AQ116" s="23" t="str">
        <f t="shared" si="23"/>
        <v>1</v>
      </c>
      <c r="AR116" s="21">
        <v>1</v>
      </c>
      <c r="AS116" s="21">
        <v>1</v>
      </c>
      <c r="AT116" s="21">
        <v>1</v>
      </c>
      <c r="AU116" s="21">
        <v>1</v>
      </c>
      <c r="AV116" s="21">
        <v>1</v>
      </c>
      <c r="AW116" s="21" t="s">
        <v>61</v>
      </c>
      <c r="AX116" s="21">
        <v>1</v>
      </c>
      <c r="AY116" s="21">
        <v>2001</v>
      </c>
      <c r="AZ116" s="21">
        <f t="shared" si="24"/>
        <v>23</v>
      </c>
      <c r="BA116" s="21" t="str">
        <f t="shared" si="25"/>
        <v>3</v>
      </c>
      <c r="BB116" s="22">
        <v>3</v>
      </c>
      <c r="BC116" s="21" t="s">
        <v>111</v>
      </c>
      <c r="BD116" s="21" t="s">
        <v>220</v>
      </c>
      <c r="BE116" s="21" t="s">
        <v>221</v>
      </c>
      <c r="BF116" s="21"/>
      <c r="BG116" s="21"/>
      <c r="BH116" s="21"/>
      <c r="BI116" s="21">
        <v>17367</v>
      </c>
      <c r="BJ116" s="21">
        <v>59368</v>
      </c>
      <c r="BK116" s="21">
        <v>14.8</v>
      </c>
    </row>
    <row r="117" spans="1:63" ht="80" hidden="1" x14ac:dyDescent="0.2">
      <c r="A117" s="2">
        <v>20047780</v>
      </c>
      <c r="B117" s="2">
        <v>201266</v>
      </c>
      <c r="C117" s="2">
        <v>45000</v>
      </c>
      <c r="D117" s="2" t="s">
        <v>134</v>
      </c>
      <c r="E117" s="2" t="s">
        <v>432</v>
      </c>
      <c r="F117" s="2" t="s">
        <v>433</v>
      </c>
      <c r="G117" s="2" t="s">
        <v>70</v>
      </c>
      <c r="H117" s="2" t="s">
        <v>70</v>
      </c>
      <c r="I117" s="2" t="s">
        <v>81</v>
      </c>
      <c r="J117" s="2" t="s">
        <v>82</v>
      </c>
      <c r="K117" s="2" t="s">
        <v>48</v>
      </c>
      <c r="L117" s="2">
        <v>110</v>
      </c>
      <c r="M117" s="2" t="s">
        <v>137</v>
      </c>
      <c r="N117" s="2" t="s">
        <v>60</v>
      </c>
      <c r="O117" s="2" t="s">
        <v>311</v>
      </c>
      <c r="P117" s="2">
        <v>2.5</v>
      </c>
      <c r="Q117" s="2">
        <v>19.600000000000001</v>
      </c>
      <c r="R117" s="2">
        <v>2.9</v>
      </c>
      <c r="S117" s="2">
        <v>3.4</v>
      </c>
      <c r="T117" s="2">
        <v>937</v>
      </c>
      <c r="U117" s="2">
        <v>3344</v>
      </c>
      <c r="V117" s="2">
        <v>0</v>
      </c>
      <c r="W117" s="2">
        <f t="shared" si="28"/>
        <v>4309.3999999999996</v>
      </c>
      <c r="X117" s="2" t="str">
        <f t="shared" si="17"/>
        <v>2</v>
      </c>
      <c r="Y117" s="2" t="str">
        <f t="shared" si="29"/>
        <v>1</v>
      </c>
      <c r="Z117" s="3">
        <f t="shared" si="18"/>
        <v>1.5</v>
      </c>
      <c r="AA117" s="2">
        <v>41</v>
      </c>
      <c r="AB117" s="2">
        <v>10</v>
      </c>
      <c r="AC117" s="2">
        <v>0.02</v>
      </c>
      <c r="AD117" s="2">
        <v>40.799999999999997</v>
      </c>
      <c r="AE117" s="2">
        <f t="shared" si="19"/>
        <v>2039.9999999999998</v>
      </c>
      <c r="AF117" s="2" t="str">
        <f t="shared" si="20"/>
        <v>1</v>
      </c>
      <c r="AG117" s="2" t="str">
        <f t="shared" si="21"/>
        <v>1</v>
      </c>
      <c r="AH117" s="3">
        <f t="shared" si="22"/>
        <v>1</v>
      </c>
      <c r="AI117" s="2">
        <v>1</v>
      </c>
      <c r="AJ117" s="2">
        <v>236.2</v>
      </c>
      <c r="AK117" s="2">
        <f>AJ117*0.59</f>
        <v>139.35799999999998</v>
      </c>
      <c r="AL117" s="2">
        <v>502</v>
      </c>
      <c r="AM117" s="2">
        <f>AL117*0.76</f>
        <v>381.52</v>
      </c>
      <c r="AN117" s="2">
        <v>1045.9000000000001</v>
      </c>
      <c r="AO117" s="2">
        <f>AN117*0.27</f>
        <v>282.39300000000003</v>
      </c>
      <c r="AP117" s="2">
        <v>76</v>
      </c>
      <c r="AQ117" s="19" t="str">
        <f t="shared" si="23"/>
        <v>2</v>
      </c>
      <c r="AR117" s="2">
        <v>1</v>
      </c>
      <c r="AS117" s="2">
        <v>1</v>
      </c>
      <c r="AT117" s="2">
        <v>1</v>
      </c>
      <c r="AU117" s="2">
        <v>1</v>
      </c>
      <c r="AV117" s="2">
        <v>1</v>
      </c>
      <c r="AW117" s="2">
        <v>1</v>
      </c>
      <c r="AX117" s="2">
        <v>1</v>
      </c>
      <c r="AY117" s="2">
        <v>2014</v>
      </c>
      <c r="AZ117" s="2">
        <f t="shared" si="24"/>
        <v>10</v>
      </c>
      <c r="BA117" s="2" t="str">
        <f t="shared" si="25"/>
        <v>2</v>
      </c>
      <c r="BB117" s="3">
        <f>(BA117+AX117+AS117+AQ117+AH117+Z117)/7</f>
        <v>1.2142857142857142</v>
      </c>
      <c r="BC117" s="2" t="s">
        <v>107</v>
      </c>
      <c r="BD117" s="8" t="s">
        <v>139</v>
      </c>
      <c r="BE117" s="2" t="s">
        <v>228</v>
      </c>
      <c r="BF117" s="2"/>
      <c r="BG117" s="2"/>
      <c r="BH117" s="2"/>
      <c r="BI117" s="2">
        <v>4119</v>
      </c>
      <c r="BJ117" s="2">
        <v>44728</v>
      </c>
      <c r="BK117" s="2">
        <v>7.1</v>
      </c>
    </row>
    <row r="118" spans="1:63" s="25" customFormat="1" ht="64" hidden="1" x14ac:dyDescent="0.2">
      <c r="A118" s="21">
        <v>20057776</v>
      </c>
      <c r="B118" s="21">
        <v>176976</v>
      </c>
      <c r="C118" s="21">
        <v>4000</v>
      </c>
      <c r="D118" s="21" t="s">
        <v>73</v>
      </c>
      <c r="E118" s="21" t="s">
        <v>434</v>
      </c>
      <c r="F118" s="21" t="s">
        <v>435</v>
      </c>
      <c r="G118" s="21" t="s">
        <v>125</v>
      </c>
      <c r="H118" s="21" t="s">
        <v>126</v>
      </c>
      <c r="I118" s="21" t="s">
        <v>65</v>
      </c>
      <c r="J118" s="21" t="s">
        <v>61</v>
      </c>
      <c r="K118" s="21" t="s">
        <v>66</v>
      </c>
      <c r="L118" s="21" t="s">
        <v>76</v>
      </c>
      <c r="M118" s="21" t="s">
        <v>60</v>
      </c>
      <c r="N118" s="21" t="s">
        <v>61</v>
      </c>
      <c r="O118" s="21" t="s">
        <v>130</v>
      </c>
      <c r="P118" s="21">
        <v>5.8</v>
      </c>
      <c r="Q118" s="21">
        <v>2.5</v>
      </c>
      <c r="R118" s="21">
        <v>4.0999999999999996</v>
      </c>
      <c r="S118" s="21">
        <v>1.1000000000000001</v>
      </c>
      <c r="T118" s="21">
        <v>184</v>
      </c>
      <c r="U118" s="21">
        <v>1296</v>
      </c>
      <c r="V118" s="21">
        <v>0.1</v>
      </c>
      <c r="W118" s="21">
        <f t="shared" si="28"/>
        <v>1493.5</v>
      </c>
      <c r="X118" s="2" t="str">
        <f t="shared" si="17"/>
        <v>1</v>
      </c>
      <c r="Y118" s="2" t="str">
        <f t="shared" si="29"/>
        <v>1</v>
      </c>
      <c r="Z118" s="3">
        <f t="shared" si="18"/>
        <v>1</v>
      </c>
      <c r="AA118" s="21">
        <v>30</v>
      </c>
      <c r="AB118" s="21">
        <v>18</v>
      </c>
      <c r="AC118" s="21">
        <v>3.0000000000000001E-3</v>
      </c>
      <c r="AD118" s="21">
        <v>45.6</v>
      </c>
      <c r="AE118" s="21">
        <f t="shared" si="19"/>
        <v>15200</v>
      </c>
      <c r="AF118" s="21" t="str">
        <f t="shared" si="20"/>
        <v>2</v>
      </c>
      <c r="AG118" s="21" t="str">
        <f t="shared" si="21"/>
        <v>1</v>
      </c>
      <c r="AH118" s="22">
        <f t="shared" si="22"/>
        <v>1.5</v>
      </c>
      <c r="AI118" s="21">
        <v>1</v>
      </c>
      <c r="AJ118" s="21">
        <v>66.930000000000007</v>
      </c>
      <c r="AK118" s="21">
        <f>AJ118*0.72</f>
        <v>48.189600000000006</v>
      </c>
      <c r="AL118" s="21">
        <v>167.34</v>
      </c>
      <c r="AM118" s="21">
        <f>AL118*0.72</f>
        <v>120.48479999999999</v>
      </c>
      <c r="AN118" s="21" t="s">
        <v>61</v>
      </c>
      <c r="AO118" s="21" t="s">
        <v>61</v>
      </c>
      <c r="AP118" s="21">
        <v>72</v>
      </c>
      <c r="AQ118" s="23" t="str">
        <f t="shared" si="23"/>
        <v>2</v>
      </c>
      <c r="AR118" s="21">
        <v>1</v>
      </c>
      <c r="AS118" s="21">
        <v>1</v>
      </c>
      <c r="AT118" s="21">
        <v>1</v>
      </c>
      <c r="AU118" s="21">
        <v>1</v>
      </c>
      <c r="AV118" s="21">
        <v>1</v>
      </c>
      <c r="AW118" s="21" t="s">
        <v>61</v>
      </c>
      <c r="AX118" s="21">
        <v>1</v>
      </c>
      <c r="AY118" s="21">
        <v>1998</v>
      </c>
      <c r="AZ118" s="21">
        <f t="shared" si="24"/>
        <v>26</v>
      </c>
      <c r="BA118" s="21" t="str">
        <f t="shared" si="25"/>
        <v>3</v>
      </c>
      <c r="BB118" s="22">
        <f>(BA118+AX118+AS118+AQ118+AH118+Z118)/7</f>
        <v>1.3571428571428572</v>
      </c>
      <c r="BC118" s="21" t="s">
        <v>107</v>
      </c>
      <c r="BD118" s="24" t="s">
        <v>120</v>
      </c>
      <c r="BE118" s="21"/>
      <c r="BF118" s="21"/>
      <c r="BG118" s="21"/>
      <c r="BH118" s="21"/>
      <c r="BI118" s="21">
        <v>18285</v>
      </c>
      <c r="BJ118" s="21">
        <v>63215</v>
      </c>
      <c r="BK118" s="21">
        <v>5.6</v>
      </c>
    </row>
    <row r="119" spans="1:63" s="25" customFormat="1" ht="64" hidden="1" x14ac:dyDescent="0.2">
      <c r="A119" s="21">
        <v>20057776</v>
      </c>
      <c r="B119" s="21">
        <v>1079537170</v>
      </c>
      <c r="C119" s="21">
        <v>15000</v>
      </c>
      <c r="D119" s="21" t="s">
        <v>73</v>
      </c>
      <c r="E119" s="21" t="s">
        <v>434</v>
      </c>
      <c r="F119" s="21" t="s">
        <v>436</v>
      </c>
      <c r="G119" s="21" t="s">
        <v>125</v>
      </c>
      <c r="H119" s="21" t="s">
        <v>126</v>
      </c>
      <c r="I119" s="21" t="s">
        <v>81</v>
      </c>
      <c r="J119" s="21" t="s">
        <v>82</v>
      </c>
      <c r="K119" s="21" t="s">
        <v>48</v>
      </c>
      <c r="L119" s="21" t="s">
        <v>76</v>
      </c>
      <c r="M119" s="21" t="s">
        <v>60</v>
      </c>
      <c r="N119" s="21" t="s">
        <v>61</v>
      </c>
      <c r="O119" s="21" t="s">
        <v>164</v>
      </c>
      <c r="P119" s="21">
        <v>0.4</v>
      </c>
      <c r="Q119" s="21">
        <v>0.6</v>
      </c>
      <c r="R119" s="21">
        <v>0.1</v>
      </c>
      <c r="S119" s="21">
        <v>0.1</v>
      </c>
      <c r="T119" s="21">
        <v>25</v>
      </c>
      <c r="U119" s="21">
        <v>144</v>
      </c>
      <c r="V119" s="21">
        <v>0</v>
      </c>
      <c r="W119" s="21">
        <f t="shared" si="28"/>
        <v>170.2</v>
      </c>
      <c r="X119" s="2" t="str">
        <f t="shared" si="17"/>
        <v>1</v>
      </c>
      <c r="Y119" s="2" t="str">
        <f t="shared" si="29"/>
        <v>1</v>
      </c>
      <c r="Z119" s="3">
        <f t="shared" si="18"/>
        <v>1</v>
      </c>
      <c r="AA119" s="21">
        <v>59</v>
      </c>
      <c r="AB119" s="21">
        <v>10</v>
      </c>
      <c r="AC119" s="21">
        <v>0.02</v>
      </c>
      <c r="AD119" s="21">
        <v>49.1</v>
      </c>
      <c r="AE119" s="21">
        <f t="shared" si="19"/>
        <v>2455</v>
      </c>
      <c r="AF119" s="21" t="str">
        <f t="shared" si="20"/>
        <v>1</v>
      </c>
      <c r="AG119" s="21" t="str">
        <f t="shared" si="21"/>
        <v>1</v>
      </c>
      <c r="AH119" s="22">
        <f t="shared" si="22"/>
        <v>1</v>
      </c>
      <c r="AI119" s="21">
        <v>1</v>
      </c>
      <c r="AJ119" s="21">
        <v>251</v>
      </c>
      <c r="AK119" s="21">
        <f>AJ119*0.89</f>
        <v>223.39000000000001</v>
      </c>
      <c r="AL119" s="21">
        <v>627.6</v>
      </c>
      <c r="AM119" s="21">
        <f>AL119*0.89</f>
        <v>558.56400000000008</v>
      </c>
      <c r="AN119" s="21" t="s">
        <v>61</v>
      </c>
      <c r="AO119" s="21" t="s">
        <v>61</v>
      </c>
      <c r="AP119" s="21">
        <v>89</v>
      </c>
      <c r="AQ119" s="23" t="str">
        <f t="shared" si="23"/>
        <v>3</v>
      </c>
      <c r="AR119" s="21">
        <v>1</v>
      </c>
      <c r="AS119" s="21">
        <v>1</v>
      </c>
      <c r="AT119" s="21">
        <v>1</v>
      </c>
      <c r="AU119" s="21">
        <v>1</v>
      </c>
      <c r="AV119" s="21">
        <v>1</v>
      </c>
      <c r="AW119" s="21">
        <v>1</v>
      </c>
      <c r="AX119" s="21">
        <v>1</v>
      </c>
      <c r="AY119" s="21">
        <v>2023</v>
      </c>
      <c r="AZ119" s="21">
        <f t="shared" si="24"/>
        <v>1</v>
      </c>
      <c r="BA119" s="21" t="str">
        <f t="shared" si="25"/>
        <v>1</v>
      </c>
      <c r="BB119" s="22">
        <f>(BA119+AX119+AS119+AQ119+AH119+Z119)/7</f>
        <v>1.1428571428571428</v>
      </c>
      <c r="BC119" s="21" t="s">
        <v>107</v>
      </c>
      <c r="BD119" s="24" t="s">
        <v>120</v>
      </c>
      <c r="BE119" s="21"/>
      <c r="BF119" s="21"/>
      <c r="BG119" s="21"/>
      <c r="BH119" s="21"/>
      <c r="BI119" s="21">
        <v>28496</v>
      </c>
      <c r="BJ119" s="21">
        <v>79038</v>
      </c>
      <c r="BK119" s="21">
        <v>0</v>
      </c>
    </row>
    <row r="120" spans="1:63" s="25" customFormat="1" ht="48" hidden="1" x14ac:dyDescent="0.2">
      <c r="A120" s="21">
        <v>20057784</v>
      </c>
      <c r="B120" s="21" t="s">
        <v>437</v>
      </c>
      <c r="C120" s="21">
        <v>40000</v>
      </c>
      <c r="D120" s="21" t="s">
        <v>134</v>
      </c>
      <c r="E120" s="21" t="s">
        <v>438</v>
      </c>
      <c r="F120" s="21" t="s">
        <v>439</v>
      </c>
      <c r="G120" s="21" t="s">
        <v>125</v>
      </c>
      <c r="H120" s="21" t="s">
        <v>126</v>
      </c>
      <c r="I120" s="21" t="s">
        <v>81</v>
      </c>
      <c r="J120" s="21" t="s">
        <v>143</v>
      </c>
      <c r="K120" s="21" t="s">
        <v>48</v>
      </c>
      <c r="L120" s="21">
        <v>110</v>
      </c>
      <c r="M120" s="21" t="s">
        <v>137</v>
      </c>
      <c r="N120" s="21" t="s">
        <v>60</v>
      </c>
      <c r="O120" s="21" t="s">
        <v>391</v>
      </c>
      <c r="P120" s="21">
        <v>19.899999999999999</v>
      </c>
      <c r="Q120" s="21">
        <v>113</v>
      </c>
      <c r="R120" s="21">
        <v>84</v>
      </c>
      <c r="S120" s="21">
        <v>54</v>
      </c>
      <c r="T120" s="21">
        <v>288</v>
      </c>
      <c r="U120" s="21">
        <v>9920</v>
      </c>
      <c r="V120" s="21">
        <v>0</v>
      </c>
      <c r="W120" s="21">
        <f t="shared" si="28"/>
        <v>10478.9</v>
      </c>
      <c r="X120" s="21" t="str">
        <f t="shared" si="17"/>
        <v>3</v>
      </c>
      <c r="Y120" s="21" t="str">
        <f t="shared" si="29"/>
        <v>1</v>
      </c>
      <c r="Z120" s="22">
        <f t="shared" si="18"/>
        <v>2</v>
      </c>
      <c r="AA120" s="21">
        <v>49</v>
      </c>
      <c r="AB120" s="21">
        <v>15</v>
      </c>
      <c r="AC120" s="21">
        <v>1.4999999999999999E-2</v>
      </c>
      <c r="AD120" s="21">
        <v>30.6</v>
      </c>
      <c r="AE120" s="21">
        <f t="shared" si="19"/>
        <v>2040.0000000000002</v>
      </c>
      <c r="AF120" s="21" t="str">
        <f t="shared" si="20"/>
        <v>1</v>
      </c>
      <c r="AG120" s="21" t="str">
        <f t="shared" si="21"/>
        <v>1</v>
      </c>
      <c r="AH120" s="22">
        <f t="shared" si="22"/>
        <v>1</v>
      </c>
      <c r="AI120" s="21">
        <v>3</v>
      </c>
      <c r="AJ120" s="21">
        <v>210</v>
      </c>
      <c r="AK120" s="21">
        <f>AJ120*0.78</f>
        <v>163.80000000000001</v>
      </c>
      <c r="AL120" s="21">
        <v>251</v>
      </c>
      <c r="AM120" s="21">
        <f>AL120*0.71</f>
        <v>178.20999999999998</v>
      </c>
      <c r="AN120" s="21">
        <v>1464</v>
      </c>
      <c r="AO120" s="21">
        <f>AN120*0.4</f>
        <v>585.6</v>
      </c>
      <c r="AP120" s="21">
        <v>78</v>
      </c>
      <c r="AQ120" s="23" t="str">
        <f t="shared" si="23"/>
        <v>2</v>
      </c>
      <c r="AR120" s="21">
        <v>5</v>
      </c>
      <c r="AS120" s="21">
        <v>5</v>
      </c>
      <c r="AT120" s="21">
        <v>1</v>
      </c>
      <c r="AU120" s="21">
        <v>1</v>
      </c>
      <c r="AV120" s="21">
        <v>1</v>
      </c>
      <c r="AW120" s="21">
        <v>1</v>
      </c>
      <c r="AX120" s="21">
        <v>1</v>
      </c>
      <c r="AY120" s="21">
        <v>1986</v>
      </c>
      <c r="AZ120" s="21">
        <f t="shared" si="24"/>
        <v>38</v>
      </c>
      <c r="BA120" s="21" t="str">
        <f t="shared" si="25"/>
        <v>5</v>
      </c>
      <c r="BB120" s="22">
        <f>(BA120+AX120+AS120+AQ120+AH120+Z120)/5</f>
        <v>3.2</v>
      </c>
      <c r="BC120" s="21" t="s">
        <v>111</v>
      </c>
      <c r="BD120" s="24" t="s">
        <v>440</v>
      </c>
      <c r="BE120" s="21" t="s">
        <v>441</v>
      </c>
      <c r="BF120" s="21">
        <v>27000000</v>
      </c>
      <c r="BG120" s="21">
        <v>125000000</v>
      </c>
      <c r="BH120" s="21">
        <v>12000000</v>
      </c>
      <c r="BI120" s="21">
        <v>656</v>
      </c>
      <c r="BJ120" s="21">
        <v>99054</v>
      </c>
      <c r="BK120" s="21">
        <v>37</v>
      </c>
    </row>
    <row r="121" spans="1:63" s="25" customFormat="1" ht="48" hidden="1" x14ac:dyDescent="0.2">
      <c r="A121" s="21">
        <v>20057784</v>
      </c>
      <c r="B121" s="21" t="s">
        <v>442</v>
      </c>
      <c r="C121" s="21">
        <v>40000</v>
      </c>
      <c r="D121" s="21" t="s">
        <v>134</v>
      </c>
      <c r="E121" s="21" t="s">
        <v>438</v>
      </c>
      <c r="F121" s="21" t="s">
        <v>443</v>
      </c>
      <c r="G121" s="21" t="s">
        <v>125</v>
      </c>
      <c r="H121" s="21" t="s">
        <v>126</v>
      </c>
      <c r="I121" s="21" t="s">
        <v>81</v>
      </c>
      <c r="J121" s="21" t="s">
        <v>82</v>
      </c>
      <c r="K121" s="21" t="s">
        <v>48</v>
      </c>
      <c r="L121" s="21">
        <v>110</v>
      </c>
      <c r="M121" s="21" t="s">
        <v>137</v>
      </c>
      <c r="N121" s="21" t="s">
        <v>60</v>
      </c>
      <c r="O121" s="21" t="s">
        <v>391</v>
      </c>
      <c r="P121" s="21">
        <v>11.9</v>
      </c>
      <c r="Q121" s="21">
        <v>129</v>
      </c>
      <c r="R121" s="21">
        <v>391</v>
      </c>
      <c r="S121" s="21">
        <v>77</v>
      </c>
      <c r="T121" s="21">
        <v>483</v>
      </c>
      <c r="U121" s="21">
        <v>9496</v>
      </c>
      <c r="V121" s="21">
        <v>0</v>
      </c>
      <c r="W121" s="21">
        <f t="shared" si="28"/>
        <v>10587.9</v>
      </c>
      <c r="X121" s="21" t="str">
        <f t="shared" si="17"/>
        <v>3</v>
      </c>
      <c r="Y121" s="21" t="str">
        <f t="shared" si="29"/>
        <v>1</v>
      </c>
      <c r="Z121" s="22">
        <f t="shared" si="18"/>
        <v>2</v>
      </c>
      <c r="AA121" s="21">
        <v>55</v>
      </c>
      <c r="AB121" s="21">
        <v>9</v>
      </c>
      <c r="AC121" s="21">
        <v>7.0000000000000001E-3</v>
      </c>
      <c r="AD121" s="21">
        <v>42.7</v>
      </c>
      <c r="AE121" s="21">
        <f t="shared" si="19"/>
        <v>6100</v>
      </c>
      <c r="AF121" s="21" t="str">
        <f t="shared" si="20"/>
        <v>1</v>
      </c>
      <c r="AG121" s="21" t="str">
        <f t="shared" si="21"/>
        <v>1</v>
      </c>
      <c r="AH121" s="22">
        <f t="shared" si="22"/>
        <v>1</v>
      </c>
      <c r="AI121" s="21">
        <v>2</v>
      </c>
      <c r="AJ121" s="21">
        <v>210</v>
      </c>
      <c r="AK121" s="21">
        <f>AJ121*0.78</f>
        <v>163.80000000000001</v>
      </c>
      <c r="AL121" s="21">
        <v>251</v>
      </c>
      <c r="AM121" s="21">
        <f>AL121*0.72</f>
        <v>180.72</v>
      </c>
      <c r="AN121" s="21">
        <v>1464</v>
      </c>
      <c r="AO121" s="21">
        <f>AN121*0.41</f>
        <v>600.24</v>
      </c>
      <c r="AP121" s="21">
        <v>78</v>
      </c>
      <c r="AQ121" s="23" t="str">
        <f t="shared" si="23"/>
        <v>2</v>
      </c>
      <c r="AR121" s="21">
        <v>5</v>
      </c>
      <c r="AS121" s="21">
        <v>5</v>
      </c>
      <c r="AT121" s="21">
        <v>1</v>
      </c>
      <c r="AU121" s="21">
        <v>1</v>
      </c>
      <c r="AV121" s="21">
        <v>1</v>
      </c>
      <c r="AW121" s="21">
        <v>1</v>
      </c>
      <c r="AX121" s="21">
        <v>1</v>
      </c>
      <c r="AY121" s="21">
        <v>1986</v>
      </c>
      <c r="AZ121" s="21">
        <f t="shared" si="24"/>
        <v>38</v>
      </c>
      <c r="BA121" s="21" t="str">
        <f t="shared" si="25"/>
        <v>5</v>
      </c>
      <c r="BB121" s="22">
        <f>(BA121+AX121+AS121+AQ121+AH121+Z121)/5</f>
        <v>3.2</v>
      </c>
      <c r="BC121" s="21" t="s">
        <v>111</v>
      </c>
      <c r="BD121" s="24" t="s">
        <v>440</v>
      </c>
      <c r="BE121" s="21" t="s">
        <v>444</v>
      </c>
      <c r="BF121" s="21">
        <v>27000000</v>
      </c>
      <c r="BG121" s="21">
        <v>1250000000</v>
      </c>
      <c r="BH121" s="21">
        <v>12000000</v>
      </c>
      <c r="BI121" s="21">
        <v>6747</v>
      </c>
      <c r="BJ121" s="21">
        <v>93487</v>
      </c>
      <c r="BK121" s="21">
        <v>83</v>
      </c>
    </row>
    <row r="122" spans="1:63" ht="80" hidden="1" x14ac:dyDescent="0.2">
      <c r="A122" s="2">
        <v>20700102</v>
      </c>
      <c r="B122" s="2" t="s">
        <v>445</v>
      </c>
      <c r="C122" s="2">
        <v>2000</v>
      </c>
      <c r="D122" s="2" t="s">
        <v>73</v>
      </c>
      <c r="E122" s="2" t="s">
        <v>446</v>
      </c>
      <c r="F122" s="2" t="s">
        <v>447</v>
      </c>
      <c r="G122" s="2" t="s">
        <v>70</v>
      </c>
      <c r="H122" s="2" t="s">
        <v>70</v>
      </c>
      <c r="I122" s="2" t="s">
        <v>65</v>
      </c>
      <c r="J122" s="2" t="s">
        <v>61</v>
      </c>
      <c r="K122" s="2" t="s">
        <v>66</v>
      </c>
      <c r="L122" s="2" t="s">
        <v>76</v>
      </c>
      <c r="M122" s="2" t="s">
        <v>60</v>
      </c>
      <c r="N122" s="2" t="s">
        <v>61</v>
      </c>
      <c r="O122" s="2" t="s">
        <v>77</v>
      </c>
      <c r="P122" s="2">
        <v>6.3</v>
      </c>
      <c r="Q122" s="2">
        <v>3.1</v>
      </c>
      <c r="R122" s="2">
        <v>13.4</v>
      </c>
      <c r="S122" s="2">
        <v>0.5</v>
      </c>
      <c r="T122" s="2">
        <v>422</v>
      </c>
      <c r="U122" s="2">
        <v>2287</v>
      </c>
      <c r="V122" s="2">
        <v>0</v>
      </c>
      <c r="W122" s="2">
        <f t="shared" si="28"/>
        <v>2732.3</v>
      </c>
      <c r="X122" s="2" t="str">
        <f t="shared" si="17"/>
        <v>1</v>
      </c>
      <c r="Y122" s="2" t="str">
        <f t="shared" si="29"/>
        <v>1</v>
      </c>
      <c r="Z122" s="3">
        <f t="shared" si="18"/>
        <v>1</v>
      </c>
      <c r="AA122" s="2">
        <v>36</v>
      </c>
      <c r="AB122" s="2">
        <v>13</v>
      </c>
      <c r="AC122" s="2">
        <v>0.02</v>
      </c>
      <c r="AD122" s="2">
        <v>44.5</v>
      </c>
      <c r="AE122" s="2">
        <f t="shared" si="19"/>
        <v>2225</v>
      </c>
      <c r="AF122" s="2" t="str">
        <f t="shared" si="20"/>
        <v>1</v>
      </c>
      <c r="AG122" s="2" t="str">
        <f t="shared" si="21"/>
        <v>1</v>
      </c>
      <c r="AH122" s="3">
        <f t="shared" si="22"/>
        <v>1</v>
      </c>
      <c r="AI122" s="2">
        <v>3</v>
      </c>
      <c r="AJ122" s="2">
        <v>33.5</v>
      </c>
      <c r="AK122" s="2">
        <f>AJ122*0.36</f>
        <v>12.059999999999999</v>
      </c>
      <c r="AL122" s="2">
        <v>83.7</v>
      </c>
      <c r="AM122" s="2">
        <f>AL122*0.36</f>
        <v>30.132000000000001</v>
      </c>
      <c r="AN122" s="2" t="s">
        <v>61</v>
      </c>
      <c r="AO122" s="2" t="s">
        <v>61</v>
      </c>
      <c r="AP122" s="2">
        <v>36</v>
      </c>
      <c r="AQ122" s="19" t="str">
        <f t="shared" si="23"/>
        <v>1</v>
      </c>
      <c r="AR122" s="2">
        <v>1</v>
      </c>
      <c r="AS122" s="2">
        <v>1</v>
      </c>
      <c r="AT122" s="2">
        <v>1</v>
      </c>
      <c r="AU122" s="2">
        <v>1</v>
      </c>
      <c r="AV122" s="2">
        <v>1</v>
      </c>
      <c r="AW122" s="2" t="s">
        <v>61</v>
      </c>
      <c r="AX122" s="2">
        <v>1</v>
      </c>
      <c r="AY122" s="2">
        <v>1998</v>
      </c>
      <c r="AZ122" s="2">
        <f t="shared" si="24"/>
        <v>26</v>
      </c>
      <c r="BA122" s="2" t="str">
        <f t="shared" si="25"/>
        <v>3</v>
      </c>
      <c r="BB122" s="3">
        <f t="shared" ref="BB122:BB127" si="30">(BA122+AX122+AS122+AQ122+AH122+Z122)/7</f>
        <v>1.1428571428571428</v>
      </c>
      <c r="BC122" s="2" t="s">
        <v>107</v>
      </c>
      <c r="BD122" s="8" t="s">
        <v>139</v>
      </c>
      <c r="BE122" s="2" t="s">
        <v>140</v>
      </c>
      <c r="BF122" s="2"/>
      <c r="BG122" s="2"/>
      <c r="BH122" s="2"/>
      <c r="BI122" s="2">
        <v>32731</v>
      </c>
      <c r="BJ122" s="2">
        <v>84948</v>
      </c>
      <c r="BK122" s="2">
        <v>5.7</v>
      </c>
    </row>
    <row r="123" spans="1:63" s="25" customFormat="1" ht="64" hidden="1" x14ac:dyDescent="0.2">
      <c r="A123" s="21">
        <v>20700447</v>
      </c>
      <c r="B123" s="21">
        <v>1079537162</v>
      </c>
      <c r="C123" s="21">
        <v>6500</v>
      </c>
      <c r="D123" s="21" t="s">
        <v>73</v>
      </c>
      <c r="E123" s="21" t="s">
        <v>448</v>
      </c>
      <c r="F123" s="21" t="s">
        <v>449</v>
      </c>
      <c r="G123" s="21" t="s">
        <v>125</v>
      </c>
      <c r="H123" s="21" t="s">
        <v>126</v>
      </c>
      <c r="I123" s="21" t="s">
        <v>81</v>
      </c>
      <c r="J123" s="21" t="s">
        <v>82</v>
      </c>
      <c r="K123" s="21" t="s">
        <v>66</v>
      </c>
      <c r="L123" s="21" t="s">
        <v>76</v>
      </c>
      <c r="M123" s="21" t="s">
        <v>60</v>
      </c>
      <c r="N123" s="21" t="s">
        <v>61</v>
      </c>
      <c r="O123" s="21" t="s">
        <v>83</v>
      </c>
      <c r="P123" s="21">
        <v>0.5</v>
      </c>
      <c r="Q123" s="21">
        <v>0.2</v>
      </c>
      <c r="R123" s="21">
        <v>0</v>
      </c>
      <c r="S123" s="21">
        <v>0.1</v>
      </c>
      <c r="T123" s="21">
        <v>6</v>
      </c>
      <c r="U123" s="21">
        <v>69</v>
      </c>
      <c r="V123" s="21">
        <v>0</v>
      </c>
      <c r="W123" s="21">
        <f t="shared" si="28"/>
        <v>75.8</v>
      </c>
      <c r="X123" s="2" t="str">
        <f t="shared" si="17"/>
        <v>1</v>
      </c>
      <c r="Y123" s="2" t="str">
        <f t="shared" si="29"/>
        <v>1</v>
      </c>
      <c r="Z123" s="3">
        <f t="shared" si="18"/>
        <v>1</v>
      </c>
      <c r="AA123" s="21">
        <v>61</v>
      </c>
      <c r="AB123" s="21">
        <v>5</v>
      </c>
      <c r="AC123" s="21">
        <v>0.02</v>
      </c>
      <c r="AD123" s="21">
        <v>51.6</v>
      </c>
      <c r="AE123" s="21">
        <f t="shared" si="19"/>
        <v>2580</v>
      </c>
      <c r="AF123" s="21" t="str">
        <f t="shared" si="20"/>
        <v>1</v>
      </c>
      <c r="AG123" s="21" t="str">
        <f t="shared" si="21"/>
        <v>1</v>
      </c>
      <c r="AH123" s="22">
        <f t="shared" si="22"/>
        <v>1</v>
      </c>
      <c r="AI123" s="21">
        <v>1</v>
      </c>
      <c r="AJ123" s="21">
        <v>108.72</v>
      </c>
      <c r="AK123" s="21">
        <f>AJ123*0.86</f>
        <v>93.499200000000002</v>
      </c>
      <c r="AL123" s="21">
        <v>271.94</v>
      </c>
      <c r="AM123" s="21">
        <f>AL123*0.86</f>
        <v>233.86840000000001</v>
      </c>
      <c r="AN123" s="21" t="s">
        <v>61</v>
      </c>
      <c r="AO123" s="21" t="s">
        <v>61</v>
      </c>
      <c r="AP123" s="21">
        <v>86</v>
      </c>
      <c r="AQ123" s="23" t="str">
        <f t="shared" si="23"/>
        <v>3</v>
      </c>
      <c r="AR123" s="21">
        <v>1</v>
      </c>
      <c r="AS123" s="21">
        <v>1</v>
      </c>
      <c r="AT123" s="21">
        <v>1</v>
      </c>
      <c r="AU123" s="21">
        <v>1</v>
      </c>
      <c r="AV123" s="21">
        <v>1</v>
      </c>
      <c r="AW123" s="21" t="s">
        <v>61</v>
      </c>
      <c r="AX123" s="21">
        <v>1</v>
      </c>
      <c r="AY123" s="21">
        <v>2023</v>
      </c>
      <c r="AZ123" s="21">
        <f t="shared" si="24"/>
        <v>1</v>
      </c>
      <c r="BA123" s="21" t="str">
        <f t="shared" si="25"/>
        <v>1</v>
      </c>
      <c r="BB123" s="22">
        <f t="shared" si="30"/>
        <v>1.1428571428571428</v>
      </c>
      <c r="BC123" s="21" t="s">
        <v>107</v>
      </c>
      <c r="BD123" s="24" t="s">
        <v>120</v>
      </c>
      <c r="BE123" s="21"/>
      <c r="BF123" s="21"/>
      <c r="BG123" s="21"/>
      <c r="BH123" s="21"/>
      <c r="BI123" s="21">
        <v>5595</v>
      </c>
      <c r="BJ123" s="21">
        <v>122621</v>
      </c>
      <c r="BK123" s="21">
        <v>0</v>
      </c>
    </row>
    <row r="124" spans="1:63" ht="80" hidden="1" x14ac:dyDescent="0.2">
      <c r="A124" s="2">
        <v>20700025</v>
      </c>
      <c r="B124" s="2" t="s">
        <v>450</v>
      </c>
      <c r="C124" s="2">
        <v>50000</v>
      </c>
      <c r="D124" s="2" t="s">
        <v>134</v>
      </c>
      <c r="E124" s="2" t="s">
        <v>451</v>
      </c>
      <c r="F124" s="2" t="s">
        <v>452</v>
      </c>
      <c r="G124" s="2" t="s">
        <v>70</v>
      </c>
      <c r="H124" s="2" t="s">
        <v>70</v>
      </c>
      <c r="I124" s="2" t="s">
        <v>81</v>
      </c>
      <c r="J124" s="2" t="s">
        <v>82</v>
      </c>
      <c r="K124" s="2" t="s">
        <v>48</v>
      </c>
      <c r="L124" s="2">
        <v>66</v>
      </c>
      <c r="M124" s="2" t="s">
        <v>60</v>
      </c>
      <c r="N124" s="2" t="s">
        <v>61</v>
      </c>
      <c r="O124" s="2" t="s">
        <v>219</v>
      </c>
      <c r="P124" s="2">
        <v>49</v>
      </c>
      <c r="Q124" s="2">
        <v>52</v>
      </c>
      <c r="R124" s="2">
        <v>3.3</v>
      </c>
      <c r="S124" s="2">
        <v>84</v>
      </c>
      <c r="T124" s="2">
        <v>175</v>
      </c>
      <c r="U124" s="2">
        <v>1323</v>
      </c>
      <c r="V124" s="2">
        <v>0.1</v>
      </c>
      <c r="W124" s="2">
        <f t="shared" si="28"/>
        <v>1686.3</v>
      </c>
      <c r="X124" s="2" t="str">
        <f t="shared" si="17"/>
        <v>1</v>
      </c>
      <c r="Y124" s="2" t="str">
        <f t="shared" si="29"/>
        <v>1</v>
      </c>
      <c r="Z124" s="3">
        <f t="shared" si="18"/>
        <v>1</v>
      </c>
      <c r="AA124" s="2">
        <v>60</v>
      </c>
      <c r="AB124" s="2">
        <v>9</v>
      </c>
      <c r="AC124" s="2">
        <v>0.02</v>
      </c>
      <c r="AD124" s="2">
        <v>37.1</v>
      </c>
      <c r="AE124" s="2">
        <f t="shared" si="19"/>
        <v>1855</v>
      </c>
      <c r="AF124" s="2" t="str">
        <f t="shared" si="20"/>
        <v>1</v>
      </c>
      <c r="AG124" s="2" t="str">
        <f t="shared" si="21"/>
        <v>1</v>
      </c>
      <c r="AH124" s="3">
        <f t="shared" si="22"/>
        <v>1</v>
      </c>
      <c r="AI124" s="2">
        <v>1</v>
      </c>
      <c r="AJ124" s="2">
        <v>262.39999999999998</v>
      </c>
      <c r="AK124" s="2">
        <f>AJ124*0.21</f>
        <v>55.103999999999992</v>
      </c>
      <c r="AL124" s="2">
        <v>2091.8000000000002</v>
      </c>
      <c r="AM124" s="2">
        <f>AL124*0.21</f>
        <v>439.27800000000002</v>
      </c>
      <c r="AN124" s="2" t="s">
        <v>61</v>
      </c>
      <c r="AO124" s="2" t="s">
        <v>61</v>
      </c>
      <c r="AP124" s="2">
        <v>21</v>
      </c>
      <c r="AQ124" s="19" t="str">
        <f t="shared" si="23"/>
        <v>1</v>
      </c>
      <c r="AR124" s="2">
        <v>1</v>
      </c>
      <c r="AS124" s="2">
        <v>1</v>
      </c>
      <c r="AT124" s="2">
        <v>1</v>
      </c>
      <c r="AU124" s="2">
        <v>1</v>
      </c>
      <c r="AV124" s="2">
        <v>1</v>
      </c>
      <c r="AW124" s="2">
        <v>1</v>
      </c>
      <c r="AX124" s="2">
        <v>1</v>
      </c>
      <c r="AY124" s="2">
        <v>2001</v>
      </c>
      <c r="AZ124" s="2">
        <f t="shared" si="24"/>
        <v>23</v>
      </c>
      <c r="BA124" s="2" t="str">
        <f t="shared" si="25"/>
        <v>3</v>
      </c>
      <c r="BB124" s="3">
        <f t="shared" si="30"/>
        <v>1.1428571428571428</v>
      </c>
      <c r="BC124" s="2" t="s">
        <v>107</v>
      </c>
      <c r="BD124" s="8" t="s">
        <v>139</v>
      </c>
      <c r="BE124" s="2" t="s">
        <v>228</v>
      </c>
      <c r="BF124" s="2"/>
      <c r="BG124" s="2"/>
      <c r="BH124" s="2"/>
      <c r="BI124" s="2">
        <v>511</v>
      </c>
      <c r="BJ124" s="2">
        <v>29114</v>
      </c>
      <c r="BK124" s="2">
        <v>43</v>
      </c>
    </row>
    <row r="125" spans="1:63" ht="80" hidden="1" x14ac:dyDescent="0.2">
      <c r="A125" s="2">
        <v>20700025</v>
      </c>
      <c r="B125" s="2" t="s">
        <v>453</v>
      </c>
      <c r="C125" s="2">
        <v>50000</v>
      </c>
      <c r="D125" s="2" t="s">
        <v>134</v>
      </c>
      <c r="E125" s="2" t="s">
        <v>451</v>
      </c>
      <c r="F125" s="2" t="s">
        <v>454</v>
      </c>
      <c r="G125" s="2" t="s">
        <v>70</v>
      </c>
      <c r="H125" s="2" t="s">
        <v>70</v>
      </c>
      <c r="I125" s="2" t="s">
        <v>81</v>
      </c>
      <c r="J125" s="2" t="s">
        <v>82</v>
      </c>
      <c r="K125" s="2" t="s">
        <v>48</v>
      </c>
      <c r="L125" s="2">
        <v>66</v>
      </c>
      <c r="M125" s="2" t="s">
        <v>60</v>
      </c>
      <c r="N125" s="2" t="s">
        <v>61</v>
      </c>
      <c r="O125" s="2" t="s">
        <v>219</v>
      </c>
      <c r="P125" s="2">
        <v>15.2</v>
      </c>
      <c r="Q125" s="2">
        <v>167</v>
      </c>
      <c r="R125" s="2">
        <v>5</v>
      </c>
      <c r="S125" s="2">
        <v>321</v>
      </c>
      <c r="T125" s="2">
        <v>349</v>
      </c>
      <c r="U125" s="2">
        <v>2428</v>
      </c>
      <c r="V125" s="2">
        <v>0</v>
      </c>
      <c r="W125" s="2">
        <f t="shared" si="28"/>
        <v>3285.2</v>
      </c>
      <c r="X125" s="2" t="str">
        <f t="shared" si="17"/>
        <v>1</v>
      </c>
      <c r="Y125" s="2" t="str">
        <f t="shared" si="29"/>
        <v>1</v>
      </c>
      <c r="Z125" s="3">
        <f t="shared" si="18"/>
        <v>1</v>
      </c>
      <c r="AA125" s="2">
        <v>68</v>
      </c>
      <c r="AB125" s="2">
        <v>8</v>
      </c>
      <c r="AC125" s="2">
        <v>0.02</v>
      </c>
      <c r="AD125" s="2">
        <v>38</v>
      </c>
      <c r="AE125" s="2">
        <f t="shared" si="19"/>
        <v>1900</v>
      </c>
      <c r="AF125" s="2" t="str">
        <f t="shared" si="20"/>
        <v>1</v>
      </c>
      <c r="AG125" s="2" t="str">
        <f t="shared" si="21"/>
        <v>1</v>
      </c>
      <c r="AH125" s="3">
        <f t="shared" si="22"/>
        <v>1</v>
      </c>
      <c r="AI125" s="2">
        <v>1</v>
      </c>
      <c r="AJ125" s="2">
        <v>262.39999999999998</v>
      </c>
      <c r="AK125" s="2">
        <f>AJ125*0.68</f>
        <v>178.43199999999999</v>
      </c>
      <c r="AL125" s="2">
        <v>2091.8000000000002</v>
      </c>
      <c r="AM125" s="2">
        <f>AL125*0.68</f>
        <v>1422.4240000000002</v>
      </c>
      <c r="AN125" s="2" t="s">
        <v>61</v>
      </c>
      <c r="AO125" s="2" t="s">
        <v>61</v>
      </c>
      <c r="AP125" s="2">
        <v>68</v>
      </c>
      <c r="AQ125" s="19" t="str">
        <f t="shared" si="23"/>
        <v>1</v>
      </c>
      <c r="AR125" s="2">
        <v>1</v>
      </c>
      <c r="AS125" s="2">
        <v>1</v>
      </c>
      <c r="AT125" s="2">
        <v>1</v>
      </c>
      <c r="AU125" s="2">
        <v>1</v>
      </c>
      <c r="AV125" s="2">
        <v>1</v>
      </c>
      <c r="AW125" s="2">
        <v>1</v>
      </c>
      <c r="AX125" s="2">
        <v>1</v>
      </c>
      <c r="AY125" s="2">
        <v>2001</v>
      </c>
      <c r="AZ125" s="2">
        <f t="shared" si="24"/>
        <v>23</v>
      </c>
      <c r="BA125" s="2" t="str">
        <f t="shared" si="25"/>
        <v>3</v>
      </c>
      <c r="BB125" s="3">
        <f t="shared" si="30"/>
        <v>1.1428571428571428</v>
      </c>
      <c r="BC125" s="2" t="s">
        <v>107</v>
      </c>
      <c r="BD125" s="8" t="s">
        <v>139</v>
      </c>
      <c r="BE125" s="2" t="s">
        <v>228</v>
      </c>
      <c r="BF125" s="2"/>
      <c r="BG125" s="2"/>
      <c r="BH125" s="2"/>
      <c r="BI125" s="2">
        <v>562</v>
      </c>
      <c r="BJ125" s="2">
        <v>84087</v>
      </c>
      <c r="BK125" s="2">
        <v>193</v>
      </c>
    </row>
    <row r="126" spans="1:63" ht="80" hidden="1" x14ac:dyDescent="0.2">
      <c r="A126" s="2">
        <v>20700025</v>
      </c>
      <c r="B126" s="2">
        <v>251127</v>
      </c>
      <c r="C126" s="2">
        <v>20000</v>
      </c>
      <c r="D126" s="2" t="s">
        <v>152</v>
      </c>
      <c r="E126" s="2" t="s">
        <v>451</v>
      </c>
      <c r="F126" s="2" t="s">
        <v>455</v>
      </c>
      <c r="G126" s="2" t="s">
        <v>70</v>
      </c>
      <c r="H126" s="2" t="s">
        <v>70</v>
      </c>
      <c r="I126" s="2" t="s">
        <v>81</v>
      </c>
      <c r="J126" s="2" t="s">
        <v>82</v>
      </c>
      <c r="K126" s="2" t="s">
        <v>48</v>
      </c>
      <c r="L126" s="2">
        <v>66</v>
      </c>
      <c r="M126" s="2" t="s">
        <v>60</v>
      </c>
      <c r="N126" s="2" t="s">
        <v>61</v>
      </c>
      <c r="O126" s="2" t="s">
        <v>177</v>
      </c>
      <c r="P126" s="2">
        <v>8.1999999999999993</v>
      </c>
      <c r="Q126" s="2">
        <v>21</v>
      </c>
      <c r="R126" s="2">
        <v>12.8</v>
      </c>
      <c r="S126" s="2">
        <v>3.7</v>
      </c>
      <c r="T126" s="2">
        <v>1409</v>
      </c>
      <c r="U126" s="2">
        <v>4307</v>
      </c>
      <c r="V126" s="2">
        <v>0</v>
      </c>
      <c r="W126" s="2">
        <f t="shared" si="28"/>
        <v>5761.7</v>
      </c>
      <c r="X126" s="2" t="str">
        <f t="shared" si="17"/>
        <v>2</v>
      </c>
      <c r="Y126" s="2" t="str">
        <f t="shared" si="29"/>
        <v>1</v>
      </c>
      <c r="Z126" s="3">
        <f t="shared" si="18"/>
        <v>1.5</v>
      </c>
      <c r="AA126" s="2">
        <v>69</v>
      </c>
      <c r="AB126" s="2">
        <v>9</v>
      </c>
      <c r="AC126" s="2">
        <v>0.02</v>
      </c>
      <c r="AD126" s="2">
        <v>38.299999999999997</v>
      </c>
      <c r="AE126" s="2">
        <f t="shared" si="19"/>
        <v>1914.9999999999998</v>
      </c>
      <c r="AF126" s="2" t="str">
        <f t="shared" si="20"/>
        <v>1</v>
      </c>
      <c r="AG126" s="2" t="str">
        <f t="shared" si="21"/>
        <v>1</v>
      </c>
      <c r="AH126" s="3">
        <f t="shared" si="22"/>
        <v>1</v>
      </c>
      <c r="AI126" s="2">
        <v>1</v>
      </c>
      <c r="AJ126" s="2">
        <v>105</v>
      </c>
      <c r="AK126" s="2">
        <f>AJ126*0.52</f>
        <v>54.6</v>
      </c>
      <c r="AL126" s="2">
        <v>836.7</v>
      </c>
      <c r="AM126" s="2">
        <f>AL126*0.52</f>
        <v>435.08400000000006</v>
      </c>
      <c r="AN126" s="2" t="s">
        <v>61</v>
      </c>
      <c r="AO126" s="2" t="s">
        <v>61</v>
      </c>
      <c r="AP126" s="2">
        <v>52</v>
      </c>
      <c r="AQ126" s="19" t="str">
        <f t="shared" si="23"/>
        <v>1</v>
      </c>
      <c r="AR126" s="2">
        <v>1</v>
      </c>
      <c r="AS126" s="2">
        <v>1</v>
      </c>
      <c r="AT126" s="2">
        <v>1</v>
      </c>
      <c r="AU126" s="2">
        <v>1</v>
      </c>
      <c r="AV126" s="2">
        <v>1</v>
      </c>
      <c r="AW126" s="2">
        <v>1</v>
      </c>
      <c r="AX126" s="2">
        <v>1</v>
      </c>
      <c r="AY126" s="2">
        <v>2006</v>
      </c>
      <c r="AZ126" s="2">
        <f t="shared" si="24"/>
        <v>18</v>
      </c>
      <c r="BA126" s="2" t="str">
        <f t="shared" si="25"/>
        <v>2</v>
      </c>
      <c r="BB126" s="3">
        <f t="shared" si="30"/>
        <v>1.0714285714285714</v>
      </c>
      <c r="BC126" s="2" t="s">
        <v>107</v>
      </c>
      <c r="BD126" s="8" t="s">
        <v>139</v>
      </c>
      <c r="BE126" s="2" t="s">
        <v>140</v>
      </c>
      <c r="BF126" s="2"/>
      <c r="BG126" s="2"/>
      <c r="BH126" s="2"/>
      <c r="BI126" s="2">
        <v>1193</v>
      </c>
      <c r="BJ126" s="2">
        <v>78445</v>
      </c>
      <c r="BK126" s="2">
        <v>12.3</v>
      </c>
    </row>
    <row r="127" spans="1:63" ht="96" hidden="1" x14ac:dyDescent="0.2">
      <c r="A127" s="2">
        <v>20700025</v>
      </c>
      <c r="B127" s="2">
        <v>201104</v>
      </c>
      <c r="C127" s="2">
        <v>30000</v>
      </c>
      <c r="D127" s="2" t="s">
        <v>152</v>
      </c>
      <c r="E127" s="2" t="s">
        <v>451</v>
      </c>
      <c r="F127" s="2" t="s">
        <v>456</v>
      </c>
      <c r="G127" s="2" t="s">
        <v>70</v>
      </c>
      <c r="H127" s="2" t="s">
        <v>70</v>
      </c>
      <c r="I127" s="2" t="s">
        <v>81</v>
      </c>
      <c r="J127" s="2" t="s">
        <v>82</v>
      </c>
      <c r="K127" s="2" t="s">
        <v>48</v>
      </c>
      <c r="L127" s="2">
        <v>66</v>
      </c>
      <c r="M127" s="2" t="s">
        <v>60</v>
      </c>
      <c r="N127" s="2" t="s">
        <v>61</v>
      </c>
      <c r="O127" s="2" t="s">
        <v>172</v>
      </c>
      <c r="P127" s="2">
        <v>2.2999999999999998</v>
      </c>
      <c r="Q127" s="2">
        <v>18.2</v>
      </c>
      <c r="R127" s="2">
        <v>7.7</v>
      </c>
      <c r="S127" s="2">
        <v>3.1</v>
      </c>
      <c r="T127" s="2">
        <v>1079</v>
      </c>
      <c r="U127" s="2">
        <v>4746</v>
      </c>
      <c r="V127" s="2">
        <v>0</v>
      </c>
      <c r="W127" s="2">
        <f t="shared" si="28"/>
        <v>5856.3</v>
      </c>
      <c r="X127" s="2" t="str">
        <f t="shared" si="17"/>
        <v>2</v>
      </c>
      <c r="Y127" s="2" t="str">
        <f t="shared" si="29"/>
        <v>1</v>
      </c>
      <c r="Z127" s="3">
        <f t="shared" si="18"/>
        <v>1.5</v>
      </c>
      <c r="AA127" s="2">
        <v>57</v>
      </c>
      <c r="AB127" s="2">
        <v>10</v>
      </c>
      <c r="AC127" s="2">
        <v>0.02</v>
      </c>
      <c r="AD127" s="2">
        <v>37.799999999999997</v>
      </c>
      <c r="AE127" s="2">
        <f t="shared" si="19"/>
        <v>1889.9999999999998</v>
      </c>
      <c r="AF127" s="2" t="str">
        <f t="shared" si="20"/>
        <v>1</v>
      </c>
      <c r="AG127" s="2" t="str">
        <f t="shared" si="21"/>
        <v>1</v>
      </c>
      <c r="AH127" s="3">
        <f t="shared" si="22"/>
        <v>1</v>
      </c>
      <c r="AI127" s="2">
        <v>1</v>
      </c>
      <c r="AJ127" s="2">
        <v>157.5</v>
      </c>
      <c r="AK127" s="2">
        <f>AJ127*0.93</f>
        <v>146.47499999999999</v>
      </c>
      <c r="AL127" s="2">
        <v>1255.0999999999999</v>
      </c>
      <c r="AM127" s="2">
        <f>AL127*0.93</f>
        <v>1167.2429999999999</v>
      </c>
      <c r="AN127" s="2" t="s">
        <v>61</v>
      </c>
      <c r="AO127" s="2" t="s">
        <v>61</v>
      </c>
      <c r="AP127" s="2">
        <v>93</v>
      </c>
      <c r="AQ127" s="19" t="str">
        <f t="shared" si="23"/>
        <v>4</v>
      </c>
      <c r="AR127" s="2">
        <v>1</v>
      </c>
      <c r="AS127" s="2">
        <v>1</v>
      </c>
      <c r="AT127" s="2">
        <v>1</v>
      </c>
      <c r="AU127" s="2">
        <v>1</v>
      </c>
      <c r="AV127" s="2">
        <v>1</v>
      </c>
      <c r="AW127" s="2">
        <v>1</v>
      </c>
      <c r="AX127" s="2">
        <v>1</v>
      </c>
      <c r="AY127" s="2">
        <v>2012</v>
      </c>
      <c r="AZ127" s="2">
        <f t="shared" si="24"/>
        <v>12</v>
      </c>
      <c r="BA127" s="2" t="str">
        <f t="shared" si="25"/>
        <v>2</v>
      </c>
      <c r="BB127" s="3">
        <f t="shared" si="30"/>
        <v>1.5</v>
      </c>
      <c r="BC127" s="2" t="s">
        <v>105</v>
      </c>
      <c r="BD127" s="8" t="s">
        <v>127</v>
      </c>
      <c r="BE127" s="2" t="s">
        <v>457</v>
      </c>
      <c r="BF127" s="2"/>
      <c r="BG127" s="2"/>
      <c r="BH127" s="2"/>
      <c r="BI127" s="2">
        <v>1262</v>
      </c>
      <c r="BJ127" s="2">
        <v>64033</v>
      </c>
      <c r="BK127" s="2">
        <v>5.5</v>
      </c>
    </row>
    <row r="128" spans="1:63" ht="80" hidden="1" x14ac:dyDescent="0.2">
      <c r="A128" s="2">
        <v>20700392</v>
      </c>
      <c r="B128" s="2">
        <v>1057609443</v>
      </c>
      <c r="C128" s="2">
        <v>6500</v>
      </c>
      <c r="D128" s="2" t="s">
        <v>73</v>
      </c>
      <c r="E128" s="2" t="s">
        <v>458</v>
      </c>
      <c r="F128" s="2" t="s">
        <v>459</v>
      </c>
      <c r="G128" s="2" t="s">
        <v>58</v>
      </c>
      <c r="H128" s="2" t="s">
        <v>64</v>
      </c>
      <c r="I128" s="2" t="s">
        <v>81</v>
      </c>
      <c r="J128" s="2" t="s">
        <v>82</v>
      </c>
      <c r="K128" s="2" t="s">
        <v>66</v>
      </c>
      <c r="L128" s="2" t="s">
        <v>76</v>
      </c>
      <c r="M128" s="2" t="s">
        <v>60</v>
      </c>
      <c r="N128" s="2" t="s">
        <v>61</v>
      </c>
      <c r="O128" s="2" t="s">
        <v>83</v>
      </c>
      <c r="P128" s="2">
        <v>6.2</v>
      </c>
      <c r="Q128" s="2">
        <v>21</v>
      </c>
      <c r="R128" s="2">
        <v>2.5</v>
      </c>
      <c r="S128" s="2">
        <v>5.6</v>
      </c>
      <c r="T128" s="2">
        <v>847</v>
      </c>
      <c r="U128" s="2">
        <v>2216</v>
      </c>
      <c r="V128" s="2">
        <v>0</v>
      </c>
      <c r="W128" s="2">
        <f t="shared" si="28"/>
        <v>3098.3</v>
      </c>
      <c r="X128" s="2" t="str">
        <f t="shared" si="17"/>
        <v>1</v>
      </c>
      <c r="Y128" s="2" t="str">
        <f t="shared" si="29"/>
        <v>1</v>
      </c>
      <c r="Z128" s="3">
        <f t="shared" si="18"/>
        <v>1</v>
      </c>
      <c r="AA128" s="2">
        <v>61</v>
      </c>
      <c r="AB128" s="2">
        <v>7</v>
      </c>
      <c r="AC128" s="2">
        <v>0.02</v>
      </c>
      <c r="AD128" s="2">
        <v>43.4</v>
      </c>
      <c r="AE128" s="2">
        <f t="shared" si="19"/>
        <v>2170</v>
      </c>
      <c r="AF128" s="2" t="str">
        <f t="shared" si="20"/>
        <v>1</v>
      </c>
      <c r="AG128" s="2" t="str">
        <f t="shared" si="21"/>
        <v>1</v>
      </c>
      <c r="AH128" s="3">
        <f t="shared" si="22"/>
        <v>1</v>
      </c>
      <c r="AI128" s="2">
        <v>3</v>
      </c>
      <c r="AJ128" s="2">
        <v>125.9</v>
      </c>
      <c r="AK128" s="2">
        <f>AJ128*0.557</f>
        <v>70.126300000000015</v>
      </c>
      <c r="AL128" s="2">
        <v>271.94</v>
      </c>
      <c r="AM128" s="2">
        <f>AL128*0.57</f>
        <v>155.00579999999999</v>
      </c>
      <c r="AN128" s="2" t="s">
        <v>61</v>
      </c>
      <c r="AO128" s="2" t="s">
        <v>61</v>
      </c>
      <c r="AP128" s="2">
        <v>57</v>
      </c>
      <c r="AQ128" s="19" t="str">
        <f t="shared" si="23"/>
        <v>1</v>
      </c>
      <c r="AR128" s="2">
        <v>1</v>
      </c>
      <c r="AS128" s="2">
        <v>1</v>
      </c>
      <c r="AT128" s="2">
        <v>1</v>
      </c>
      <c r="AU128" s="2">
        <v>1</v>
      </c>
      <c r="AV128" s="2">
        <v>1</v>
      </c>
      <c r="AW128" s="2" t="s">
        <v>61</v>
      </c>
      <c r="AX128" s="2">
        <v>1</v>
      </c>
      <c r="AY128" s="2">
        <v>2021</v>
      </c>
      <c r="AZ128" s="2">
        <f t="shared" si="24"/>
        <v>3</v>
      </c>
      <c r="BA128" s="2" t="str">
        <f t="shared" si="25"/>
        <v>1</v>
      </c>
      <c r="BB128" s="3">
        <f>(BA128+AX128+AS128+AQ128+AH128+Z128)/7</f>
        <v>0.8571428571428571</v>
      </c>
      <c r="BC128" s="2" t="s">
        <v>107</v>
      </c>
      <c r="BD128" s="8" t="s">
        <v>139</v>
      </c>
      <c r="BE128" s="2" t="s">
        <v>140</v>
      </c>
      <c r="BF128" s="2"/>
      <c r="BG128" s="2"/>
      <c r="BH128" s="2"/>
      <c r="BI128" s="2">
        <v>1711</v>
      </c>
      <c r="BJ128" s="2">
        <v>79771</v>
      </c>
      <c r="BK128" s="2">
        <v>6.3</v>
      </c>
    </row>
    <row r="129" spans="1:63" ht="80" hidden="1" x14ac:dyDescent="0.2">
      <c r="A129" s="2">
        <v>20700484</v>
      </c>
      <c r="B129" s="2">
        <v>1055436050</v>
      </c>
      <c r="C129" s="2">
        <v>50000</v>
      </c>
      <c r="D129" s="2" t="s">
        <v>134</v>
      </c>
      <c r="E129" s="2" t="s">
        <v>460</v>
      </c>
      <c r="F129" s="2" t="s">
        <v>461</v>
      </c>
      <c r="G129" s="2" t="s">
        <v>58</v>
      </c>
      <c r="H129" s="2" t="s">
        <v>59</v>
      </c>
      <c r="I129" s="2" t="s">
        <v>81</v>
      </c>
      <c r="J129" s="2" t="s">
        <v>82</v>
      </c>
      <c r="K129" s="2" t="s">
        <v>48</v>
      </c>
      <c r="L129" s="2">
        <v>110</v>
      </c>
      <c r="M129" s="2" t="s">
        <v>137</v>
      </c>
      <c r="N129" s="2" t="s">
        <v>60</v>
      </c>
      <c r="O129" s="2" t="s">
        <v>311</v>
      </c>
      <c r="P129" s="21"/>
      <c r="Q129" s="21"/>
      <c r="R129" s="21"/>
      <c r="S129" s="21"/>
      <c r="T129" s="21"/>
      <c r="U129" s="21"/>
      <c r="V129" s="21"/>
      <c r="W129" s="2">
        <f t="shared" si="28"/>
        <v>0</v>
      </c>
      <c r="X129" s="2" t="str">
        <f t="shared" si="17"/>
        <v>1</v>
      </c>
      <c r="Y129" s="2" t="str">
        <f t="shared" si="29"/>
        <v>1</v>
      </c>
      <c r="Z129" s="3">
        <f t="shared" si="18"/>
        <v>1</v>
      </c>
      <c r="AA129" s="21"/>
      <c r="AB129" s="21"/>
      <c r="AC129" s="21"/>
      <c r="AD129" s="21"/>
      <c r="AE129" s="2" t="e">
        <f t="shared" si="19"/>
        <v>#DIV/0!</v>
      </c>
      <c r="AF129" s="2" t="str">
        <f t="shared" si="20"/>
        <v>5</v>
      </c>
      <c r="AG129" s="2" t="e">
        <f t="shared" si="21"/>
        <v>#DIV/0!</v>
      </c>
      <c r="AH129" s="3" t="e">
        <f t="shared" si="22"/>
        <v>#DIV/0!</v>
      </c>
      <c r="AI129" s="2">
        <v>1</v>
      </c>
      <c r="AJ129" s="2">
        <v>262.43</v>
      </c>
      <c r="AK129" s="2">
        <f>AJ129*0.82</f>
        <v>215.1926</v>
      </c>
      <c r="AL129" s="2">
        <v>502</v>
      </c>
      <c r="AM129" s="2">
        <f>AL129*0.82</f>
        <v>411.64</v>
      </c>
      <c r="AN129" s="2">
        <v>836.74</v>
      </c>
      <c r="AO129" s="2">
        <f>AN129*0.82</f>
        <v>686.1268</v>
      </c>
      <c r="AP129" s="2">
        <v>82</v>
      </c>
      <c r="AQ129" s="19" t="str">
        <f t="shared" si="23"/>
        <v>3</v>
      </c>
      <c r="AR129" s="2">
        <v>1</v>
      </c>
      <c r="AS129" s="2">
        <v>1</v>
      </c>
      <c r="AT129" s="2">
        <v>1</v>
      </c>
      <c r="AU129" s="2">
        <v>1</v>
      </c>
      <c r="AV129" s="2">
        <v>1</v>
      </c>
      <c r="AW129" s="2">
        <v>1</v>
      </c>
      <c r="AX129" s="2">
        <v>1</v>
      </c>
      <c r="AY129" s="2">
        <v>2021</v>
      </c>
      <c r="AZ129" s="2">
        <f t="shared" si="24"/>
        <v>3</v>
      </c>
      <c r="BA129" s="2" t="str">
        <f t="shared" si="25"/>
        <v>1</v>
      </c>
      <c r="BB129" s="3">
        <v>1</v>
      </c>
      <c r="BC129" s="2" t="s">
        <v>107</v>
      </c>
      <c r="BD129" s="8" t="s">
        <v>139</v>
      </c>
      <c r="BE129" s="2" t="s">
        <v>230</v>
      </c>
      <c r="BF129" s="2"/>
      <c r="BG129" s="2"/>
      <c r="BH129" s="2"/>
      <c r="BI129" s="21"/>
      <c r="BJ129" s="21"/>
      <c r="BK129" s="21"/>
    </row>
    <row r="130" spans="1:63" ht="80" hidden="1" x14ac:dyDescent="0.2">
      <c r="A130" s="2">
        <v>20700465</v>
      </c>
      <c r="B130" s="2">
        <v>201789</v>
      </c>
      <c r="C130" s="2">
        <v>50000</v>
      </c>
      <c r="D130" s="2" t="s">
        <v>134</v>
      </c>
      <c r="E130" s="2" t="s">
        <v>462</v>
      </c>
      <c r="F130" s="2" t="s">
        <v>463</v>
      </c>
      <c r="G130" s="2" t="s">
        <v>125</v>
      </c>
      <c r="H130" s="2" t="s">
        <v>126</v>
      </c>
      <c r="I130" s="2" t="s">
        <v>81</v>
      </c>
      <c r="J130" s="2" t="s">
        <v>82</v>
      </c>
      <c r="K130" s="2" t="s">
        <v>48</v>
      </c>
      <c r="L130" s="2">
        <v>110</v>
      </c>
      <c r="M130" s="2" t="s">
        <v>137</v>
      </c>
      <c r="N130" s="2" t="s">
        <v>60</v>
      </c>
      <c r="O130" s="2" t="s">
        <v>311</v>
      </c>
      <c r="P130" s="2">
        <v>16.100000000000001</v>
      </c>
      <c r="Q130" s="2">
        <v>3.3</v>
      </c>
      <c r="R130" s="2">
        <v>0.3</v>
      </c>
      <c r="S130" s="2">
        <v>0.4</v>
      </c>
      <c r="T130" s="2">
        <v>308</v>
      </c>
      <c r="U130" s="2">
        <v>709</v>
      </c>
      <c r="V130" s="2">
        <v>0</v>
      </c>
      <c r="W130" s="2">
        <f t="shared" si="28"/>
        <v>1037.0999999999999</v>
      </c>
      <c r="X130" s="2" t="str">
        <f t="shared" si="17"/>
        <v>1</v>
      </c>
      <c r="Y130" s="2" t="str">
        <f t="shared" si="29"/>
        <v>1</v>
      </c>
      <c r="Z130" s="3">
        <f t="shared" si="18"/>
        <v>1</v>
      </c>
      <c r="AA130" s="2">
        <v>68</v>
      </c>
      <c r="AB130" s="2">
        <v>4</v>
      </c>
      <c r="AC130" s="2">
        <v>0.02</v>
      </c>
      <c r="AD130" s="2">
        <v>43.8</v>
      </c>
      <c r="AE130" s="2">
        <f t="shared" si="19"/>
        <v>2190</v>
      </c>
      <c r="AF130" s="2" t="str">
        <f t="shared" si="20"/>
        <v>1</v>
      </c>
      <c r="AG130" s="2" t="str">
        <f t="shared" si="21"/>
        <v>1</v>
      </c>
      <c r="AH130" s="3">
        <f t="shared" si="22"/>
        <v>1</v>
      </c>
      <c r="AI130" s="2">
        <v>1</v>
      </c>
      <c r="AJ130" s="2">
        <v>262</v>
      </c>
      <c r="AK130" s="2">
        <f>AJ130*0.72</f>
        <v>188.64</v>
      </c>
      <c r="AL130" s="2">
        <v>251</v>
      </c>
      <c r="AM130" s="2">
        <f>AL130*0.72</f>
        <v>180.72</v>
      </c>
      <c r="AN130" s="2">
        <v>1464</v>
      </c>
      <c r="AO130" s="2">
        <f>AN130*0.72</f>
        <v>1054.08</v>
      </c>
      <c r="AP130" s="2">
        <v>72</v>
      </c>
      <c r="AQ130" s="19" t="str">
        <f t="shared" si="23"/>
        <v>2</v>
      </c>
      <c r="AR130" s="2">
        <v>1</v>
      </c>
      <c r="AS130" s="2">
        <v>1</v>
      </c>
      <c r="AT130" s="2">
        <v>1</v>
      </c>
      <c r="AU130" s="2">
        <v>1</v>
      </c>
      <c r="AV130" s="2">
        <v>1</v>
      </c>
      <c r="AW130" s="2">
        <v>1</v>
      </c>
      <c r="AX130" s="2">
        <v>1</v>
      </c>
      <c r="AY130" s="2">
        <v>2020</v>
      </c>
      <c r="AZ130" s="2">
        <f t="shared" si="24"/>
        <v>4</v>
      </c>
      <c r="BA130" s="2" t="str">
        <f t="shared" si="25"/>
        <v>1</v>
      </c>
      <c r="BB130" s="3">
        <f>(BA130+AX130+AS130+AQ130+AH130+Z130)/7</f>
        <v>1</v>
      </c>
      <c r="BC130" s="2" t="s">
        <v>107</v>
      </c>
      <c r="BD130" s="8" t="s">
        <v>139</v>
      </c>
      <c r="BE130" s="2" t="s">
        <v>228</v>
      </c>
      <c r="BF130" s="2"/>
      <c r="BG130" s="2"/>
      <c r="BH130" s="2"/>
      <c r="BI130" s="2">
        <v>5088</v>
      </c>
      <c r="BJ130" s="2">
        <v>29867</v>
      </c>
      <c r="BK130" s="2">
        <v>0.8</v>
      </c>
    </row>
    <row r="131" spans="1:63" s="25" customFormat="1" ht="32" hidden="1" x14ac:dyDescent="0.2">
      <c r="A131" s="21">
        <v>20037986</v>
      </c>
      <c r="B131" s="21">
        <v>55390119</v>
      </c>
      <c r="C131" s="21">
        <v>2300</v>
      </c>
      <c r="D131" s="21" t="s">
        <v>73</v>
      </c>
      <c r="E131" s="21" t="s">
        <v>464</v>
      </c>
      <c r="F131" s="21" t="s">
        <v>465</v>
      </c>
      <c r="G131" s="21" t="s">
        <v>125</v>
      </c>
      <c r="H131" s="21" t="s">
        <v>148</v>
      </c>
      <c r="I131" s="21" t="s">
        <v>65</v>
      </c>
      <c r="J131" s="21" t="s">
        <v>61</v>
      </c>
      <c r="K131" s="21" t="s">
        <v>66</v>
      </c>
      <c r="L131" s="21" t="s">
        <v>76</v>
      </c>
      <c r="M131" s="21" t="s">
        <v>60</v>
      </c>
      <c r="N131" s="21" t="s">
        <v>61</v>
      </c>
      <c r="O131" s="21" t="s">
        <v>77</v>
      </c>
      <c r="P131" s="21">
        <v>65</v>
      </c>
      <c r="Q131" s="21">
        <v>13</v>
      </c>
      <c r="R131" s="21">
        <v>6</v>
      </c>
      <c r="S131" s="21">
        <v>2.2999999999999998</v>
      </c>
      <c r="T131" s="21">
        <v>843</v>
      </c>
      <c r="U131" s="21">
        <v>2619</v>
      </c>
      <c r="V131" s="21">
        <v>0</v>
      </c>
      <c r="W131" s="21">
        <f t="shared" si="28"/>
        <v>3548.3</v>
      </c>
      <c r="X131" s="2" t="str">
        <f t="shared" si="17"/>
        <v>1</v>
      </c>
      <c r="Y131" s="2" t="str">
        <f t="shared" si="29"/>
        <v>1</v>
      </c>
      <c r="Z131" s="3">
        <f t="shared" si="18"/>
        <v>1</v>
      </c>
      <c r="AA131" s="21">
        <v>53</v>
      </c>
      <c r="AB131" s="21">
        <v>7</v>
      </c>
      <c r="AC131" s="21">
        <v>0.02</v>
      </c>
      <c r="AD131" s="21">
        <v>43.4</v>
      </c>
      <c r="AE131" s="21">
        <f t="shared" si="19"/>
        <v>2170</v>
      </c>
      <c r="AF131" s="21" t="str">
        <f t="shared" si="20"/>
        <v>1</v>
      </c>
      <c r="AG131" s="21" t="str">
        <f t="shared" si="21"/>
        <v>1</v>
      </c>
      <c r="AH131" s="22">
        <f t="shared" si="22"/>
        <v>1</v>
      </c>
      <c r="AI131" s="21">
        <v>1</v>
      </c>
      <c r="AJ131" s="21">
        <v>38.49</v>
      </c>
      <c r="AK131" s="21">
        <f>AJ131*0.49</f>
        <v>18.860099999999999</v>
      </c>
      <c r="AL131" s="21">
        <v>96.22</v>
      </c>
      <c r="AM131" s="21">
        <f>AL131*0.49</f>
        <v>47.147799999999997</v>
      </c>
      <c r="AN131" s="21" t="s">
        <v>61</v>
      </c>
      <c r="AO131" s="21" t="s">
        <v>61</v>
      </c>
      <c r="AP131" s="21">
        <v>49</v>
      </c>
      <c r="AQ131" s="23" t="str">
        <f t="shared" si="23"/>
        <v>1</v>
      </c>
      <c r="AR131" s="21">
        <v>1</v>
      </c>
      <c r="AS131" s="21">
        <v>1</v>
      </c>
      <c r="AT131" s="21">
        <v>5</v>
      </c>
      <c r="AU131" s="21">
        <v>1</v>
      </c>
      <c r="AV131" s="21">
        <v>1</v>
      </c>
      <c r="AW131" s="21" t="s">
        <v>61</v>
      </c>
      <c r="AX131" s="21">
        <v>5</v>
      </c>
      <c r="AY131" s="21">
        <v>2019</v>
      </c>
      <c r="AZ131" s="21">
        <f t="shared" si="24"/>
        <v>5</v>
      </c>
      <c r="BA131" s="21" t="str">
        <f t="shared" si="25"/>
        <v>1</v>
      </c>
      <c r="BB131" s="22">
        <f>(BA131+AX131+AS131+AQ131+AH131+Z131)/4</f>
        <v>2.5</v>
      </c>
      <c r="BC131" s="21" t="s">
        <v>111</v>
      </c>
      <c r="BD131" s="24" t="s">
        <v>466</v>
      </c>
      <c r="BE131" s="21" t="s">
        <v>467</v>
      </c>
      <c r="BF131" s="21"/>
      <c r="BG131" s="21">
        <v>49800000</v>
      </c>
      <c r="BH131" s="21"/>
      <c r="BI131" s="21">
        <v>2095</v>
      </c>
      <c r="BJ131" s="21">
        <v>93669</v>
      </c>
      <c r="BK131" s="21">
        <v>7.4</v>
      </c>
    </row>
    <row r="132" spans="1:63" s="25" customFormat="1" ht="48" x14ac:dyDescent="0.2">
      <c r="A132" s="21">
        <v>20037986</v>
      </c>
      <c r="B132" s="21" t="s">
        <v>468</v>
      </c>
      <c r="C132" s="21">
        <v>5000</v>
      </c>
      <c r="D132" s="21" t="s">
        <v>73</v>
      </c>
      <c r="E132" s="53" t="s">
        <v>464</v>
      </c>
      <c r="F132" s="21" t="s">
        <v>469</v>
      </c>
      <c r="G132" s="21" t="s">
        <v>125</v>
      </c>
      <c r="H132" s="21" t="s">
        <v>148</v>
      </c>
      <c r="I132" s="21" t="s">
        <v>65</v>
      </c>
      <c r="J132" s="21" t="s">
        <v>61</v>
      </c>
      <c r="K132" s="21" t="s">
        <v>66</v>
      </c>
      <c r="L132" s="21" t="s">
        <v>76</v>
      </c>
      <c r="M132" s="21" t="s">
        <v>60</v>
      </c>
      <c r="N132" s="21" t="s">
        <v>61</v>
      </c>
      <c r="O132" s="21" t="s">
        <v>130</v>
      </c>
      <c r="P132" s="21">
        <v>9.6999999999999993</v>
      </c>
      <c r="Q132" s="21">
        <v>7</v>
      </c>
      <c r="R132" s="21">
        <v>33</v>
      </c>
      <c r="S132" s="21">
        <v>2.2000000000000002</v>
      </c>
      <c r="T132" s="21">
        <v>1145</v>
      </c>
      <c r="U132" s="21">
        <v>5284</v>
      </c>
      <c r="V132" s="21">
        <v>0</v>
      </c>
      <c r="W132" s="21">
        <f t="shared" si="28"/>
        <v>6480.9</v>
      </c>
      <c r="X132" s="2" t="str">
        <f t="shared" si="17"/>
        <v>3</v>
      </c>
      <c r="Y132" s="2" t="str">
        <f t="shared" si="29"/>
        <v>1</v>
      </c>
      <c r="Z132" s="3">
        <f t="shared" si="18"/>
        <v>2</v>
      </c>
      <c r="AA132" s="21">
        <v>25</v>
      </c>
      <c r="AB132" s="21">
        <v>21</v>
      </c>
      <c r="AC132" s="21">
        <v>7.0000000000000007E-2</v>
      </c>
      <c r="AD132" s="21">
        <v>30.9</v>
      </c>
      <c r="AE132" s="21">
        <f t="shared" si="19"/>
        <v>441.42857142857139</v>
      </c>
      <c r="AF132" s="21" t="str">
        <f t="shared" si="20"/>
        <v>3</v>
      </c>
      <c r="AG132" s="21" t="str">
        <f t="shared" si="21"/>
        <v>5</v>
      </c>
      <c r="AH132" s="22">
        <f t="shared" si="22"/>
        <v>4</v>
      </c>
      <c r="AI132" s="21">
        <v>1</v>
      </c>
      <c r="AJ132" s="21">
        <v>83.67</v>
      </c>
      <c r="AK132" s="21">
        <f>AJ132*0.63</f>
        <v>52.7121</v>
      </c>
      <c r="AL132" s="21">
        <v>209.18</v>
      </c>
      <c r="AM132" s="21">
        <f>AL132*0.63</f>
        <v>131.7834</v>
      </c>
      <c r="AN132" s="21" t="s">
        <v>61</v>
      </c>
      <c r="AO132" s="21" t="s">
        <v>61</v>
      </c>
      <c r="AP132" s="21">
        <v>63</v>
      </c>
      <c r="AQ132" s="23" t="str">
        <f t="shared" si="23"/>
        <v>1</v>
      </c>
      <c r="AR132" s="21">
        <v>1</v>
      </c>
      <c r="AS132" s="21">
        <v>1</v>
      </c>
      <c r="AT132" s="21">
        <v>1</v>
      </c>
      <c r="AU132" s="21">
        <v>1</v>
      </c>
      <c r="AV132" s="21">
        <v>1</v>
      </c>
      <c r="AW132" s="21">
        <v>1</v>
      </c>
      <c r="AX132" s="21">
        <v>1</v>
      </c>
      <c r="AY132" s="21">
        <v>1997</v>
      </c>
      <c r="AZ132" s="21">
        <f t="shared" si="24"/>
        <v>27</v>
      </c>
      <c r="BA132" s="21" t="str">
        <f t="shared" si="25"/>
        <v>3</v>
      </c>
      <c r="BB132" s="22">
        <f>(BA132+AX132+AS132+AQ132+AH132+Z132)/3</f>
        <v>4</v>
      </c>
      <c r="BC132" s="21" t="s">
        <v>184</v>
      </c>
      <c r="BD132" s="24" t="s">
        <v>185</v>
      </c>
      <c r="BE132" s="21" t="s">
        <v>470</v>
      </c>
      <c r="BF132" s="27"/>
      <c r="BG132" s="27">
        <v>658800000</v>
      </c>
      <c r="BH132" s="27">
        <v>4500000</v>
      </c>
      <c r="BI132" s="21">
        <v>10045</v>
      </c>
      <c r="BJ132" s="21">
        <v>88485</v>
      </c>
      <c r="BK132" s="21">
        <v>38</v>
      </c>
    </row>
    <row r="133" spans="1:63" ht="64" hidden="1" x14ac:dyDescent="0.2">
      <c r="A133" s="2">
        <v>20028073</v>
      </c>
      <c r="B133" s="2">
        <v>1079537166</v>
      </c>
      <c r="C133" s="2">
        <v>6500</v>
      </c>
      <c r="D133" s="2" t="s">
        <v>73</v>
      </c>
      <c r="E133" s="2" t="s">
        <v>471</v>
      </c>
      <c r="F133" s="2" t="s">
        <v>472</v>
      </c>
      <c r="G133" s="2" t="s">
        <v>58</v>
      </c>
      <c r="H133" s="2" t="s">
        <v>59</v>
      </c>
      <c r="I133" s="2" t="s">
        <v>81</v>
      </c>
      <c r="J133" s="2" t="s">
        <v>82</v>
      </c>
      <c r="K133" s="2" t="s">
        <v>66</v>
      </c>
      <c r="L133" s="2" t="s">
        <v>76</v>
      </c>
      <c r="M133" s="2" t="s">
        <v>60</v>
      </c>
      <c r="N133" s="2" t="s">
        <v>61</v>
      </c>
      <c r="O133" s="2" t="s">
        <v>83</v>
      </c>
      <c r="P133" s="21"/>
      <c r="Q133" s="21"/>
      <c r="R133" s="21"/>
      <c r="S133" s="21"/>
      <c r="T133" s="21"/>
      <c r="U133" s="21"/>
      <c r="V133" s="21"/>
      <c r="W133" s="2">
        <f t="shared" si="28"/>
        <v>0</v>
      </c>
      <c r="X133" s="2" t="str">
        <f t="shared" ref="X133:X197" si="31">IF(W133&gt;=23546,"5",IF(W133&gt;=14870,"4",IF(W133&gt;=6185,"3",IF(W133&gt;=3943,"2","1"))))</f>
        <v>1</v>
      </c>
      <c r="Y133" s="2" t="str">
        <f t="shared" si="29"/>
        <v>1</v>
      </c>
      <c r="Z133" s="3">
        <f t="shared" ref="Z133:Z197" si="32">(X133+Y133)/2</f>
        <v>1</v>
      </c>
      <c r="AA133" s="21"/>
      <c r="AB133" s="21"/>
      <c r="AC133" s="21"/>
      <c r="AD133" s="21"/>
      <c r="AE133" s="2" t="e">
        <f t="shared" ref="AE133:AE197" si="33">AD133/AC133</f>
        <v>#DIV/0!</v>
      </c>
      <c r="AF133" s="2" t="str">
        <f t="shared" ref="AF133:AF197" si="34">IF(AA133&lt;=19,"5",IF(AA133&lt;=23,"4",IF(AA133&lt;=27,"3",IF(AA133&lt;=33,"2","1"))))</f>
        <v>5</v>
      </c>
      <c r="AG133" s="2" t="e">
        <f t="shared" ref="AG133:AG197" si="35">IF(AE133&lt;=513,"5",IF(AE133&lt;=799,"4",IF(AE133&lt;=930,"3",IF(AE133&lt;=1499,"2","1"))))</f>
        <v>#DIV/0!</v>
      </c>
      <c r="AH133" s="3" t="e">
        <f t="shared" ref="AH133:AH197" si="36">(AF133+AG133)/2</f>
        <v>#DIV/0!</v>
      </c>
      <c r="AI133" s="2">
        <v>1</v>
      </c>
      <c r="AJ133" s="2">
        <v>108.78</v>
      </c>
      <c r="AK133" s="2">
        <f>AJ133*0.89</f>
        <v>96.8142</v>
      </c>
      <c r="AL133" s="2">
        <v>271.94</v>
      </c>
      <c r="AM133" s="2">
        <f>AL133*0.89</f>
        <v>242.0266</v>
      </c>
      <c r="AN133" s="2" t="s">
        <v>61</v>
      </c>
      <c r="AO133" s="2" t="s">
        <v>61</v>
      </c>
      <c r="AP133" s="2">
        <v>89</v>
      </c>
      <c r="AQ133" s="19" t="str">
        <f t="shared" ref="AQ133:AQ197" si="37">IF(AP133&lt;70,"1",IF(AP133&lt;=80,"2",IF(AP133&lt;=90,"3",IF(AP133&lt;=100,"4","5"))))</f>
        <v>3</v>
      </c>
      <c r="AR133" s="2">
        <v>1</v>
      </c>
      <c r="AS133" s="2">
        <v>1</v>
      </c>
      <c r="AT133" s="2">
        <v>1</v>
      </c>
      <c r="AU133" s="2">
        <v>1</v>
      </c>
      <c r="AV133" s="2">
        <v>1</v>
      </c>
      <c r="AW133" s="2" t="s">
        <v>61</v>
      </c>
      <c r="AX133" s="2">
        <v>1</v>
      </c>
      <c r="AY133" s="2">
        <v>2023</v>
      </c>
      <c r="AZ133" s="2">
        <f t="shared" ref="AZ133:AZ197" si="38">2024-AY133</f>
        <v>1</v>
      </c>
      <c r="BA133" s="2" t="str">
        <f t="shared" ref="BA133:BA197" si="39">IF(AZ133&gt;=36,"5",IF(AZ133&gt;=31,"4",IF(AZ133&gt;=21,"3",IF(AZ133&gt;=7,"2","1"))))</f>
        <v>1</v>
      </c>
      <c r="BB133" s="3">
        <v>1</v>
      </c>
      <c r="BC133" s="2" t="s">
        <v>107</v>
      </c>
      <c r="BD133" s="8" t="s">
        <v>120</v>
      </c>
      <c r="BE133" s="2"/>
      <c r="BF133" s="2"/>
      <c r="BG133" s="2"/>
      <c r="BH133" s="2"/>
      <c r="BI133" s="21"/>
      <c r="BJ133" s="21"/>
      <c r="BK133" s="21"/>
    </row>
    <row r="134" spans="1:63" ht="32" x14ac:dyDescent="0.2">
      <c r="A134" s="2">
        <v>20048071</v>
      </c>
      <c r="B134" s="2">
        <v>78750113</v>
      </c>
      <c r="C134" s="2">
        <v>5000</v>
      </c>
      <c r="D134" s="2" t="s">
        <v>73</v>
      </c>
      <c r="E134" s="52" t="s">
        <v>473</v>
      </c>
      <c r="F134" s="2" t="s">
        <v>474</v>
      </c>
      <c r="G134" s="2" t="s">
        <v>70</v>
      </c>
      <c r="H134" s="2" t="s">
        <v>70</v>
      </c>
      <c r="I134" s="2" t="s">
        <v>65</v>
      </c>
      <c r="J134" s="2" t="s">
        <v>82</v>
      </c>
      <c r="K134" s="2" t="s">
        <v>66</v>
      </c>
      <c r="L134" s="2" t="s">
        <v>76</v>
      </c>
      <c r="M134" s="2" t="s">
        <v>60</v>
      </c>
      <c r="N134" s="2" t="s">
        <v>61</v>
      </c>
      <c r="O134" s="2" t="s">
        <v>130</v>
      </c>
      <c r="P134" s="2">
        <v>4.5999999999999996</v>
      </c>
      <c r="Q134" s="2">
        <v>7.9</v>
      </c>
      <c r="R134" s="2">
        <v>8.3000000000000007</v>
      </c>
      <c r="S134" s="2">
        <v>2.7</v>
      </c>
      <c r="T134" s="2">
        <v>587</v>
      </c>
      <c r="U134" s="2">
        <v>8927</v>
      </c>
      <c r="V134" s="2">
        <v>0</v>
      </c>
      <c r="W134" s="2">
        <f t="shared" si="28"/>
        <v>9537.5</v>
      </c>
      <c r="X134" s="2" t="str">
        <f t="shared" si="31"/>
        <v>3</v>
      </c>
      <c r="Y134" s="2" t="str">
        <f t="shared" si="29"/>
        <v>1</v>
      </c>
      <c r="Z134" s="3">
        <f t="shared" si="32"/>
        <v>2</v>
      </c>
      <c r="AA134" s="2">
        <v>33</v>
      </c>
      <c r="AB134" s="2">
        <v>17</v>
      </c>
      <c r="AC134" s="2">
        <v>0.02</v>
      </c>
      <c r="AD134" s="2">
        <v>43.6</v>
      </c>
      <c r="AE134" s="2">
        <f t="shared" si="33"/>
        <v>2180</v>
      </c>
      <c r="AF134" s="2" t="str">
        <f t="shared" si="34"/>
        <v>2</v>
      </c>
      <c r="AG134" s="2" t="str">
        <f t="shared" si="35"/>
        <v>1</v>
      </c>
      <c r="AH134" s="3">
        <f t="shared" si="36"/>
        <v>1.5</v>
      </c>
      <c r="AI134" s="2">
        <v>1</v>
      </c>
      <c r="AJ134" s="2">
        <v>83.67</v>
      </c>
      <c r="AK134" s="2">
        <f>AJ134*1.06</f>
        <v>88.690200000000004</v>
      </c>
      <c r="AL134" s="2">
        <v>209.18</v>
      </c>
      <c r="AM134" s="2">
        <f>AL134*1.06</f>
        <v>221.73080000000002</v>
      </c>
      <c r="AN134" s="2" t="s">
        <v>61</v>
      </c>
      <c r="AO134" s="2" t="s">
        <v>61</v>
      </c>
      <c r="AP134" s="2">
        <v>106</v>
      </c>
      <c r="AQ134" s="19" t="str">
        <f t="shared" si="37"/>
        <v>5</v>
      </c>
      <c r="AR134" s="2">
        <v>1</v>
      </c>
      <c r="AS134" s="2">
        <v>1</v>
      </c>
      <c r="AT134" s="2">
        <v>1</v>
      </c>
      <c r="AU134" s="2">
        <v>1</v>
      </c>
      <c r="AV134" s="2">
        <v>1</v>
      </c>
      <c r="AW134" s="2" t="s">
        <v>61</v>
      </c>
      <c r="AX134" s="2">
        <v>1</v>
      </c>
      <c r="AY134" s="2">
        <v>2014</v>
      </c>
      <c r="AZ134" s="2">
        <f t="shared" si="38"/>
        <v>10</v>
      </c>
      <c r="BA134" s="2" t="str">
        <f t="shared" si="39"/>
        <v>2</v>
      </c>
      <c r="BB134" s="3">
        <f>(BA134+AX134+AS134+AQ134+AH134+Z134)/3</f>
        <v>4.166666666666667</v>
      </c>
      <c r="BC134" s="2" t="s">
        <v>184</v>
      </c>
      <c r="BD134" s="8" t="s">
        <v>475</v>
      </c>
      <c r="BE134" s="2" t="s">
        <v>476</v>
      </c>
      <c r="BF134" s="26">
        <v>120000000</v>
      </c>
      <c r="BG134" s="26"/>
      <c r="BH134" s="26">
        <v>18000000</v>
      </c>
      <c r="BI134" s="2">
        <v>22411</v>
      </c>
      <c r="BJ134" s="2">
        <v>66542</v>
      </c>
      <c r="BK134" s="2">
        <v>10.4</v>
      </c>
    </row>
    <row r="135" spans="1:63" hidden="1" x14ac:dyDescent="0.2">
      <c r="A135" s="2">
        <v>20058082</v>
      </c>
      <c r="B135" s="2">
        <v>30514</v>
      </c>
      <c r="C135" s="2">
        <v>50000</v>
      </c>
      <c r="D135" s="2" t="s">
        <v>134</v>
      </c>
      <c r="E135" s="2" t="s">
        <v>477</v>
      </c>
      <c r="F135" s="2" t="s">
        <v>478</v>
      </c>
      <c r="G135" s="2" t="s">
        <v>125</v>
      </c>
      <c r="H135" s="2" t="s">
        <v>126</v>
      </c>
      <c r="I135" s="2" t="s">
        <v>81</v>
      </c>
      <c r="J135" s="2" t="s">
        <v>82</v>
      </c>
      <c r="K135" s="2" t="s">
        <v>48</v>
      </c>
      <c r="L135" s="2">
        <v>110</v>
      </c>
      <c r="M135" s="2" t="s">
        <v>137</v>
      </c>
      <c r="N135" s="2" t="s">
        <v>60</v>
      </c>
      <c r="O135" s="2" t="s">
        <v>219</v>
      </c>
      <c r="P135" s="2">
        <v>6.6</v>
      </c>
      <c r="Q135" s="2">
        <v>9.8000000000000007</v>
      </c>
      <c r="R135" s="2">
        <v>4</v>
      </c>
      <c r="S135" s="2">
        <v>1.1000000000000001</v>
      </c>
      <c r="T135" s="2">
        <v>835</v>
      </c>
      <c r="U135" s="2">
        <v>2559</v>
      </c>
      <c r="V135" s="2">
        <v>0</v>
      </c>
      <c r="W135" s="2">
        <f t="shared" ref="W135:W166" si="40">(P135+Q135+T135+R135+S135+U135)</f>
        <v>3415.5</v>
      </c>
      <c r="X135" s="2" t="str">
        <f t="shared" si="31"/>
        <v>1</v>
      </c>
      <c r="Y135" s="2" t="str">
        <f t="shared" si="29"/>
        <v>1</v>
      </c>
      <c r="Z135" s="3">
        <f t="shared" si="32"/>
        <v>1</v>
      </c>
      <c r="AA135" s="2">
        <v>65</v>
      </c>
      <c r="AB135" s="2">
        <v>6</v>
      </c>
      <c r="AC135" s="2">
        <v>3.0000000000000001E-3</v>
      </c>
      <c r="AD135" s="2">
        <v>45</v>
      </c>
      <c r="AE135" s="2">
        <f t="shared" si="33"/>
        <v>15000</v>
      </c>
      <c r="AF135" s="2" t="str">
        <f t="shared" si="34"/>
        <v>1</v>
      </c>
      <c r="AG135" s="2" t="str">
        <f t="shared" si="35"/>
        <v>1</v>
      </c>
      <c r="AH135" s="3">
        <f t="shared" si="36"/>
        <v>1</v>
      </c>
      <c r="AI135" s="2">
        <v>1</v>
      </c>
      <c r="AJ135" s="2">
        <v>262.39999999999998</v>
      </c>
      <c r="AK135" s="2">
        <f>AJ135*0.52</f>
        <v>136.44799999999998</v>
      </c>
      <c r="AL135" s="2">
        <v>669.4</v>
      </c>
      <c r="AM135" s="2">
        <f>AL135*0.37</f>
        <v>247.678</v>
      </c>
      <c r="AN135" s="2">
        <v>627.6</v>
      </c>
      <c r="AO135" s="2">
        <f>AN135*0.75</f>
        <v>470.70000000000005</v>
      </c>
      <c r="AP135" s="2">
        <v>75</v>
      </c>
      <c r="AQ135" s="19" t="str">
        <f t="shared" si="37"/>
        <v>2</v>
      </c>
      <c r="AR135" s="2">
        <v>1</v>
      </c>
      <c r="AS135" s="2">
        <v>1</v>
      </c>
      <c r="AT135" s="2">
        <v>1</v>
      </c>
      <c r="AU135" s="2">
        <v>1</v>
      </c>
      <c r="AV135" s="2">
        <v>1</v>
      </c>
      <c r="AW135" s="2">
        <v>1</v>
      </c>
      <c r="AX135" s="2">
        <v>1</v>
      </c>
      <c r="AY135" s="2">
        <v>2006</v>
      </c>
      <c r="AZ135" s="2">
        <f t="shared" si="38"/>
        <v>18</v>
      </c>
      <c r="BA135" s="2" t="str">
        <f t="shared" si="39"/>
        <v>2</v>
      </c>
      <c r="BB135" s="3">
        <f>(BA135+AX135+AS135+AQ135+AH135+Z135)/7</f>
        <v>1.1428571428571428</v>
      </c>
      <c r="BC135" s="2" t="s">
        <v>107</v>
      </c>
      <c r="BD135" s="2"/>
      <c r="BE135" s="2" t="s">
        <v>228</v>
      </c>
      <c r="BF135" s="2"/>
      <c r="BG135" s="2"/>
      <c r="BH135" s="2"/>
      <c r="BI135" s="2">
        <v>7092</v>
      </c>
      <c r="BJ135" s="2">
        <v>63333</v>
      </c>
      <c r="BK135" s="2">
        <v>4</v>
      </c>
    </row>
    <row r="136" spans="1:63" ht="64" hidden="1" x14ac:dyDescent="0.2">
      <c r="A136" s="2">
        <v>20018090</v>
      </c>
      <c r="B136" s="2">
        <v>176972</v>
      </c>
      <c r="C136" s="2">
        <v>1000</v>
      </c>
      <c r="D136" s="2" t="s">
        <v>73</v>
      </c>
      <c r="E136" s="2" t="s">
        <v>479</v>
      </c>
      <c r="F136" s="2" t="s">
        <v>480</v>
      </c>
      <c r="G136" s="2" t="s">
        <v>70</v>
      </c>
      <c r="H136" s="2" t="s">
        <v>70</v>
      </c>
      <c r="I136" s="2" t="s">
        <v>65</v>
      </c>
      <c r="J136" s="2" t="s">
        <v>61</v>
      </c>
      <c r="K136" s="2" t="s">
        <v>66</v>
      </c>
      <c r="L136" s="2" t="s">
        <v>76</v>
      </c>
      <c r="M136" s="2" t="s">
        <v>60</v>
      </c>
      <c r="N136" s="2" t="s">
        <v>61</v>
      </c>
      <c r="O136" s="2" t="s">
        <v>77</v>
      </c>
      <c r="P136" s="2">
        <v>36</v>
      </c>
      <c r="Q136" s="2">
        <v>13</v>
      </c>
      <c r="R136" s="2">
        <v>11</v>
      </c>
      <c r="S136" s="2">
        <v>4.0999999999999996</v>
      </c>
      <c r="T136" s="2">
        <v>897</v>
      </c>
      <c r="U136" s="2">
        <v>14243</v>
      </c>
      <c r="V136" s="2">
        <v>0.2</v>
      </c>
      <c r="W136" s="2">
        <f t="shared" si="40"/>
        <v>15204.1</v>
      </c>
      <c r="X136" s="2" t="str">
        <f t="shared" si="31"/>
        <v>4</v>
      </c>
      <c r="Y136" s="2" t="str">
        <f t="shared" si="29"/>
        <v>1</v>
      </c>
      <c r="Z136" s="3">
        <f t="shared" si="32"/>
        <v>2.5</v>
      </c>
      <c r="AA136" s="2">
        <v>37</v>
      </c>
      <c r="AB136" s="2">
        <v>16</v>
      </c>
      <c r="AC136" s="2">
        <v>0.02</v>
      </c>
      <c r="AD136" s="2">
        <v>39.9</v>
      </c>
      <c r="AE136" s="2">
        <f t="shared" si="33"/>
        <v>1995</v>
      </c>
      <c r="AF136" s="2" t="str">
        <f t="shared" si="34"/>
        <v>1</v>
      </c>
      <c r="AG136" s="2" t="str">
        <f t="shared" si="35"/>
        <v>1</v>
      </c>
      <c r="AH136" s="3">
        <f t="shared" si="36"/>
        <v>1</v>
      </c>
      <c r="AI136" s="2">
        <v>1</v>
      </c>
      <c r="AJ136" s="2">
        <v>16.73</v>
      </c>
      <c r="AK136" s="2">
        <f>AJ136*0.29</f>
        <v>4.8517000000000001</v>
      </c>
      <c r="AL136" s="2">
        <v>41.83</v>
      </c>
      <c r="AM136" s="2">
        <f>AL136*0.29</f>
        <v>12.130699999999999</v>
      </c>
      <c r="AN136" s="2" t="s">
        <v>61</v>
      </c>
      <c r="AO136" s="2" t="s">
        <v>61</v>
      </c>
      <c r="AP136" s="2">
        <v>29</v>
      </c>
      <c r="AQ136" s="19" t="str">
        <f t="shared" si="37"/>
        <v>1</v>
      </c>
      <c r="AR136" s="2">
        <v>1</v>
      </c>
      <c r="AS136" s="2">
        <v>1</v>
      </c>
      <c r="AT136" s="2">
        <v>1</v>
      </c>
      <c r="AU136" s="2">
        <v>1</v>
      </c>
      <c r="AV136" s="2">
        <v>1</v>
      </c>
      <c r="AW136" s="2" t="s">
        <v>61</v>
      </c>
      <c r="AX136" s="2">
        <v>1</v>
      </c>
      <c r="AY136" s="2">
        <v>1998</v>
      </c>
      <c r="AZ136" s="2">
        <f t="shared" si="38"/>
        <v>26</v>
      </c>
      <c r="BA136" s="2" t="str">
        <f t="shared" si="39"/>
        <v>3</v>
      </c>
      <c r="BB136" s="3">
        <f>(BA136+AX136+AS136+AQ136+AH136+Z136)/7</f>
        <v>1.3571428571428572</v>
      </c>
      <c r="BC136" s="2" t="s">
        <v>107</v>
      </c>
      <c r="BD136" s="8" t="s">
        <v>120</v>
      </c>
      <c r="BE136" s="2"/>
      <c r="BF136" s="2"/>
      <c r="BG136" s="2"/>
      <c r="BH136" s="2"/>
      <c r="BI136" s="2">
        <v>16524</v>
      </c>
      <c r="BJ136" s="2">
        <v>71713</v>
      </c>
      <c r="BK136" s="2">
        <v>9.1</v>
      </c>
    </row>
    <row r="137" spans="1:63" s="25" customFormat="1" ht="32" x14ac:dyDescent="0.2">
      <c r="A137" s="21">
        <v>20058068</v>
      </c>
      <c r="B137" s="21">
        <v>200724</v>
      </c>
      <c r="C137" s="21">
        <v>30000</v>
      </c>
      <c r="D137" s="21" t="s">
        <v>152</v>
      </c>
      <c r="E137" s="53" t="s">
        <v>481</v>
      </c>
      <c r="F137" s="21" t="s">
        <v>482</v>
      </c>
      <c r="G137" s="21" t="s">
        <v>125</v>
      </c>
      <c r="H137" s="21" t="s">
        <v>126</v>
      </c>
      <c r="I137" s="21" t="s">
        <v>81</v>
      </c>
      <c r="J137" s="21" t="s">
        <v>143</v>
      </c>
      <c r="K137" s="21" t="s">
        <v>48</v>
      </c>
      <c r="L137" s="21" t="s">
        <v>137</v>
      </c>
      <c r="M137" s="21" t="s">
        <v>60</v>
      </c>
      <c r="N137" s="32" t="s">
        <v>61</v>
      </c>
      <c r="O137" s="33" t="s">
        <v>295</v>
      </c>
      <c r="P137" s="21">
        <v>6.3</v>
      </c>
      <c r="Q137" s="21">
        <v>27</v>
      </c>
      <c r="R137" s="21">
        <v>10.5</v>
      </c>
      <c r="S137" s="21">
        <v>4.3</v>
      </c>
      <c r="T137" s="21">
        <v>1261</v>
      </c>
      <c r="U137" s="21">
        <v>4598</v>
      </c>
      <c r="V137" s="21">
        <v>0</v>
      </c>
      <c r="W137" s="21">
        <f t="shared" si="40"/>
        <v>5907.1</v>
      </c>
      <c r="X137" s="21" t="str">
        <f t="shared" si="31"/>
        <v>2</v>
      </c>
      <c r="Y137" s="21" t="str">
        <f t="shared" si="29"/>
        <v>1</v>
      </c>
      <c r="Z137" s="22">
        <f t="shared" si="32"/>
        <v>1.5</v>
      </c>
      <c r="AA137" s="21">
        <v>63</v>
      </c>
      <c r="AB137" s="21">
        <v>7</v>
      </c>
      <c r="AC137" s="21">
        <v>0.02</v>
      </c>
      <c r="AD137" s="21">
        <v>37.200000000000003</v>
      </c>
      <c r="AE137" s="21">
        <f t="shared" si="33"/>
        <v>1860</v>
      </c>
      <c r="AF137" s="21" t="str">
        <f t="shared" si="34"/>
        <v>1</v>
      </c>
      <c r="AG137" s="21" t="str">
        <f t="shared" si="35"/>
        <v>1</v>
      </c>
      <c r="AH137" s="22">
        <f t="shared" si="36"/>
        <v>1</v>
      </c>
      <c r="AI137" s="21">
        <v>4</v>
      </c>
      <c r="AJ137" s="21">
        <v>502</v>
      </c>
      <c r="AK137" s="21">
        <f>AJ137*0.85</f>
        <v>426.7</v>
      </c>
      <c r="AL137" s="21">
        <v>1255.0999999999999</v>
      </c>
      <c r="AM137" s="21">
        <f>AL137*0.85</f>
        <v>1066.8349999999998</v>
      </c>
      <c r="AN137" s="21" t="s">
        <v>61</v>
      </c>
      <c r="AO137" s="21" t="s">
        <v>61</v>
      </c>
      <c r="AP137" s="21">
        <v>85</v>
      </c>
      <c r="AQ137" s="23" t="str">
        <f t="shared" si="37"/>
        <v>3</v>
      </c>
      <c r="AR137" s="21">
        <v>1</v>
      </c>
      <c r="AS137" s="21">
        <v>1</v>
      </c>
      <c r="AT137" s="21">
        <v>1</v>
      </c>
      <c r="AU137" s="21">
        <v>1</v>
      </c>
      <c r="AV137" s="21">
        <v>1</v>
      </c>
      <c r="AW137" s="21">
        <v>1</v>
      </c>
      <c r="AX137" s="21">
        <v>1</v>
      </c>
      <c r="AY137" s="21">
        <v>2009</v>
      </c>
      <c r="AZ137" s="21">
        <f t="shared" si="38"/>
        <v>15</v>
      </c>
      <c r="BA137" s="21" t="str">
        <f t="shared" si="39"/>
        <v>2</v>
      </c>
      <c r="BB137" s="22">
        <f>(BA137+AX137+AS137+AQ137+AH137+Z137)/2.5</f>
        <v>3.8</v>
      </c>
      <c r="BC137" s="21" t="s">
        <v>184</v>
      </c>
      <c r="BD137" s="24" t="s">
        <v>483</v>
      </c>
      <c r="BE137" s="21" t="s">
        <v>484</v>
      </c>
      <c r="BF137" s="32"/>
      <c r="BG137" s="32"/>
      <c r="BH137" s="32"/>
      <c r="BI137" s="21">
        <v>4481</v>
      </c>
      <c r="BJ137" s="21">
        <v>68148</v>
      </c>
      <c r="BK137" s="21">
        <v>7.7</v>
      </c>
    </row>
    <row r="138" spans="1:63" s="25" customFormat="1" ht="32" hidden="1" x14ac:dyDescent="0.2">
      <c r="A138" s="21">
        <v>20058068</v>
      </c>
      <c r="B138" s="21">
        <v>200108</v>
      </c>
      <c r="C138" s="21">
        <v>12500</v>
      </c>
      <c r="D138" s="21" t="s">
        <v>73</v>
      </c>
      <c r="E138" s="21" t="s">
        <v>481</v>
      </c>
      <c r="F138" s="21" t="s">
        <v>485</v>
      </c>
      <c r="G138" s="21" t="s">
        <v>125</v>
      </c>
      <c r="H138" s="21" t="s">
        <v>126</v>
      </c>
      <c r="I138" s="21" t="s">
        <v>81</v>
      </c>
      <c r="J138" s="21" t="s">
        <v>143</v>
      </c>
      <c r="K138" s="21" t="s">
        <v>48</v>
      </c>
      <c r="L138" s="21" t="s">
        <v>76</v>
      </c>
      <c r="M138" s="21" t="s">
        <v>60</v>
      </c>
      <c r="N138" s="21" t="s">
        <v>61</v>
      </c>
      <c r="O138" s="21" t="s">
        <v>164</v>
      </c>
      <c r="P138" s="21">
        <v>2.1</v>
      </c>
      <c r="Q138" s="21">
        <v>313</v>
      </c>
      <c r="R138" s="21">
        <v>633</v>
      </c>
      <c r="S138" s="21">
        <v>300</v>
      </c>
      <c r="T138" s="21">
        <v>306</v>
      </c>
      <c r="U138" s="21">
        <v>5458</v>
      </c>
      <c r="V138" s="21">
        <v>0</v>
      </c>
      <c r="W138" s="21">
        <f t="shared" si="40"/>
        <v>7012.1</v>
      </c>
      <c r="X138" s="2" t="str">
        <f t="shared" si="31"/>
        <v>3</v>
      </c>
      <c r="Y138" s="2" t="str">
        <f t="shared" ref="Y138:Y169" si="41">IF(V138&gt;=16,"5",IF(V138&gt;=15,"4",IF(V138&gt;=12,"3",IF(V138&gt;=7,"2","1"))))</f>
        <v>1</v>
      </c>
      <c r="Z138" s="3">
        <f t="shared" si="32"/>
        <v>2</v>
      </c>
      <c r="AA138" s="21">
        <v>30</v>
      </c>
      <c r="AB138" s="21">
        <v>23</v>
      </c>
      <c r="AC138" s="21">
        <v>0.02</v>
      </c>
      <c r="AD138" s="21">
        <v>48.4</v>
      </c>
      <c r="AE138" s="21">
        <f t="shared" si="33"/>
        <v>2420</v>
      </c>
      <c r="AF138" s="21" t="str">
        <f t="shared" si="34"/>
        <v>2</v>
      </c>
      <c r="AG138" s="21" t="str">
        <f t="shared" si="35"/>
        <v>1</v>
      </c>
      <c r="AH138" s="22">
        <f t="shared" si="36"/>
        <v>1.5</v>
      </c>
      <c r="AI138" s="21">
        <v>3</v>
      </c>
      <c r="AJ138" s="21">
        <v>209.18</v>
      </c>
      <c r="AK138" s="21">
        <f>AJ138*0.94</f>
        <v>196.6292</v>
      </c>
      <c r="AL138" s="21">
        <v>522.96</v>
      </c>
      <c r="AM138" s="21">
        <f>AL138*0.94</f>
        <v>491.58240000000001</v>
      </c>
      <c r="AN138" s="21" t="s">
        <v>61</v>
      </c>
      <c r="AO138" s="21" t="s">
        <v>61</v>
      </c>
      <c r="AP138" s="21">
        <v>94</v>
      </c>
      <c r="AQ138" s="23" t="str">
        <f t="shared" si="37"/>
        <v>4</v>
      </c>
      <c r="AR138" s="21">
        <v>1</v>
      </c>
      <c r="AS138" s="21">
        <v>1</v>
      </c>
      <c r="AT138" s="21">
        <v>5</v>
      </c>
      <c r="AU138" s="21">
        <v>1</v>
      </c>
      <c r="AV138" s="21">
        <v>1</v>
      </c>
      <c r="AW138" s="21">
        <v>1</v>
      </c>
      <c r="AX138" s="21">
        <v>5</v>
      </c>
      <c r="AY138" s="21">
        <v>1999</v>
      </c>
      <c r="AZ138" s="21">
        <f t="shared" si="38"/>
        <v>25</v>
      </c>
      <c r="BA138" s="21" t="str">
        <f t="shared" si="39"/>
        <v>3</v>
      </c>
      <c r="BB138" s="22">
        <f>(BA138+AX138+AS138+AQ138+AH138+Z138)/5</f>
        <v>3.3</v>
      </c>
      <c r="BC138" s="21" t="s">
        <v>111</v>
      </c>
      <c r="BD138" s="24" t="s">
        <v>296</v>
      </c>
      <c r="BE138" s="21" t="s">
        <v>297</v>
      </c>
      <c r="BF138" s="21">
        <v>32800000</v>
      </c>
      <c r="BG138" s="21">
        <v>46500000</v>
      </c>
      <c r="BH138" s="21">
        <v>12000000</v>
      </c>
      <c r="BI138" s="21">
        <v>4156</v>
      </c>
      <c r="BJ138" s="21">
        <v>106279</v>
      </c>
      <c r="BK138" s="21">
        <v>969</v>
      </c>
    </row>
    <row r="139" spans="1:63" s="25" customFormat="1" ht="80" x14ac:dyDescent="0.2">
      <c r="A139" s="21">
        <v>20058078</v>
      </c>
      <c r="B139" s="21">
        <v>173510</v>
      </c>
      <c r="C139" s="21">
        <v>4000</v>
      </c>
      <c r="D139" s="21" t="s">
        <v>73</v>
      </c>
      <c r="E139" s="5" t="s">
        <v>486</v>
      </c>
      <c r="F139" s="21" t="s">
        <v>487</v>
      </c>
      <c r="G139" s="21" t="s">
        <v>125</v>
      </c>
      <c r="H139" s="21" t="s">
        <v>126</v>
      </c>
      <c r="I139" s="21" t="s">
        <v>65</v>
      </c>
      <c r="J139" s="21" t="s">
        <v>61</v>
      </c>
      <c r="K139" s="21" t="s">
        <v>66</v>
      </c>
      <c r="L139" s="21" t="s">
        <v>76</v>
      </c>
      <c r="M139" s="21" t="s">
        <v>60</v>
      </c>
      <c r="N139" s="21" t="s">
        <v>61</v>
      </c>
      <c r="O139" s="21" t="s">
        <v>130</v>
      </c>
      <c r="P139" s="21">
        <v>11.7</v>
      </c>
      <c r="Q139" s="21">
        <v>9.6999999999999993</v>
      </c>
      <c r="R139" s="21">
        <v>35</v>
      </c>
      <c r="S139" s="21">
        <v>5</v>
      </c>
      <c r="T139" s="21">
        <v>1532</v>
      </c>
      <c r="U139" s="21">
        <v>11209</v>
      </c>
      <c r="V139" s="21">
        <v>0</v>
      </c>
      <c r="W139" s="21">
        <f t="shared" si="40"/>
        <v>12802.4</v>
      </c>
      <c r="X139" s="2" t="str">
        <f t="shared" si="31"/>
        <v>3</v>
      </c>
      <c r="Y139" s="2" t="str">
        <f t="shared" si="41"/>
        <v>1</v>
      </c>
      <c r="Z139" s="3">
        <f t="shared" si="32"/>
        <v>2</v>
      </c>
      <c r="AA139" s="21">
        <v>17</v>
      </c>
      <c r="AB139" s="21">
        <v>37</v>
      </c>
      <c r="AC139" s="21">
        <v>0.16</v>
      </c>
      <c r="AD139" s="21">
        <v>27.5</v>
      </c>
      <c r="AE139" s="21">
        <f t="shared" si="33"/>
        <v>171.875</v>
      </c>
      <c r="AF139" s="21" t="str">
        <f t="shared" si="34"/>
        <v>5</v>
      </c>
      <c r="AG139" s="21" t="str">
        <f t="shared" si="35"/>
        <v>5</v>
      </c>
      <c r="AH139" s="22">
        <f t="shared" si="36"/>
        <v>5</v>
      </c>
      <c r="AI139" s="21">
        <v>2</v>
      </c>
      <c r="AJ139" s="21">
        <v>67</v>
      </c>
      <c r="AK139" s="22">
        <f>AJ139*0.835</f>
        <v>55.945</v>
      </c>
      <c r="AL139" s="21">
        <v>167.3</v>
      </c>
      <c r="AM139" s="39">
        <f>AL139*0.835</f>
        <v>139.69550000000001</v>
      </c>
      <c r="AN139" s="21" t="s">
        <v>61</v>
      </c>
      <c r="AO139" s="21" t="s">
        <v>61</v>
      </c>
      <c r="AP139" s="39">
        <v>83.477741260830598</v>
      </c>
      <c r="AQ139" s="23" t="str">
        <f t="shared" si="37"/>
        <v>3</v>
      </c>
      <c r="AR139" s="21">
        <v>1</v>
      </c>
      <c r="AS139" s="21">
        <v>1</v>
      </c>
      <c r="AT139" s="21">
        <v>1</v>
      </c>
      <c r="AU139" s="21">
        <v>1</v>
      </c>
      <c r="AV139" s="21">
        <v>1</v>
      </c>
      <c r="AW139" s="21" t="s">
        <v>61</v>
      </c>
      <c r="AX139" s="21">
        <v>1</v>
      </c>
      <c r="AY139" s="21">
        <v>1997</v>
      </c>
      <c r="AZ139" s="21">
        <f t="shared" si="38"/>
        <v>27</v>
      </c>
      <c r="BA139" s="21" t="str">
        <f t="shared" si="39"/>
        <v>3</v>
      </c>
      <c r="BB139" s="22">
        <f>(BA139+AX139+AS139+AQ139+AI139+AH139+Z139)/4</f>
        <v>4.25</v>
      </c>
      <c r="BC139" s="21" t="s">
        <v>184</v>
      </c>
      <c r="BD139" s="24" t="s">
        <v>488</v>
      </c>
      <c r="BE139" s="21" t="s">
        <v>423</v>
      </c>
      <c r="BF139" s="27">
        <v>58900000</v>
      </c>
      <c r="BG139" s="27">
        <v>89600000</v>
      </c>
      <c r="BH139" s="27">
        <v>18000000</v>
      </c>
      <c r="BI139" s="21">
        <v>11255</v>
      </c>
      <c r="BJ139" s="21">
        <v>96998</v>
      </c>
      <c r="BK139" s="21">
        <v>34</v>
      </c>
    </row>
    <row r="140" spans="1:63" ht="48" x14ac:dyDescent="0.2">
      <c r="A140" s="2">
        <v>20028077</v>
      </c>
      <c r="B140" s="2">
        <v>266760</v>
      </c>
      <c r="C140" s="2">
        <v>3000</v>
      </c>
      <c r="D140" s="13" t="s">
        <v>73</v>
      </c>
      <c r="E140" s="5" t="s">
        <v>486</v>
      </c>
      <c r="F140" s="2" t="s">
        <v>489</v>
      </c>
      <c r="G140" s="2" t="s">
        <v>58</v>
      </c>
      <c r="H140" s="2" t="s">
        <v>64</v>
      </c>
      <c r="I140" s="2" t="s">
        <v>65</v>
      </c>
      <c r="J140" s="2" t="s">
        <v>61</v>
      </c>
      <c r="K140" s="2" t="s">
        <v>66</v>
      </c>
      <c r="L140" s="2" t="s">
        <v>76</v>
      </c>
      <c r="M140" s="2" t="s">
        <v>60</v>
      </c>
      <c r="N140" s="2" t="s">
        <v>61</v>
      </c>
      <c r="O140" s="2" t="s">
        <v>130</v>
      </c>
      <c r="P140" s="2">
        <v>5.5</v>
      </c>
      <c r="Q140" s="2">
        <v>5.8</v>
      </c>
      <c r="R140" s="2">
        <v>66</v>
      </c>
      <c r="S140" s="2">
        <v>4.5</v>
      </c>
      <c r="T140" s="2">
        <v>458</v>
      </c>
      <c r="U140" s="2">
        <v>8595</v>
      </c>
      <c r="V140" s="2">
        <v>0.1</v>
      </c>
      <c r="W140" s="2">
        <f t="shared" si="40"/>
        <v>9134.7999999999993</v>
      </c>
      <c r="X140" s="2" t="str">
        <f t="shared" si="31"/>
        <v>3</v>
      </c>
      <c r="Y140" s="2" t="str">
        <f t="shared" si="41"/>
        <v>1</v>
      </c>
      <c r="Z140" s="3">
        <f t="shared" si="32"/>
        <v>2</v>
      </c>
      <c r="AA140" s="2">
        <v>12</v>
      </c>
      <c r="AB140" s="2">
        <v>48</v>
      </c>
      <c r="AC140" s="2">
        <v>0.03</v>
      </c>
      <c r="AD140" s="2">
        <v>33.5</v>
      </c>
      <c r="AE140" s="2">
        <f t="shared" si="33"/>
        <v>1116.6666666666667</v>
      </c>
      <c r="AF140" s="2" t="str">
        <f t="shared" si="34"/>
        <v>5</v>
      </c>
      <c r="AG140" s="2" t="str">
        <f t="shared" si="35"/>
        <v>2</v>
      </c>
      <c r="AH140" s="3">
        <f t="shared" si="36"/>
        <v>3.5</v>
      </c>
      <c r="AI140" s="2">
        <v>3</v>
      </c>
      <c r="AJ140" s="2">
        <v>50.2</v>
      </c>
      <c r="AK140" s="2">
        <f>AJ140*0.93</f>
        <v>46.686000000000007</v>
      </c>
      <c r="AL140" s="2">
        <v>125.51</v>
      </c>
      <c r="AM140" s="2">
        <f>AL140*0.93</f>
        <v>116.72430000000001</v>
      </c>
      <c r="AN140" s="2" t="s">
        <v>61</v>
      </c>
      <c r="AO140" s="2" t="s">
        <v>490</v>
      </c>
      <c r="AP140" s="2">
        <v>93</v>
      </c>
      <c r="AQ140" s="19" t="str">
        <f t="shared" si="37"/>
        <v>4</v>
      </c>
      <c r="AR140" s="2">
        <v>1</v>
      </c>
      <c r="AS140" s="2">
        <v>1</v>
      </c>
      <c r="AT140" s="2">
        <v>1</v>
      </c>
      <c r="AU140" s="2">
        <v>1</v>
      </c>
      <c r="AV140" s="2">
        <v>5</v>
      </c>
      <c r="AW140" s="2" t="s">
        <v>61</v>
      </c>
      <c r="AX140" s="2">
        <v>1</v>
      </c>
      <c r="AY140" s="2">
        <v>2006</v>
      </c>
      <c r="AZ140" s="2">
        <f t="shared" si="38"/>
        <v>18</v>
      </c>
      <c r="BA140" s="2" t="str">
        <f t="shared" si="39"/>
        <v>2</v>
      </c>
      <c r="BB140" s="3">
        <f>(BA140+AX140+AS140+AQ140+AI140+AH140+Z140)/4</f>
        <v>4.125</v>
      </c>
      <c r="BC140" s="2" t="s">
        <v>184</v>
      </c>
      <c r="BD140" s="8" t="s">
        <v>491</v>
      </c>
      <c r="BE140" s="2" t="s">
        <v>423</v>
      </c>
      <c r="BF140" s="26">
        <v>58900000</v>
      </c>
      <c r="BG140" s="26">
        <v>89600000</v>
      </c>
      <c r="BH140" s="26">
        <v>18000000</v>
      </c>
      <c r="BI140" s="2">
        <v>25948</v>
      </c>
      <c r="BJ140" s="2">
        <v>76821</v>
      </c>
      <c r="BK140" s="2">
        <v>32</v>
      </c>
    </row>
    <row r="141" spans="1:63" ht="32" hidden="1" x14ac:dyDescent="0.2">
      <c r="A141" s="2">
        <v>20700135</v>
      </c>
      <c r="B141" s="2">
        <v>291240</v>
      </c>
      <c r="C141" s="2">
        <v>1600</v>
      </c>
      <c r="D141" s="2" t="s">
        <v>73</v>
      </c>
      <c r="E141" s="9" t="s">
        <v>492</v>
      </c>
      <c r="F141" s="2" t="s">
        <v>493</v>
      </c>
      <c r="G141" s="2" t="s">
        <v>70</v>
      </c>
      <c r="H141" s="2" t="s">
        <v>70</v>
      </c>
      <c r="I141" s="2" t="s">
        <v>65</v>
      </c>
      <c r="J141" s="2" t="s">
        <v>61</v>
      </c>
      <c r="K141" s="2" t="s">
        <v>66</v>
      </c>
      <c r="L141" s="2" t="s">
        <v>76</v>
      </c>
      <c r="M141" s="2" t="s">
        <v>60</v>
      </c>
      <c r="N141" s="2" t="s">
        <v>61</v>
      </c>
      <c r="O141" s="2" t="s">
        <v>77</v>
      </c>
      <c r="P141" s="2">
        <v>39812</v>
      </c>
      <c r="Q141" s="2">
        <v>23866</v>
      </c>
      <c r="R141" s="2">
        <v>7.8</v>
      </c>
      <c r="S141" s="2">
        <v>4982</v>
      </c>
      <c r="T141" s="2">
        <v>78</v>
      </c>
      <c r="U141" s="2">
        <v>878</v>
      </c>
      <c r="V141" s="2">
        <v>3.5</v>
      </c>
      <c r="W141" s="2">
        <f t="shared" si="40"/>
        <v>69623.8</v>
      </c>
      <c r="X141" s="2" t="str">
        <f t="shared" si="31"/>
        <v>5</v>
      </c>
      <c r="Y141" s="2" t="str">
        <f t="shared" si="41"/>
        <v>1</v>
      </c>
      <c r="Z141" s="3">
        <f t="shared" si="32"/>
        <v>3</v>
      </c>
      <c r="AA141" s="2">
        <v>49</v>
      </c>
      <c r="AB141" s="2">
        <v>8</v>
      </c>
      <c r="AC141" s="2">
        <v>0.02</v>
      </c>
      <c r="AD141" s="2">
        <v>40.9</v>
      </c>
      <c r="AE141" s="2">
        <f t="shared" si="33"/>
        <v>2045</v>
      </c>
      <c r="AF141" s="2" t="str">
        <f t="shared" si="34"/>
        <v>1</v>
      </c>
      <c r="AG141" s="2" t="str">
        <f t="shared" si="35"/>
        <v>1</v>
      </c>
      <c r="AH141" s="3">
        <f t="shared" si="36"/>
        <v>1</v>
      </c>
      <c r="AI141" s="2">
        <v>3</v>
      </c>
      <c r="AJ141" s="2">
        <v>26.8</v>
      </c>
      <c r="AK141" s="2">
        <f>AJ141*0.2</f>
        <v>5.36</v>
      </c>
      <c r="AL141" s="2">
        <v>66.900000000000006</v>
      </c>
      <c r="AM141" s="2">
        <f>AL141*0.2</f>
        <v>13.380000000000003</v>
      </c>
      <c r="AN141" s="2" t="s">
        <v>61</v>
      </c>
      <c r="AO141" s="2" t="s">
        <v>61</v>
      </c>
      <c r="AP141" s="2">
        <v>20</v>
      </c>
      <c r="AQ141" s="19" t="str">
        <f t="shared" si="37"/>
        <v>1</v>
      </c>
      <c r="AR141" s="2">
        <v>1</v>
      </c>
      <c r="AS141" s="2">
        <v>1</v>
      </c>
      <c r="AT141" s="2">
        <v>5</v>
      </c>
      <c r="AU141" s="2">
        <v>5</v>
      </c>
      <c r="AV141" s="2">
        <v>5</v>
      </c>
      <c r="AW141" s="2" t="s">
        <v>61</v>
      </c>
      <c r="AX141" s="2">
        <v>5</v>
      </c>
      <c r="AY141" s="2">
        <v>2008</v>
      </c>
      <c r="AZ141" s="2">
        <f t="shared" si="38"/>
        <v>16</v>
      </c>
      <c r="BA141" s="2" t="str">
        <f t="shared" si="39"/>
        <v>2</v>
      </c>
      <c r="BB141" s="3">
        <f>(BA141+AX141+AS141+AQ141+AI141+AH141+Z141)/3.5</f>
        <v>4.5714285714285712</v>
      </c>
      <c r="BC141" s="2" t="s">
        <v>114</v>
      </c>
      <c r="BD141" s="8" t="s">
        <v>392</v>
      </c>
      <c r="BE141" s="2" t="s">
        <v>494</v>
      </c>
      <c r="BF141" s="26">
        <v>45000000</v>
      </c>
      <c r="BG141" s="26">
        <v>68500000</v>
      </c>
      <c r="BH141" s="26">
        <v>9000000</v>
      </c>
      <c r="BI141" s="2">
        <v>213</v>
      </c>
      <c r="BJ141" s="2">
        <v>2131</v>
      </c>
      <c r="BK141" s="2">
        <v>1444</v>
      </c>
    </row>
    <row r="142" spans="1:63" s="25" customFormat="1" ht="96" hidden="1" x14ac:dyDescent="0.2">
      <c r="A142" s="21">
        <v>20058069</v>
      </c>
      <c r="B142" s="21">
        <v>200713</v>
      </c>
      <c r="C142" s="21">
        <v>6500</v>
      </c>
      <c r="D142" s="21" t="s">
        <v>73</v>
      </c>
      <c r="E142" s="21" t="s">
        <v>495</v>
      </c>
      <c r="F142" s="21" t="s">
        <v>496</v>
      </c>
      <c r="G142" s="21" t="s">
        <v>125</v>
      </c>
      <c r="H142" s="21" t="s">
        <v>126</v>
      </c>
      <c r="I142" s="21" t="s">
        <v>81</v>
      </c>
      <c r="J142" s="21" t="s">
        <v>82</v>
      </c>
      <c r="K142" s="21" t="s">
        <v>66</v>
      </c>
      <c r="L142" s="21" t="s">
        <v>76</v>
      </c>
      <c r="M142" s="21" t="s">
        <v>60</v>
      </c>
      <c r="N142" s="21" t="s">
        <v>61</v>
      </c>
      <c r="O142" s="21" t="s">
        <v>83</v>
      </c>
      <c r="P142" s="21">
        <v>3.3</v>
      </c>
      <c r="Q142" s="21">
        <v>44</v>
      </c>
      <c r="R142" s="21">
        <v>31</v>
      </c>
      <c r="S142" s="21">
        <v>10.7</v>
      </c>
      <c r="T142" s="21">
        <v>1967</v>
      </c>
      <c r="U142" s="21">
        <v>7834</v>
      </c>
      <c r="V142" s="21">
        <v>0</v>
      </c>
      <c r="W142" s="21">
        <f t="shared" si="40"/>
        <v>9890</v>
      </c>
      <c r="X142" s="2" t="str">
        <f t="shared" si="31"/>
        <v>3</v>
      </c>
      <c r="Y142" s="2" t="str">
        <f t="shared" si="41"/>
        <v>1</v>
      </c>
      <c r="Z142" s="3">
        <f t="shared" si="32"/>
        <v>2</v>
      </c>
      <c r="AA142" s="21">
        <v>44</v>
      </c>
      <c r="AB142" s="21">
        <v>10</v>
      </c>
      <c r="AC142" s="21">
        <v>7.0000000000000001E-3</v>
      </c>
      <c r="AD142" s="21">
        <v>38.799999999999997</v>
      </c>
      <c r="AE142" s="39">
        <f t="shared" si="33"/>
        <v>5542.8571428571422</v>
      </c>
      <c r="AF142" s="21" t="str">
        <f t="shared" si="34"/>
        <v>1</v>
      </c>
      <c r="AG142" s="21" t="str">
        <f t="shared" si="35"/>
        <v>1</v>
      </c>
      <c r="AH142" s="22">
        <f t="shared" si="36"/>
        <v>1</v>
      </c>
      <c r="AI142" s="21">
        <v>3</v>
      </c>
      <c r="AJ142" s="21">
        <v>108.8</v>
      </c>
      <c r="AK142" s="21">
        <f>AJ142*0.73</f>
        <v>79.423999999999992</v>
      </c>
      <c r="AL142" s="21">
        <v>271.89999999999998</v>
      </c>
      <c r="AM142" s="21">
        <f>AL142*0.73</f>
        <v>198.48699999999997</v>
      </c>
      <c r="AN142" s="21" t="s">
        <v>61</v>
      </c>
      <c r="AO142" s="21" t="s">
        <v>61</v>
      </c>
      <c r="AP142" s="21">
        <v>73</v>
      </c>
      <c r="AQ142" s="23" t="str">
        <f t="shared" si="37"/>
        <v>2</v>
      </c>
      <c r="AR142" s="21">
        <v>1</v>
      </c>
      <c r="AS142" s="21">
        <v>1</v>
      </c>
      <c r="AT142" s="21">
        <v>1</v>
      </c>
      <c r="AU142" s="21">
        <v>1</v>
      </c>
      <c r="AV142" s="21">
        <v>1</v>
      </c>
      <c r="AW142" s="21" t="s">
        <v>61</v>
      </c>
      <c r="AX142" s="21">
        <v>1</v>
      </c>
      <c r="AY142" s="21">
        <v>2009</v>
      </c>
      <c r="AZ142" s="21">
        <f t="shared" si="38"/>
        <v>15</v>
      </c>
      <c r="BA142" s="21" t="str">
        <f t="shared" si="39"/>
        <v>2</v>
      </c>
      <c r="BB142" s="22">
        <f>(BA142+AX142+AS142+AQ142+AI142+AH142+Z142)/7</f>
        <v>1.7142857142857142</v>
      </c>
      <c r="BC142" s="21" t="s">
        <v>105</v>
      </c>
      <c r="BD142" s="24" t="s">
        <v>127</v>
      </c>
      <c r="BE142" s="21" t="s">
        <v>497</v>
      </c>
      <c r="BF142" s="21"/>
      <c r="BG142" s="21"/>
      <c r="BH142" s="21"/>
      <c r="BI142" s="21">
        <v>1109</v>
      </c>
      <c r="BJ142" s="21">
        <v>79747</v>
      </c>
      <c r="BK142" s="21">
        <v>14.6</v>
      </c>
    </row>
    <row r="143" spans="1:63" hidden="1" x14ac:dyDescent="0.2">
      <c r="A143" s="2">
        <v>20058084</v>
      </c>
      <c r="B143" s="2">
        <v>200106</v>
      </c>
      <c r="C143" s="2">
        <v>6500</v>
      </c>
      <c r="D143" s="2" t="s">
        <v>73</v>
      </c>
      <c r="E143" s="2" t="s">
        <v>498</v>
      </c>
      <c r="F143" s="2" t="s">
        <v>499</v>
      </c>
      <c r="G143" s="2" t="s">
        <v>125</v>
      </c>
      <c r="H143" s="2" t="s">
        <v>126</v>
      </c>
      <c r="I143" s="2" t="s">
        <v>81</v>
      </c>
      <c r="J143" s="2" t="s">
        <v>143</v>
      </c>
      <c r="K143" s="2" t="s">
        <v>66</v>
      </c>
      <c r="L143" s="2" t="s">
        <v>76</v>
      </c>
      <c r="M143" s="2" t="s">
        <v>60</v>
      </c>
      <c r="N143" s="2" t="s">
        <v>61</v>
      </c>
      <c r="O143" s="2" t="s">
        <v>83</v>
      </c>
      <c r="P143" s="2">
        <v>0</v>
      </c>
      <c r="Q143" s="2">
        <v>0.2</v>
      </c>
      <c r="R143" s="2">
        <v>0</v>
      </c>
      <c r="S143" s="2">
        <v>0</v>
      </c>
      <c r="T143" s="2">
        <v>2</v>
      </c>
      <c r="U143" s="2">
        <v>37</v>
      </c>
      <c r="V143" s="2">
        <v>0</v>
      </c>
      <c r="W143" s="2">
        <f t="shared" si="40"/>
        <v>39.200000000000003</v>
      </c>
      <c r="X143" s="2" t="str">
        <f>IF(W143&gt;=23546,"5",IF(W143&gt;=14870,"4",IF(W143&gt;=6185,"3",IF(W143&gt;=3943,"2","1"))))</f>
        <v>1</v>
      </c>
      <c r="Y143" s="2" t="str">
        <f t="shared" si="41"/>
        <v>1</v>
      </c>
      <c r="Z143" s="3">
        <f>(X143+Y143)/2</f>
        <v>1</v>
      </c>
      <c r="AA143" s="2">
        <v>48</v>
      </c>
      <c r="AB143" s="2">
        <v>10</v>
      </c>
      <c r="AC143" s="2">
        <v>0.02</v>
      </c>
      <c r="AD143" s="2">
        <v>50</v>
      </c>
      <c r="AE143" s="2">
        <f t="shared" si="33"/>
        <v>2500</v>
      </c>
      <c r="AF143" s="2" t="str">
        <f t="shared" si="34"/>
        <v>1</v>
      </c>
      <c r="AG143" s="2" t="str">
        <f t="shared" si="35"/>
        <v>1</v>
      </c>
      <c r="AH143" s="3">
        <f t="shared" si="36"/>
        <v>1</v>
      </c>
      <c r="AI143" s="2">
        <v>1</v>
      </c>
      <c r="AJ143" s="2">
        <v>108.7</v>
      </c>
      <c r="AK143" s="2">
        <f>AJ143*0.69</f>
        <v>75.003</v>
      </c>
      <c r="AL143" s="2">
        <v>271.89999999999998</v>
      </c>
      <c r="AM143" s="2">
        <f>AL143*0.69</f>
        <v>187.61099999999996</v>
      </c>
      <c r="AN143" s="2" t="s">
        <v>61</v>
      </c>
      <c r="AO143" s="2" t="s">
        <v>61</v>
      </c>
      <c r="AP143" s="2">
        <v>69</v>
      </c>
      <c r="AQ143" s="19" t="str">
        <f t="shared" si="37"/>
        <v>1</v>
      </c>
      <c r="AR143" s="2">
        <v>1</v>
      </c>
      <c r="AS143" s="2">
        <v>1</v>
      </c>
      <c r="AT143" s="2">
        <v>1</v>
      </c>
      <c r="AU143" s="2">
        <v>1</v>
      </c>
      <c r="AV143" s="2">
        <v>1</v>
      </c>
      <c r="AW143" s="2" t="s">
        <v>61</v>
      </c>
      <c r="AX143" s="2">
        <v>1</v>
      </c>
      <c r="AY143" s="2">
        <v>1999</v>
      </c>
      <c r="AZ143" s="2">
        <f t="shared" si="38"/>
        <v>25</v>
      </c>
      <c r="BA143" s="2" t="str">
        <f t="shared" si="39"/>
        <v>3</v>
      </c>
      <c r="BB143" s="3">
        <v>3</v>
      </c>
      <c r="BC143" s="2" t="s">
        <v>111</v>
      </c>
      <c r="BD143" s="2" t="s">
        <v>220</v>
      </c>
      <c r="BE143" s="2" t="s">
        <v>221</v>
      </c>
      <c r="BF143" s="2"/>
      <c r="BG143" s="2"/>
      <c r="BH143" s="2"/>
      <c r="BI143" s="2">
        <v>2343</v>
      </c>
      <c r="BJ143" s="2">
        <v>7963</v>
      </c>
      <c r="BK143" s="2">
        <v>0</v>
      </c>
    </row>
    <row r="144" spans="1:63" ht="64" hidden="1" x14ac:dyDescent="0.2">
      <c r="A144" s="2">
        <v>20058084</v>
      </c>
      <c r="B144" s="2">
        <v>224109</v>
      </c>
      <c r="C144" s="2">
        <v>3000</v>
      </c>
      <c r="D144" s="2" t="s">
        <v>73</v>
      </c>
      <c r="E144" s="2" t="s">
        <v>498</v>
      </c>
      <c r="F144" s="2" t="s">
        <v>500</v>
      </c>
      <c r="G144" s="2" t="s">
        <v>125</v>
      </c>
      <c r="H144" s="2" t="s">
        <v>126</v>
      </c>
      <c r="I144" s="2" t="s">
        <v>65</v>
      </c>
      <c r="J144" s="2" t="s">
        <v>61</v>
      </c>
      <c r="K144" s="2" t="s">
        <v>66</v>
      </c>
      <c r="L144" s="2" t="s">
        <v>76</v>
      </c>
      <c r="M144" s="2" t="s">
        <v>60</v>
      </c>
      <c r="N144" s="2" t="s">
        <v>61</v>
      </c>
      <c r="O144" s="2" t="s">
        <v>130</v>
      </c>
      <c r="P144" s="2">
        <v>1222</v>
      </c>
      <c r="Q144" s="2">
        <v>73</v>
      </c>
      <c r="R144" s="2">
        <v>3.4</v>
      </c>
      <c r="S144" s="2">
        <v>12.8</v>
      </c>
      <c r="T144" s="2">
        <v>170</v>
      </c>
      <c r="U144" s="2">
        <v>1127</v>
      </c>
      <c r="V144" s="2">
        <v>0.1</v>
      </c>
      <c r="W144" s="2">
        <f t="shared" si="40"/>
        <v>2608.1999999999998</v>
      </c>
      <c r="X144" s="2" t="str">
        <f>IF(W144&gt;=23546,"5",IF(W144&gt;=14870,"4",IF(W144&gt;=6185,"3",IF(W144&gt;=3943,"2","1"))))</f>
        <v>1</v>
      </c>
      <c r="Y144" s="2" t="str">
        <f t="shared" si="41"/>
        <v>1</v>
      </c>
      <c r="Z144" s="3">
        <f>(X144+Y144)/2</f>
        <v>1</v>
      </c>
      <c r="AA144" s="2">
        <v>42</v>
      </c>
      <c r="AB144" s="2">
        <v>14</v>
      </c>
      <c r="AC144" s="2">
        <v>1E-3</v>
      </c>
      <c r="AD144" s="2">
        <v>51.3</v>
      </c>
      <c r="AE144" s="2">
        <f t="shared" si="33"/>
        <v>51299.999999999993</v>
      </c>
      <c r="AF144" s="2" t="str">
        <f t="shared" si="34"/>
        <v>1</v>
      </c>
      <c r="AG144" s="2" t="str">
        <f t="shared" si="35"/>
        <v>1</v>
      </c>
      <c r="AH144" s="3">
        <f t="shared" si="36"/>
        <v>1</v>
      </c>
      <c r="AI144" s="2">
        <v>1</v>
      </c>
      <c r="AJ144" s="2">
        <v>50.2</v>
      </c>
      <c r="AK144" s="2">
        <f>AJ144*0.65</f>
        <v>32.630000000000003</v>
      </c>
      <c r="AL144" s="2">
        <v>125.51</v>
      </c>
      <c r="AM144" s="2">
        <f>AL144*0.65</f>
        <v>81.581500000000005</v>
      </c>
      <c r="AN144" s="2" t="s">
        <v>61</v>
      </c>
      <c r="AO144" s="2" t="s">
        <v>61</v>
      </c>
      <c r="AP144" s="2">
        <v>65</v>
      </c>
      <c r="AQ144" s="19" t="str">
        <f t="shared" si="37"/>
        <v>1</v>
      </c>
      <c r="AR144" s="2">
        <v>1</v>
      </c>
      <c r="AS144" s="2">
        <v>1</v>
      </c>
      <c r="AT144" s="2">
        <v>1</v>
      </c>
      <c r="AU144" s="2">
        <v>1</v>
      </c>
      <c r="AV144" s="2">
        <v>1</v>
      </c>
      <c r="AW144" s="2" t="s">
        <v>61</v>
      </c>
      <c r="AX144" s="2">
        <v>1</v>
      </c>
      <c r="AY144" s="2">
        <v>1998</v>
      </c>
      <c r="AZ144" s="2">
        <f t="shared" si="38"/>
        <v>26</v>
      </c>
      <c r="BA144" s="2" t="str">
        <f t="shared" si="39"/>
        <v>3</v>
      </c>
      <c r="BB144" s="3">
        <f>(BA144+AX144+AS144+AQ144+AI144+AH144+Z144)/7</f>
        <v>1.2857142857142858</v>
      </c>
      <c r="BC144" s="2" t="s">
        <v>107</v>
      </c>
      <c r="BD144" s="8" t="s">
        <v>120</v>
      </c>
      <c r="BE144" s="2"/>
      <c r="BF144" s="2"/>
      <c r="BG144" s="2"/>
      <c r="BH144" s="2"/>
      <c r="BI144" s="2">
        <v>12249</v>
      </c>
      <c r="BJ144" s="2">
        <v>65505</v>
      </c>
      <c r="BK144" s="2">
        <v>11</v>
      </c>
    </row>
    <row r="145" spans="1:63" s="25" customFormat="1" ht="64" hidden="1" x14ac:dyDescent="0.2">
      <c r="A145" s="21">
        <v>20058283</v>
      </c>
      <c r="B145" s="21">
        <v>201259</v>
      </c>
      <c r="C145" s="21">
        <v>45000</v>
      </c>
      <c r="D145" s="21" t="s">
        <v>134</v>
      </c>
      <c r="E145" s="21" t="s">
        <v>501</v>
      </c>
      <c r="F145" s="21" t="s">
        <v>502</v>
      </c>
      <c r="G145" s="21" t="s">
        <v>125</v>
      </c>
      <c r="H145" s="21" t="s">
        <v>126</v>
      </c>
      <c r="I145" s="21" t="s">
        <v>81</v>
      </c>
      <c r="J145" s="21" t="s">
        <v>82</v>
      </c>
      <c r="K145" s="21" t="s">
        <v>48</v>
      </c>
      <c r="L145" s="21">
        <v>110</v>
      </c>
      <c r="M145" s="21" t="s">
        <v>137</v>
      </c>
      <c r="N145" s="21" t="s">
        <v>60</v>
      </c>
      <c r="O145" s="33" t="s">
        <v>311</v>
      </c>
      <c r="P145" s="21">
        <v>8.8000000000000007</v>
      </c>
      <c r="Q145" s="21">
        <v>16.600000000000001</v>
      </c>
      <c r="R145" s="21">
        <v>3.1</v>
      </c>
      <c r="S145" s="21">
        <v>4.4000000000000004</v>
      </c>
      <c r="T145" s="21">
        <v>962</v>
      </c>
      <c r="U145" s="21">
        <v>3545</v>
      </c>
      <c r="V145" s="21">
        <v>0</v>
      </c>
      <c r="W145" s="21">
        <f t="shared" si="40"/>
        <v>4539.8999999999996</v>
      </c>
      <c r="X145" s="21" t="str">
        <f t="shared" si="31"/>
        <v>2</v>
      </c>
      <c r="Y145" s="21" t="str">
        <f t="shared" si="41"/>
        <v>1</v>
      </c>
      <c r="Z145" s="22">
        <f t="shared" si="32"/>
        <v>1.5</v>
      </c>
      <c r="AA145" s="21">
        <v>61</v>
      </c>
      <c r="AB145" s="21">
        <v>10</v>
      </c>
      <c r="AC145" s="21">
        <v>0.02</v>
      </c>
      <c r="AD145" s="21">
        <v>39</v>
      </c>
      <c r="AE145" s="21">
        <f t="shared" si="33"/>
        <v>1950</v>
      </c>
      <c r="AF145" s="21" t="str">
        <f t="shared" si="34"/>
        <v>1</v>
      </c>
      <c r="AG145" s="21" t="str">
        <f t="shared" si="35"/>
        <v>1</v>
      </c>
      <c r="AH145" s="22">
        <f t="shared" si="36"/>
        <v>1</v>
      </c>
      <c r="AI145" s="21">
        <v>1</v>
      </c>
      <c r="AJ145" s="21">
        <v>236.2</v>
      </c>
      <c r="AK145" s="21">
        <f>AJ145*0.73</f>
        <v>172.42599999999999</v>
      </c>
      <c r="AL145" s="21">
        <v>502</v>
      </c>
      <c r="AM145" s="21">
        <f>AL145*0.78</f>
        <v>391.56</v>
      </c>
      <c r="AN145" s="21">
        <v>627.6</v>
      </c>
      <c r="AO145" s="21">
        <f>AN145*0.55</f>
        <v>345.18000000000006</v>
      </c>
      <c r="AP145" s="21">
        <v>78</v>
      </c>
      <c r="AQ145" s="23" t="str">
        <f t="shared" si="37"/>
        <v>2</v>
      </c>
      <c r="AR145" s="21">
        <v>1</v>
      </c>
      <c r="AS145" s="21">
        <v>1</v>
      </c>
      <c r="AT145" s="21">
        <v>1</v>
      </c>
      <c r="AU145" s="21">
        <v>1</v>
      </c>
      <c r="AV145" s="21">
        <v>1</v>
      </c>
      <c r="AW145" s="21">
        <v>1</v>
      </c>
      <c r="AX145" s="21">
        <v>1</v>
      </c>
      <c r="AY145" s="21">
        <v>2014</v>
      </c>
      <c r="AZ145" s="21">
        <f t="shared" si="38"/>
        <v>10</v>
      </c>
      <c r="BA145" s="21" t="str">
        <f t="shared" si="39"/>
        <v>2</v>
      </c>
      <c r="BB145" s="22">
        <f>(BA145+AX145+AS145+AQ145+AH145+Z145)/7</f>
        <v>1.2142857142857142</v>
      </c>
      <c r="BC145" s="21" t="s">
        <v>107</v>
      </c>
      <c r="BD145" s="24" t="s">
        <v>120</v>
      </c>
      <c r="BE145" s="21"/>
      <c r="BF145" s="32"/>
      <c r="BG145" s="32"/>
      <c r="BH145" s="32"/>
      <c r="BI145" s="21">
        <v>1182</v>
      </c>
      <c r="BJ145" s="21">
        <v>39859</v>
      </c>
      <c r="BK145" s="21">
        <v>6.2</v>
      </c>
    </row>
    <row r="146" spans="1:63" s="25" customFormat="1" ht="32" hidden="1" x14ac:dyDescent="0.2">
      <c r="A146" s="21">
        <v>20058283</v>
      </c>
      <c r="B146" s="21" t="s">
        <v>503</v>
      </c>
      <c r="C146" s="21">
        <v>45000</v>
      </c>
      <c r="D146" s="21" t="s">
        <v>134</v>
      </c>
      <c r="E146" s="21" t="s">
        <v>501</v>
      </c>
      <c r="F146" s="21" t="s">
        <v>504</v>
      </c>
      <c r="G146" s="21" t="s">
        <v>125</v>
      </c>
      <c r="H146" s="21" t="s">
        <v>126</v>
      </c>
      <c r="I146" s="21" t="s">
        <v>81</v>
      </c>
      <c r="J146" s="21" t="s">
        <v>143</v>
      </c>
      <c r="K146" s="21" t="s">
        <v>48</v>
      </c>
      <c r="L146" s="21">
        <v>110</v>
      </c>
      <c r="M146" s="21" t="s">
        <v>137</v>
      </c>
      <c r="N146" s="21" t="s">
        <v>60</v>
      </c>
      <c r="O146" s="33" t="s">
        <v>311</v>
      </c>
      <c r="P146" s="21">
        <v>15.1</v>
      </c>
      <c r="Q146" s="21">
        <v>46</v>
      </c>
      <c r="R146" s="21">
        <v>3.5</v>
      </c>
      <c r="S146" s="21">
        <v>28</v>
      </c>
      <c r="T146" s="21">
        <v>169</v>
      </c>
      <c r="U146" s="21">
        <v>1086</v>
      </c>
      <c r="V146" s="21">
        <v>0</v>
      </c>
      <c r="W146" s="21">
        <f t="shared" si="40"/>
        <v>1347.6</v>
      </c>
      <c r="X146" s="21" t="str">
        <f t="shared" si="31"/>
        <v>1</v>
      </c>
      <c r="Y146" s="21" t="str">
        <f t="shared" si="41"/>
        <v>1</v>
      </c>
      <c r="Z146" s="22">
        <f t="shared" si="32"/>
        <v>1</v>
      </c>
      <c r="AA146" s="21">
        <v>37</v>
      </c>
      <c r="AB146" s="21">
        <v>13</v>
      </c>
      <c r="AC146" s="21">
        <v>0.02</v>
      </c>
      <c r="AD146" s="21">
        <v>35.700000000000003</v>
      </c>
      <c r="AE146" s="21">
        <f t="shared" si="33"/>
        <v>1785</v>
      </c>
      <c r="AF146" s="21" t="str">
        <f t="shared" si="34"/>
        <v>1</v>
      </c>
      <c r="AG146" s="21" t="str">
        <f t="shared" si="35"/>
        <v>1</v>
      </c>
      <c r="AH146" s="22">
        <f t="shared" si="36"/>
        <v>1</v>
      </c>
      <c r="AI146" s="21">
        <v>1</v>
      </c>
      <c r="AJ146" s="21">
        <v>235.2</v>
      </c>
      <c r="AK146" s="21">
        <f>AJ146*0.73</f>
        <v>171.696</v>
      </c>
      <c r="AL146" s="21">
        <v>502</v>
      </c>
      <c r="AM146" s="21">
        <f>AL146*0.89</f>
        <v>446.78000000000003</v>
      </c>
      <c r="AN146" s="21">
        <v>627.6</v>
      </c>
      <c r="AO146" s="21">
        <f>AN146*0.63</f>
        <v>395.38800000000003</v>
      </c>
      <c r="AP146" s="21">
        <v>89</v>
      </c>
      <c r="AQ146" s="23" t="str">
        <f t="shared" si="37"/>
        <v>3</v>
      </c>
      <c r="AR146" s="21">
        <v>1</v>
      </c>
      <c r="AS146" s="21">
        <v>1</v>
      </c>
      <c r="AT146" s="21">
        <v>5</v>
      </c>
      <c r="AU146" s="21">
        <v>1</v>
      </c>
      <c r="AV146" s="21">
        <v>1</v>
      </c>
      <c r="AW146" s="21">
        <v>1</v>
      </c>
      <c r="AX146" s="21">
        <v>5</v>
      </c>
      <c r="AY146" s="21">
        <v>1993</v>
      </c>
      <c r="AZ146" s="21">
        <f t="shared" si="38"/>
        <v>31</v>
      </c>
      <c r="BA146" s="21" t="str">
        <f t="shared" si="39"/>
        <v>4</v>
      </c>
      <c r="BB146" s="22">
        <f>(BA146+AX146+AS146+AQ146+AH146+Z146)/6</f>
        <v>2.5</v>
      </c>
      <c r="BC146" s="21" t="s">
        <v>111</v>
      </c>
      <c r="BD146" s="24" t="s">
        <v>505</v>
      </c>
      <c r="BE146" s="21" t="s">
        <v>506</v>
      </c>
      <c r="BF146" s="32">
        <v>42500000</v>
      </c>
      <c r="BG146" s="32">
        <v>68500000</v>
      </c>
      <c r="BH146" s="32">
        <v>9000000</v>
      </c>
      <c r="BI146" s="21">
        <v>746</v>
      </c>
      <c r="BJ146" s="21">
        <v>33839</v>
      </c>
      <c r="BK146" s="21">
        <v>21</v>
      </c>
    </row>
    <row r="147" spans="1:63" ht="80" hidden="1" x14ac:dyDescent="0.2">
      <c r="A147" s="2">
        <v>20700343</v>
      </c>
      <c r="B147" s="2">
        <v>1058995730</v>
      </c>
      <c r="C147" s="2">
        <v>3000</v>
      </c>
      <c r="D147" s="2" t="s">
        <v>73</v>
      </c>
      <c r="E147" s="2" t="s">
        <v>507</v>
      </c>
      <c r="F147" s="2" t="s">
        <v>508</v>
      </c>
      <c r="G147" s="2" t="s">
        <v>58</v>
      </c>
      <c r="H147" s="2" t="s">
        <v>59</v>
      </c>
      <c r="I147" s="2" t="s">
        <v>65</v>
      </c>
      <c r="J147" s="2" t="s">
        <v>61</v>
      </c>
      <c r="K147" s="2" t="s">
        <v>66</v>
      </c>
      <c r="L147" s="2" t="s">
        <v>76</v>
      </c>
      <c r="M147" s="2" t="s">
        <v>60</v>
      </c>
      <c r="N147" s="2" t="s">
        <v>61</v>
      </c>
      <c r="O147" s="2" t="s">
        <v>130</v>
      </c>
      <c r="P147" s="2">
        <v>16.5</v>
      </c>
      <c r="Q147" s="2">
        <v>9.6</v>
      </c>
      <c r="R147" s="2">
        <v>4.5999999999999996</v>
      </c>
      <c r="S147" s="2">
        <v>4.0999999999999996</v>
      </c>
      <c r="T147" s="2">
        <v>892</v>
      </c>
      <c r="U147" s="2">
        <v>1802</v>
      </c>
      <c r="V147" s="2">
        <v>0</v>
      </c>
      <c r="W147" s="2">
        <f t="shared" si="40"/>
        <v>2728.8</v>
      </c>
      <c r="X147" s="2" t="str">
        <f t="shared" si="31"/>
        <v>1</v>
      </c>
      <c r="Y147" s="2" t="str">
        <f t="shared" si="41"/>
        <v>1</v>
      </c>
      <c r="Z147" s="3">
        <f t="shared" si="32"/>
        <v>1</v>
      </c>
      <c r="AA147" s="2">
        <v>56</v>
      </c>
      <c r="AB147" s="2">
        <v>7</v>
      </c>
      <c r="AC147" s="2">
        <v>0.02</v>
      </c>
      <c r="AD147" s="2">
        <v>43.4</v>
      </c>
      <c r="AE147" s="2">
        <f t="shared" si="33"/>
        <v>2170</v>
      </c>
      <c r="AF147" s="2" t="str">
        <f t="shared" si="34"/>
        <v>1</v>
      </c>
      <c r="AG147" s="2" t="str">
        <f t="shared" si="35"/>
        <v>1</v>
      </c>
      <c r="AH147" s="3">
        <f t="shared" si="36"/>
        <v>1</v>
      </c>
      <c r="AI147" s="2">
        <v>3</v>
      </c>
      <c r="AJ147" s="2">
        <v>50.2</v>
      </c>
      <c r="AK147" s="2">
        <f>AJ147*0.89</f>
        <v>44.678000000000004</v>
      </c>
      <c r="AL147" s="2">
        <v>125.51</v>
      </c>
      <c r="AM147" s="2">
        <f>AL147*0.89</f>
        <v>111.7039</v>
      </c>
      <c r="AN147" s="2" t="s">
        <v>61</v>
      </c>
      <c r="AO147" s="2" t="s">
        <v>61</v>
      </c>
      <c r="AP147" s="2">
        <v>89</v>
      </c>
      <c r="AQ147" s="19" t="str">
        <f t="shared" si="37"/>
        <v>3</v>
      </c>
      <c r="AR147" s="2">
        <v>1</v>
      </c>
      <c r="AS147" s="2">
        <v>1</v>
      </c>
      <c r="AT147" s="2">
        <v>1</v>
      </c>
      <c r="AU147" s="2">
        <v>1</v>
      </c>
      <c r="AV147" s="2">
        <v>1</v>
      </c>
      <c r="AW147" s="2" t="s">
        <v>61</v>
      </c>
      <c r="AX147" s="2">
        <v>1</v>
      </c>
      <c r="AY147" s="2">
        <v>2021</v>
      </c>
      <c r="AZ147" s="2">
        <f t="shared" si="38"/>
        <v>3</v>
      </c>
      <c r="BA147" s="2" t="str">
        <f t="shared" si="39"/>
        <v>1</v>
      </c>
      <c r="BB147" s="3">
        <f>(BA147+AX147+AS147+AQ147+AI147+AH147+Z147)/7</f>
        <v>1.5714285714285714</v>
      </c>
      <c r="BC147" s="2" t="s">
        <v>105</v>
      </c>
      <c r="BD147" s="8" t="s">
        <v>349</v>
      </c>
      <c r="BE147" s="2" t="s">
        <v>140</v>
      </c>
      <c r="BF147" s="2"/>
      <c r="BG147" s="2"/>
      <c r="BH147" s="2"/>
      <c r="BI147" s="2">
        <v>2278</v>
      </c>
      <c r="BJ147" s="2">
        <v>86840</v>
      </c>
      <c r="BK147" s="2">
        <v>5</v>
      </c>
    </row>
    <row r="148" spans="1:63" ht="80" hidden="1" x14ac:dyDescent="0.2">
      <c r="A148" s="2">
        <v>20700343</v>
      </c>
      <c r="B148" s="2">
        <v>288861</v>
      </c>
      <c r="C148" s="2">
        <v>3000</v>
      </c>
      <c r="D148" s="2" t="s">
        <v>73</v>
      </c>
      <c r="E148" s="2" t="s">
        <v>507</v>
      </c>
      <c r="F148" s="2" t="s">
        <v>509</v>
      </c>
      <c r="G148" s="2" t="s">
        <v>58</v>
      </c>
      <c r="H148" s="2" t="s">
        <v>59</v>
      </c>
      <c r="I148" s="2" t="s">
        <v>65</v>
      </c>
      <c r="J148" s="2" t="s">
        <v>61</v>
      </c>
      <c r="K148" s="2" t="s">
        <v>66</v>
      </c>
      <c r="L148" s="2" t="s">
        <v>76</v>
      </c>
      <c r="M148" s="2" t="s">
        <v>60</v>
      </c>
      <c r="N148" s="2" t="s">
        <v>61</v>
      </c>
      <c r="O148" s="2" t="s">
        <v>130</v>
      </c>
      <c r="P148" s="2">
        <v>7.4</v>
      </c>
      <c r="Q148" s="2">
        <v>4.5999999999999996</v>
      </c>
      <c r="R148" s="2">
        <v>50</v>
      </c>
      <c r="S148" s="2">
        <v>2.2000000000000002</v>
      </c>
      <c r="T148" s="2">
        <v>514</v>
      </c>
      <c r="U148" s="2">
        <v>6246</v>
      </c>
      <c r="V148" s="2">
        <v>0</v>
      </c>
      <c r="W148" s="2">
        <f t="shared" si="40"/>
        <v>6824.2</v>
      </c>
      <c r="X148" s="2" t="str">
        <f t="shared" si="31"/>
        <v>3</v>
      </c>
      <c r="Y148" s="2" t="str">
        <f t="shared" si="41"/>
        <v>1</v>
      </c>
      <c r="Z148" s="3">
        <f t="shared" si="32"/>
        <v>2</v>
      </c>
      <c r="AA148" s="2">
        <v>42</v>
      </c>
      <c r="AB148" s="2">
        <v>15</v>
      </c>
      <c r="AC148" s="2">
        <v>0.02</v>
      </c>
      <c r="AD148" s="2">
        <v>33.799999999999997</v>
      </c>
      <c r="AE148" s="2">
        <f t="shared" si="33"/>
        <v>1689.9999999999998</v>
      </c>
      <c r="AF148" s="2" t="str">
        <f t="shared" si="34"/>
        <v>1</v>
      </c>
      <c r="AG148" s="2" t="str">
        <f t="shared" si="35"/>
        <v>1</v>
      </c>
      <c r="AH148" s="3">
        <f t="shared" si="36"/>
        <v>1</v>
      </c>
      <c r="AI148" s="2">
        <v>3</v>
      </c>
      <c r="AJ148" s="2">
        <v>50.2</v>
      </c>
      <c r="AK148" s="2">
        <f>AJ148*0.89</f>
        <v>44.678000000000004</v>
      </c>
      <c r="AL148" s="2">
        <v>125.51</v>
      </c>
      <c r="AM148" s="2">
        <f>AL148*0.89</f>
        <v>111.7039</v>
      </c>
      <c r="AN148" s="2" t="s">
        <v>61</v>
      </c>
      <c r="AO148" s="2" t="s">
        <v>61</v>
      </c>
      <c r="AP148" s="2">
        <v>89</v>
      </c>
      <c r="AQ148" s="19" t="str">
        <f t="shared" si="37"/>
        <v>3</v>
      </c>
      <c r="AR148" s="2">
        <v>1</v>
      </c>
      <c r="AS148" s="2">
        <v>1</v>
      </c>
      <c r="AT148" s="2">
        <v>1</v>
      </c>
      <c r="AU148" s="2">
        <v>1</v>
      </c>
      <c r="AV148" s="2">
        <v>1</v>
      </c>
      <c r="AW148" s="2" t="s">
        <v>61</v>
      </c>
      <c r="AX148" s="2">
        <v>1</v>
      </c>
      <c r="AY148" s="2">
        <v>2008</v>
      </c>
      <c r="AZ148" s="2">
        <f t="shared" si="38"/>
        <v>16</v>
      </c>
      <c r="BA148" s="2" t="str">
        <f t="shared" si="39"/>
        <v>2</v>
      </c>
      <c r="BB148" s="3">
        <f>(BA148+AX148+AS148+AQ148+AI148+AH148+Z148)/7</f>
        <v>1.8571428571428572</v>
      </c>
      <c r="BC148" s="2" t="s">
        <v>105</v>
      </c>
      <c r="BD148" s="8" t="s">
        <v>349</v>
      </c>
      <c r="BE148" s="2" t="s">
        <v>140</v>
      </c>
      <c r="BF148" s="2"/>
      <c r="BG148" s="2"/>
      <c r="BH148" s="2"/>
      <c r="BI148" s="2">
        <v>27018</v>
      </c>
      <c r="BJ148" s="2">
        <v>76248</v>
      </c>
      <c r="BK148" s="2">
        <v>11.6</v>
      </c>
    </row>
    <row r="149" spans="1:63" s="25" customFormat="1" ht="32" hidden="1" x14ac:dyDescent="0.2">
      <c r="A149" s="21">
        <v>20058372</v>
      </c>
      <c r="B149" s="21">
        <v>154224</v>
      </c>
      <c r="C149" s="21">
        <v>12500</v>
      </c>
      <c r="D149" s="21" t="s">
        <v>73</v>
      </c>
      <c r="E149" s="21" t="s">
        <v>510</v>
      </c>
      <c r="F149" s="21" t="s">
        <v>511</v>
      </c>
      <c r="G149" s="21" t="s">
        <v>125</v>
      </c>
      <c r="H149" s="21" t="s">
        <v>126</v>
      </c>
      <c r="I149" s="21" t="s">
        <v>81</v>
      </c>
      <c r="J149" s="21" t="s">
        <v>82</v>
      </c>
      <c r="K149" s="21" t="s">
        <v>66</v>
      </c>
      <c r="L149" s="21" t="s">
        <v>76</v>
      </c>
      <c r="M149" s="21" t="s">
        <v>60</v>
      </c>
      <c r="N149" s="21" t="s">
        <v>61</v>
      </c>
      <c r="O149" s="21" t="s">
        <v>164</v>
      </c>
      <c r="P149" s="21">
        <v>1</v>
      </c>
      <c r="Q149" s="21">
        <v>2.1</v>
      </c>
      <c r="R149" s="21">
        <v>38</v>
      </c>
      <c r="S149" s="21">
        <v>1.1000000000000001</v>
      </c>
      <c r="T149" s="21">
        <v>165</v>
      </c>
      <c r="U149" s="21">
        <v>3477</v>
      </c>
      <c r="V149" s="21">
        <v>0</v>
      </c>
      <c r="W149" s="21">
        <f t="shared" si="40"/>
        <v>3684.2</v>
      </c>
      <c r="X149" s="2" t="str">
        <f t="shared" si="31"/>
        <v>1</v>
      </c>
      <c r="Y149" s="2" t="str">
        <f t="shared" si="41"/>
        <v>1</v>
      </c>
      <c r="Z149" s="3">
        <f t="shared" si="32"/>
        <v>1</v>
      </c>
      <c r="AA149" s="21">
        <v>25</v>
      </c>
      <c r="AB149" s="21">
        <v>27</v>
      </c>
      <c r="AC149" s="21">
        <v>0.02</v>
      </c>
      <c r="AD149" s="21">
        <v>38.700000000000003</v>
      </c>
      <c r="AE149" s="21">
        <f t="shared" si="33"/>
        <v>1935</v>
      </c>
      <c r="AF149" s="21" t="str">
        <f t="shared" si="34"/>
        <v>3</v>
      </c>
      <c r="AG149" s="21" t="str">
        <f t="shared" si="35"/>
        <v>1</v>
      </c>
      <c r="AH149" s="22">
        <f t="shared" si="36"/>
        <v>2</v>
      </c>
      <c r="AI149" s="21">
        <v>3</v>
      </c>
      <c r="AJ149" s="21">
        <v>209</v>
      </c>
      <c r="AK149" s="21">
        <f>AJ149*0.75</f>
        <v>156.75</v>
      </c>
      <c r="AL149" s="21">
        <v>523</v>
      </c>
      <c r="AM149" s="21">
        <f>AL149*0.75</f>
        <v>392.25</v>
      </c>
      <c r="AN149" s="21" t="s">
        <v>61</v>
      </c>
      <c r="AO149" s="21" t="s">
        <v>61</v>
      </c>
      <c r="AP149" s="21">
        <v>75</v>
      </c>
      <c r="AQ149" s="23" t="str">
        <f t="shared" si="37"/>
        <v>2</v>
      </c>
      <c r="AR149" s="21">
        <v>1</v>
      </c>
      <c r="AS149" s="21">
        <v>1</v>
      </c>
      <c r="AT149" s="21">
        <v>1</v>
      </c>
      <c r="AU149" s="21">
        <v>1</v>
      </c>
      <c r="AV149" s="21">
        <v>1</v>
      </c>
      <c r="AW149" s="21" t="s">
        <v>61</v>
      </c>
      <c r="AX149" s="21">
        <v>5</v>
      </c>
      <c r="AY149" s="21">
        <v>1996</v>
      </c>
      <c r="AZ149" s="21">
        <f t="shared" si="38"/>
        <v>28</v>
      </c>
      <c r="BA149" s="21" t="str">
        <f t="shared" si="39"/>
        <v>3</v>
      </c>
      <c r="BB149" s="22">
        <f>(BA149+AX149+AS149+AQ149+AI149+AH149+Z149)/5</f>
        <v>3.4</v>
      </c>
      <c r="BC149" s="21" t="s">
        <v>111</v>
      </c>
      <c r="BD149" s="24" t="s">
        <v>358</v>
      </c>
      <c r="BE149" s="21" t="s">
        <v>512</v>
      </c>
      <c r="BF149" s="21"/>
      <c r="BG149" s="21">
        <v>28900000</v>
      </c>
      <c r="BH149" s="21">
        <v>9000000</v>
      </c>
      <c r="BI149" s="21">
        <v>29584</v>
      </c>
      <c r="BJ149" s="21">
        <v>65194</v>
      </c>
      <c r="BK149" s="21">
        <v>25</v>
      </c>
    </row>
    <row r="150" spans="1:63" s="25" customFormat="1" ht="64" hidden="1" x14ac:dyDescent="0.2">
      <c r="A150" s="21">
        <v>20058372</v>
      </c>
      <c r="B150" s="21" t="s">
        <v>513</v>
      </c>
      <c r="C150" s="21">
        <v>12500</v>
      </c>
      <c r="D150" s="21" t="s">
        <v>73</v>
      </c>
      <c r="E150" s="21" t="s">
        <v>510</v>
      </c>
      <c r="F150" s="21" t="s">
        <v>514</v>
      </c>
      <c r="G150" s="21" t="s">
        <v>125</v>
      </c>
      <c r="H150" s="21" t="s">
        <v>126</v>
      </c>
      <c r="I150" s="21" t="s">
        <v>81</v>
      </c>
      <c r="J150" s="21" t="s">
        <v>82</v>
      </c>
      <c r="K150" s="21" t="s">
        <v>66</v>
      </c>
      <c r="L150" s="21" t="s">
        <v>76</v>
      </c>
      <c r="M150" s="21" t="s">
        <v>60</v>
      </c>
      <c r="N150" s="21" t="s">
        <v>61</v>
      </c>
      <c r="O150" s="21" t="s">
        <v>164</v>
      </c>
      <c r="P150" s="21">
        <v>6.1</v>
      </c>
      <c r="Q150" s="21">
        <v>6.3</v>
      </c>
      <c r="R150" s="21">
        <v>11.4</v>
      </c>
      <c r="S150" s="21">
        <v>3.2</v>
      </c>
      <c r="T150" s="21">
        <v>496</v>
      </c>
      <c r="U150" s="21">
        <v>7965</v>
      </c>
      <c r="V150" s="21">
        <v>0</v>
      </c>
      <c r="W150" s="21">
        <f t="shared" si="40"/>
        <v>8488</v>
      </c>
      <c r="X150" s="2" t="str">
        <f t="shared" si="31"/>
        <v>3</v>
      </c>
      <c r="Y150" s="2" t="str">
        <f t="shared" si="41"/>
        <v>1</v>
      </c>
      <c r="Z150" s="3">
        <f t="shared" si="32"/>
        <v>2</v>
      </c>
      <c r="AA150" s="21">
        <v>62</v>
      </c>
      <c r="AB150" s="21">
        <v>14</v>
      </c>
      <c r="AC150" s="21">
        <v>0.02</v>
      </c>
      <c r="AD150" s="21">
        <v>43.2</v>
      </c>
      <c r="AE150" s="21">
        <f t="shared" si="33"/>
        <v>2160</v>
      </c>
      <c r="AF150" s="21" t="str">
        <f t="shared" si="34"/>
        <v>1</v>
      </c>
      <c r="AG150" s="21" t="str">
        <f t="shared" si="35"/>
        <v>1</v>
      </c>
      <c r="AH150" s="22">
        <f t="shared" si="36"/>
        <v>1</v>
      </c>
      <c r="AI150" s="21">
        <v>1</v>
      </c>
      <c r="AJ150" s="21">
        <v>209.2</v>
      </c>
      <c r="AK150" s="21">
        <f>AJ150*0.35</f>
        <v>73.219999999999985</v>
      </c>
      <c r="AL150" s="21">
        <v>523</v>
      </c>
      <c r="AM150" s="21">
        <f>AL150*0.35</f>
        <v>183.04999999999998</v>
      </c>
      <c r="AN150" s="21" t="s">
        <v>61</v>
      </c>
      <c r="AO150" s="21" t="s">
        <v>61</v>
      </c>
      <c r="AP150" s="21">
        <v>35</v>
      </c>
      <c r="AQ150" s="23" t="str">
        <f t="shared" si="37"/>
        <v>1</v>
      </c>
      <c r="AR150" s="21">
        <v>1</v>
      </c>
      <c r="AS150" s="21">
        <v>1</v>
      </c>
      <c r="AT150" s="21">
        <v>1</v>
      </c>
      <c r="AU150" s="21">
        <v>1</v>
      </c>
      <c r="AV150" s="21">
        <v>1</v>
      </c>
      <c r="AW150" s="21" t="s">
        <v>61</v>
      </c>
      <c r="AX150" s="21">
        <v>1</v>
      </c>
      <c r="AY150" s="21">
        <v>2022</v>
      </c>
      <c r="AZ150" s="21">
        <f t="shared" si="38"/>
        <v>2</v>
      </c>
      <c r="BA150" s="21" t="str">
        <f t="shared" si="39"/>
        <v>1</v>
      </c>
      <c r="BB150" s="22">
        <f>(BA150+AX150+AS150+AQ150+AI150+AH150+Z150)/7</f>
        <v>1.1428571428571428</v>
      </c>
      <c r="BC150" s="21" t="s">
        <v>107</v>
      </c>
      <c r="BD150" s="24" t="s">
        <v>120</v>
      </c>
      <c r="BE150" s="21"/>
      <c r="BF150" s="21"/>
      <c r="BG150" s="21"/>
      <c r="BH150" s="21"/>
      <c r="BI150" s="21">
        <v>31204</v>
      </c>
      <c r="BJ150" s="21">
        <v>81940</v>
      </c>
      <c r="BK150" s="21">
        <v>5.6</v>
      </c>
    </row>
    <row r="151" spans="1:63" ht="64" hidden="1" x14ac:dyDescent="0.2">
      <c r="A151" s="2">
        <v>20028369</v>
      </c>
      <c r="B151" s="2">
        <v>1057609451</v>
      </c>
      <c r="C151" s="2">
        <v>14000</v>
      </c>
      <c r="D151" s="2" t="s">
        <v>73</v>
      </c>
      <c r="E151" s="2" t="s">
        <v>515</v>
      </c>
      <c r="F151" s="2" t="s">
        <v>516</v>
      </c>
      <c r="G151" s="2" t="s">
        <v>58</v>
      </c>
      <c r="H151" s="2" t="s">
        <v>59</v>
      </c>
      <c r="I151" s="2" t="s">
        <v>81</v>
      </c>
      <c r="J151" s="2" t="s">
        <v>82</v>
      </c>
      <c r="K151" s="2" t="s">
        <v>48</v>
      </c>
      <c r="L151" s="2" t="s">
        <v>76</v>
      </c>
      <c r="M151" s="2" t="s">
        <v>60</v>
      </c>
      <c r="N151" s="2" t="s">
        <v>61</v>
      </c>
      <c r="O151" s="2" t="s">
        <v>164</v>
      </c>
      <c r="P151" s="2">
        <v>8.8000000000000007</v>
      </c>
      <c r="Q151" s="2">
        <v>142</v>
      </c>
      <c r="R151" s="2">
        <v>222</v>
      </c>
      <c r="S151" s="2">
        <v>26</v>
      </c>
      <c r="T151" s="2">
        <v>1422</v>
      </c>
      <c r="U151" s="2">
        <v>4059</v>
      </c>
      <c r="V151" s="2">
        <v>0.3</v>
      </c>
      <c r="W151" s="2">
        <f t="shared" si="40"/>
        <v>5879.8</v>
      </c>
      <c r="X151" s="2" t="str">
        <f t="shared" si="31"/>
        <v>2</v>
      </c>
      <c r="Y151" s="2" t="str">
        <f t="shared" si="41"/>
        <v>1</v>
      </c>
      <c r="Z151" s="3">
        <f t="shared" si="32"/>
        <v>1.5</v>
      </c>
      <c r="AA151" s="2">
        <v>48</v>
      </c>
      <c r="AB151" s="2">
        <v>12</v>
      </c>
      <c r="AC151" s="2">
        <v>0.02</v>
      </c>
      <c r="AD151" s="2">
        <v>44.2</v>
      </c>
      <c r="AE151" s="2">
        <f t="shared" si="33"/>
        <v>2210</v>
      </c>
      <c r="AF151" s="2" t="str">
        <f t="shared" si="34"/>
        <v>1</v>
      </c>
      <c r="AG151" s="2" t="str">
        <f t="shared" si="35"/>
        <v>1</v>
      </c>
      <c r="AH151" s="3">
        <f t="shared" si="36"/>
        <v>1</v>
      </c>
      <c r="AI151" s="2">
        <v>1</v>
      </c>
      <c r="AJ151" s="2">
        <v>234.29</v>
      </c>
      <c r="AK151" s="2">
        <f>AJ151*0.74</f>
        <v>173.37459999999999</v>
      </c>
      <c r="AL151" s="2">
        <v>585.72</v>
      </c>
      <c r="AM151" s="2">
        <f>AL151*0.74</f>
        <v>433.43280000000004</v>
      </c>
      <c r="AN151" s="2" t="s">
        <v>61</v>
      </c>
      <c r="AO151" s="2" t="s">
        <v>61</v>
      </c>
      <c r="AP151" s="2">
        <v>74</v>
      </c>
      <c r="AQ151" s="19" t="str">
        <f t="shared" si="37"/>
        <v>2</v>
      </c>
      <c r="AR151" s="2">
        <v>1</v>
      </c>
      <c r="AS151" s="2">
        <v>1</v>
      </c>
      <c r="AT151" s="2">
        <v>1</v>
      </c>
      <c r="AU151" s="2">
        <v>1</v>
      </c>
      <c r="AV151" s="2">
        <v>1</v>
      </c>
      <c r="AW151" s="2">
        <v>1</v>
      </c>
      <c r="AX151" s="2">
        <v>1</v>
      </c>
      <c r="AY151" s="2">
        <v>2021</v>
      </c>
      <c r="AZ151" s="2">
        <f t="shared" si="38"/>
        <v>3</v>
      </c>
      <c r="BA151" s="2" t="str">
        <f t="shared" si="39"/>
        <v>1</v>
      </c>
      <c r="BB151" s="3">
        <f>(BA151+AX151+AS151+AQ151+AI151+AH151+Z151)/7</f>
        <v>1.2142857142857142</v>
      </c>
      <c r="BC151" s="2" t="s">
        <v>107</v>
      </c>
      <c r="BD151" s="8" t="s">
        <v>120</v>
      </c>
      <c r="BE151" s="2"/>
      <c r="BF151" s="2"/>
      <c r="BG151" s="2"/>
      <c r="BH151" s="2"/>
      <c r="BI151" s="2">
        <v>2837</v>
      </c>
      <c r="BJ151" s="2">
        <v>92232</v>
      </c>
      <c r="BK151" s="2">
        <v>106</v>
      </c>
    </row>
    <row r="152" spans="1:63" ht="96" hidden="1" x14ac:dyDescent="0.2">
      <c r="A152" s="2">
        <v>20028369</v>
      </c>
      <c r="B152" s="2">
        <v>200723</v>
      </c>
      <c r="C152" s="2">
        <v>14000</v>
      </c>
      <c r="D152" s="2" t="s">
        <v>73</v>
      </c>
      <c r="E152" s="2" t="s">
        <v>515</v>
      </c>
      <c r="F152" s="2" t="s">
        <v>517</v>
      </c>
      <c r="G152" s="2" t="s">
        <v>58</v>
      </c>
      <c r="H152" s="2" t="s">
        <v>59</v>
      </c>
      <c r="I152" s="2" t="s">
        <v>81</v>
      </c>
      <c r="J152" s="2" t="s">
        <v>82</v>
      </c>
      <c r="K152" s="2" t="s">
        <v>48</v>
      </c>
      <c r="L152" s="2" t="s">
        <v>76</v>
      </c>
      <c r="M152" s="2" t="s">
        <v>60</v>
      </c>
      <c r="N152" s="2" t="s">
        <v>61</v>
      </c>
      <c r="O152" s="2" t="s">
        <v>164</v>
      </c>
      <c r="P152" s="2">
        <v>28</v>
      </c>
      <c r="Q152" s="2">
        <v>23</v>
      </c>
      <c r="R152" s="2">
        <v>10.9</v>
      </c>
      <c r="S152" s="2">
        <v>6.7</v>
      </c>
      <c r="T152" s="2">
        <v>554</v>
      </c>
      <c r="U152" s="2">
        <v>5934</v>
      </c>
      <c r="V152" s="2">
        <v>0.7</v>
      </c>
      <c r="W152" s="2">
        <f t="shared" si="40"/>
        <v>6556.6</v>
      </c>
      <c r="X152" s="2" t="str">
        <f t="shared" si="31"/>
        <v>3</v>
      </c>
      <c r="Y152" s="2" t="str">
        <f t="shared" si="41"/>
        <v>1</v>
      </c>
      <c r="Z152" s="3">
        <f t="shared" si="32"/>
        <v>2</v>
      </c>
      <c r="AA152" s="2">
        <v>34</v>
      </c>
      <c r="AB152" s="2">
        <v>11</v>
      </c>
      <c r="AC152" s="2">
        <v>0.02</v>
      </c>
      <c r="AD152" s="2">
        <v>35.9</v>
      </c>
      <c r="AE152" s="2">
        <f t="shared" si="33"/>
        <v>1795</v>
      </c>
      <c r="AF152" s="2" t="str">
        <f t="shared" si="34"/>
        <v>1</v>
      </c>
      <c r="AG152" s="2" t="str">
        <f t="shared" si="35"/>
        <v>1</v>
      </c>
      <c r="AH152" s="3">
        <f t="shared" si="36"/>
        <v>1</v>
      </c>
      <c r="AI152" s="2">
        <v>3</v>
      </c>
      <c r="AJ152" s="2">
        <v>234.3</v>
      </c>
      <c r="AK152" s="2">
        <f>AJ152*0.74</f>
        <v>173.38200000000001</v>
      </c>
      <c r="AL152" s="2">
        <v>585.70000000000005</v>
      </c>
      <c r="AM152" s="2">
        <f>AL152*0.74</f>
        <v>433.41800000000001</v>
      </c>
      <c r="AN152" s="2" t="s">
        <v>61</v>
      </c>
      <c r="AO152" s="2" t="s">
        <v>61</v>
      </c>
      <c r="AP152" s="2">
        <v>74</v>
      </c>
      <c r="AQ152" s="19" t="str">
        <f t="shared" si="37"/>
        <v>2</v>
      </c>
      <c r="AR152" s="2">
        <v>1</v>
      </c>
      <c r="AS152" s="2">
        <v>1</v>
      </c>
      <c r="AT152" s="2">
        <v>1</v>
      </c>
      <c r="AU152" s="2">
        <v>1</v>
      </c>
      <c r="AV152" s="2">
        <v>1</v>
      </c>
      <c r="AW152" s="2">
        <v>1</v>
      </c>
      <c r="AX152" s="2">
        <v>1</v>
      </c>
      <c r="AY152" s="2">
        <v>2009</v>
      </c>
      <c r="AZ152" s="2">
        <f t="shared" si="38"/>
        <v>15</v>
      </c>
      <c r="BA152" s="2" t="str">
        <f t="shared" si="39"/>
        <v>2</v>
      </c>
      <c r="BB152" s="3">
        <f>(BA152+AX152+AS152+AQ152+AI152+AH152+Z152)/7</f>
        <v>1.7142857142857142</v>
      </c>
      <c r="BC152" s="2" t="s">
        <v>105</v>
      </c>
      <c r="BD152" s="8" t="s">
        <v>127</v>
      </c>
      <c r="BE152" s="2" t="s">
        <v>140</v>
      </c>
      <c r="BF152" s="2"/>
      <c r="BG152" s="2"/>
      <c r="BH152" s="2"/>
      <c r="BI152" s="2">
        <v>826</v>
      </c>
      <c r="BJ152" s="2">
        <v>35142</v>
      </c>
      <c r="BK152" s="2">
        <v>8</v>
      </c>
    </row>
    <row r="153" spans="1:63" ht="32" hidden="1" x14ac:dyDescent="0.2">
      <c r="A153" s="2">
        <v>20028369</v>
      </c>
      <c r="B153" s="2" t="s">
        <v>518</v>
      </c>
      <c r="C153" s="2">
        <v>14000</v>
      </c>
      <c r="D153" s="2" t="s">
        <v>73</v>
      </c>
      <c r="E153" s="51" t="s">
        <v>515</v>
      </c>
      <c r="F153" s="2" t="s">
        <v>519</v>
      </c>
      <c r="G153" s="2" t="s">
        <v>58</v>
      </c>
      <c r="H153" s="2" t="s">
        <v>59</v>
      </c>
      <c r="I153" s="2" t="s">
        <v>81</v>
      </c>
      <c r="J153" s="2" t="s">
        <v>82</v>
      </c>
      <c r="K153" s="2" t="s">
        <v>48</v>
      </c>
      <c r="L153" s="2" t="s">
        <v>76</v>
      </c>
      <c r="M153" s="2" t="s">
        <v>60</v>
      </c>
      <c r="N153" s="2" t="s">
        <v>61</v>
      </c>
      <c r="O153" s="2" t="s">
        <v>164</v>
      </c>
      <c r="P153" s="2">
        <v>14.3</v>
      </c>
      <c r="Q153" s="2">
        <v>6.1</v>
      </c>
      <c r="R153" s="2">
        <v>30</v>
      </c>
      <c r="S153" s="2">
        <v>1.2</v>
      </c>
      <c r="T153" s="2">
        <v>566</v>
      </c>
      <c r="U153" s="2">
        <v>4430</v>
      </c>
      <c r="V153" s="2">
        <v>42</v>
      </c>
      <c r="W153" s="2">
        <f t="shared" si="40"/>
        <v>5047.6000000000004</v>
      </c>
      <c r="X153" s="2" t="str">
        <f>IF(W153&gt;=23546,"5",IF(W153&gt;=14870,"4",IF(W153&gt;=6185,"3",IF(W153&gt;=3943,"2","1"))))</f>
        <v>2</v>
      </c>
      <c r="Y153" s="2" t="str">
        <f t="shared" si="41"/>
        <v>5</v>
      </c>
      <c r="Z153" s="3">
        <v>5</v>
      </c>
      <c r="AA153" s="2">
        <v>16</v>
      </c>
      <c r="AB153" s="2">
        <v>32</v>
      </c>
      <c r="AC153" s="2">
        <v>0.02</v>
      </c>
      <c r="AD153" s="2">
        <v>40.5</v>
      </c>
      <c r="AE153" s="2">
        <f t="shared" si="33"/>
        <v>2025</v>
      </c>
      <c r="AF153" s="2" t="str">
        <f t="shared" si="34"/>
        <v>5</v>
      </c>
      <c r="AG153" s="2" t="str">
        <f t="shared" si="35"/>
        <v>1</v>
      </c>
      <c r="AH153" s="3">
        <f t="shared" si="36"/>
        <v>3</v>
      </c>
      <c r="AI153" s="2">
        <v>1</v>
      </c>
      <c r="AJ153" s="2">
        <v>234.3</v>
      </c>
      <c r="AK153" s="2">
        <v>182.51</v>
      </c>
      <c r="AL153" s="2">
        <v>585.70000000000005</v>
      </c>
      <c r="AM153" s="2">
        <v>438.6</v>
      </c>
      <c r="AN153" s="2" t="s">
        <v>61</v>
      </c>
      <c r="AO153" s="2" t="s">
        <v>520</v>
      </c>
      <c r="AP153" s="20">
        <v>74</v>
      </c>
      <c r="AQ153" s="19" t="str">
        <f t="shared" si="37"/>
        <v>2</v>
      </c>
      <c r="AR153" s="2">
        <v>1</v>
      </c>
      <c r="AS153" s="2">
        <v>1</v>
      </c>
      <c r="AT153" s="2">
        <v>1</v>
      </c>
      <c r="AU153" s="2">
        <v>1</v>
      </c>
      <c r="AV153" s="2">
        <v>1</v>
      </c>
      <c r="AW153" s="2">
        <v>1</v>
      </c>
      <c r="AX153" s="2">
        <v>1</v>
      </c>
      <c r="AY153" s="2">
        <v>1997</v>
      </c>
      <c r="AZ153" s="2">
        <f t="shared" si="38"/>
        <v>27</v>
      </c>
      <c r="BA153" s="2" t="str">
        <f t="shared" si="39"/>
        <v>3</v>
      </c>
      <c r="BB153" s="2">
        <v>5</v>
      </c>
      <c r="BC153" s="2" t="s">
        <v>114</v>
      </c>
      <c r="BD153" s="8" t="s">
        <v>392</v>
      </c>
      <c r="BE153" s="2" t="s">
        <v>228</v>
      </c>
      <c r="BF153" s="26">
        <v>165000000</v>
      </c>
      <c r="BG153" s="26">
        <v>146000000</v>
      </c>
      <c r="BH153" s="26">
        <v>25000000</v>
      </c>
      <c r="BI153" s="2">
        <v>25579</v>
      </c>
      <c r="BJ153" s="2">
        <v>99305</v>
      </c>
      <c r="BK153" s="2">
        <v>7</v>
      </c>
    </row>
    <row r="154" spans="1:63" s="25" customFormat="1" ht="64" hidden="1" x14ac:dyDescent="0.2">
      <c r="A154" s="21">
        <v>20700437</v>
      </c>
      <c r="B154" s="21" t="s">
        <v>521</v>
      </c>
      <c r="C154" s="21">
        <v>5000</v>
      </c>
      <c r="D154" s="21" t="s">
        <v>73</v>
      </c>
      <c r="E154" s="21" t="s">
        <v>522</v>
      </c>
      <c r="F154" s="21" t="s">
        <v>523</v>
      </c>
      <c r="G154" s="21" t="s">
        <v>125</v>
      </c>
      <c r="H154" s="21" t="s">
        <v>148</v>
      </c>
      <c r="I154" s="21" t="s">
        <v>65</v>
      </c>
      <c r="J154" s="21" t="s">
        <v>61</v>
      </c>
      <c r="K154" s="21" t="s">
        <v>66</v>
      </c>
      <c r="L154" s="21" t="s">
        <v>76</v>
      </c>
      <c r="M154" s="21" t="s">
        <v>60</v>
      </c>
      <c r="N154" s="21" t="s">
        <v>61</v>
      </c>
      <c r="O154" s="21" t="s">
        <v>130</v>
      </c>
      <c r="P154" s="21">
        <v>6.3</v>
      </c>
      <c r="Q154" s="21">
        <v>1.3</v>
      </c>
      <c r="R154" s="21">
        <v>0.4</v>
      </c>
      <c r="S154" s="21">
        <v>0.1</v>
      </c>
      <c r="T154" s="21">
        <v>88</v>
      </c>
      <c r="U154" s="21">
        <v>226</v>
      </c>
      <c r="V154" s="21">
        <v>0.3</v>
      </c>
      <c r="W154" s="21">
        <f t="shared" si="40"/>
        <v>322.10000000000002</v>
      </c>
      <c r="X154" s="2" t="str">
        <f t="shared" si="31"/>
        <v>1</v>
      </c>
      <c r="Y154" s="2" t="str">
        <f t="shared" si="41"/>
        <v>1</v>
      </c>
      <c r="Z154" s="3">
        <f t="shared" si="32"/>
        <v>1</v>
      </c>
      <c r="AA154" s="21">
        <v>44</v>
      </c>
      <c r="AB154" s="21">
        <v>8</v>
      </c>
      <c r="AC154" s="21">
        <v>1E-3</v>
      </c>
      <c r="AD154" s="21">
        <v>42.8</v>
      </c>
      <c r="AE154" s="21">
        <f t="shared" si="33"/>
        <v>42799.999999999993</v>
      </c>
      <c r="AF154" s="21" t="str">
        <f t="shared" si="34"/>
        <v>1</v>
      </c>
      <c r="AG154" s="21" t="str">
        <f t="shared" si="35"/>
        <v>1</v>
      </c>
      <c r="AH154" s="22">
        <f t="shared" si="36"/>
        <v>1</v>
      </c>
      <c r="AI154" s="21">
        <v>3</v>
      </c>
      <c r="AJ154" s="21">
        <v>83.677000000000007</v>
      </c>
      <c r="AK154" s="21">
        <f>AJ154*0.5</f>
        <v>41.838500000000003</v>
      </c>
      <c r="AL154" s="21">
        <v>209.2</v>
      </c>
      <c r="AM154" s="21">
        <f>AL154*0.5</f>
        <v>104.6</v>
      </c>
      <c r="AN154" s="21" t="s">
        <v>61</v>
      </c>
      <c r="AO154" s="21" t="s">
        <v>61</v>
      </c>
      <c r="AP154" s="21">
        <v>50</v>
      </c>
      <c r="AQ154" s="23" t="str">
        <f t="shared" si="37"/>
        <v>1</v>
      </c>
      <c r="AR154" s="21">
        <v>1</v>
      </c>
      <c r="AS154" s="21">
        <v>1</v>
      </c>
      <c r="AT154" s="21">
        <v>1</v>
      </c>
      <c r="AU154" s="21">
        <v>1</v>
      </c>
      <c r="AV154" s="21">
        <v>1</v>
      </c>
      <c r="AW154" s="21" t="s">
        <v>61</v>
      </c>
      <c r="AX154" s="21">
        <v>1</v>
      </c>
      <c r="AY154" s="21">
        <v>2022</v>
      </c>
      <c r="AZ154" s="21">
        <f t="shared" si="38"/>
        <v>2</v>
      </c>
      <c r="BA154" s="21" t="str">
        <f t="shared" si="39"/>
        <v>1</v>
      </c>
      <c r="BB154" s="22">
        <f>(BA154+AX154+AS154+AQ154+AI154+AH154+Z154)/7</f>
        <v>1.2857142857142858</v>
      </c>
      <c r="BC154" s="21" t="s">
        <v>107</v>
      </c>
      <c r="BD154" s="24" t="s">
        <v>120</v>
      </c>
      <c r="BE154" s="21"/>
      <c r="BF154" s="21"/>
      <c r="BG154" s="21"/>
      <c r="BH154" s="21"/>
      <c r="BI154" s="21">
        <v>33091</v>
      </c>
      <c r="BJ154" s="21">
        <v>79445</v>
      </c>
      <c r="BK154" s="21">
        <v>0.2</v>
      </c>
    </row>
    <row r="155" spans="1:63" s="25" customFormat="1" ht="32" hidden="1" x14ac:dyDescent="0.2">
      <c r="A155" s="21">
        <v>20700437</v>
      </c>
      <c r="B155" s="21">
        <v>20050108</v>
      </c>
      <c r="C155" s="21">
        <v>5000</v>
      </c>
      <c r="D155" s="21" t="s">
        <v>73</v>
      </c>
      <c r="E155" s="21" t="s">
        <v>522</v>
      </c>
      <c r="F155" s="21" t="s">
        <v>524</v>
      </c>
      <c r="G155" s="21" t="s">
        <v>125</v>
      </c>
      <c r="H155" s="21" t="s">
        <v>148</v>
      </c>
      <c r="I155" s="21" t="s">
        <v>65</v>
      </c>
      <c r="J155" s="21" t="s">
        <v>82</v>
      </c>
      <c r="K155" s="21" t="s">
        <v>66</v>
      </c>
      <c r="L155" s="21" t="s">
        <v>76</v>
      </c>
      <c r="M155" s="21" t="s">
        <v>60</v>
      </c>
      <c r="N155" s="21" t="s">
        <v>61</v>
      </c>
      <c r="O155" s="21" t="s">
        <v>130</v>
      </c>
      <c r="P155" s="21">
        <v>5.2</v>
      </c>
      <c r="Q155" s="21">
        <v>29</v>
      </c>
      <c r="R155" s="21">
        <v>3.1</v>
      </c>
      <c r="S155" s="21">
        <v>6.3</v>
      </c>
      <c r="T155" s="21">
        <v>1478</v>
      </c>
      <c r="U155" s="21">
        <v>13742</v>
      </c>
      <c r="V155" s="21">
        <v>0</v>
      </c>
      <c r="W155" s="21">
        <f t="shared" si="40"/>
        <v>15263.6</v>
      </c>
      <c r="X155" s="2" t="str">
        <f t="shared" si="31"/>
        <v>4</v>
      </c>
      <c r="Y155" s="2" t="str">
        <f t="shared" si="41"/>
        <v>1</v>
      </c>
      <c r="Z155" s="3">
        <f t="shared" si="32"/>
        <v>2.5</v>
      </c>
      <c r="AA155" s="21">
        <v>31</v>
      </c>
      <c r="AB155" s="21">
        <v>25</v>
      </c>
      <c r="AC155" s="21">
        <v>0.01</v>
      </c>
      <c r="AD155" s="21">
        <v>43.3</v>
      </c>
      <c r="AE155" s="21">
        <f t="shared" si="33"/>
        <v>4330</v>
      </c>
      <c r="AF155" s="21" t="str">
        <f t="shared" si="34"/>
        <v>2</v>
      </c>
      <c r="AG155" s="21" t="str">
        <f t="shared" si="35"/>
        <v>1</v>
      </c>
      <c r="AH155" s="22">
        <f t="shared" si="36"/>
        <v>1.5</v>
      </c>
      <c r="AI155" s="21">
        <v>3</v>
      </c>
      <c r="AJ155" s="21">
        <v>83.7</v>
      </c>
      <c r="AK155" s="21">
        <f>AJ155*0.5</f>
        <v>41.85</v>
      </c>
      <c r="AL155" s="21">
        <v>209.2</v>
      </c>
      <c r="AM155" s="21">
        <f>AL155*0.5</f>
        <v>104.6</v>
      </c>
      <c r="AN155" s="21" t="s">
        <v>61</v>
      </c>
      <c r="AO155" s="21" t="s">
        <v>61</v>
      </c>
      <c r="AP155" s="21">
        <v>50</v>
      </c>
      <c r="AQ155" s="23" t="str">
        <f t="shared" si="37"/>
        <v>1</v>
      </c>
      <c r="AR155" s="21">
        <v>1</v>
      </c>
      <c r="AS155" s="21">
        <v>1</v>
      </c>
      <c r="AT155" s="21">
        <v>1</v>
      </c>
      <c r="AU155" s="21">
        <v>5</v>
      </c>
      <c r="AV155" s="21">
        <v>1</v>
      </c>
      <c r="AW155" s="21" t="s">
        <v>61</v>
      </c>
      <c r="AX155" s="21">
        <v>5</v>
      </c>
      <c r="AY155" s="21">
        <v>2009</v>
      </c>
      <c r="AZ155" s="21">
        <f t="shared" si="38"/>
        <v>15</v>
      </c>
      <c r="BA155" s="21" t="str">
        <f t="shared" si="39"/>
        <v>2</v>
      </c>
      <c r="BB155" s="22">
        <f>(BA155+AX155+AS155+AQ155+AI155+AH155+Z155)/6</f>
        <v>2.6666666666666665</v>
      </c>
      <c r="BC155" s="21" t="s">
        <v>111</v>
      </c>
      <c r="BD155" s="24" t="s">
        <v>358</v>
      </c>
      <c r="BE155" s="21" t="s">
        <v>525</v>
      </c>
      <c r="BF155" s="21"/>
      <c r="BG155" s="21">
        <v>68500000</v>
      </c>
      <c r="BH155" s="21">
        <v>9000000</v>
      </c>
      <c r="BI155" s="21">
        <v>7560</v>
      </c>
      <c r="BJ155" s="21">
        <v>89961</v>
      </c>
      <c r="BK155" s="21">
        <v>13.7</v>
      </c>
    </row>
    <row r="156" spans="1:63" s="25" customFormat="1" ht="80" hidden="1" x14ac:dyDescent="0.2">
      <c r="A156" s="21">
        <v>20700397</v>
      </c>
      <c r="B156" s="21" t="s">
        <v>526</v>
      </c>
      <c r="C156" s="21">
        <v>5000</v>
      </c>
      <c r="D156" s="21" t="s">
        <v>73</v>
      </c>
      <c r="E156" s="21" t="s">
        <v>527</v>
      </c>
      <c r="F156" s="21" t="s">
        <v>528</v>
      </c>
      <c r="G156" s="21" t="s">
        <v>125</v>
      </c>
      <c r="H156" s="21" t="s">
        <v>126</v>
      </c>
      <c r="I156" s="21" t="s">
        <v>65</v>
      </c>
      <c r="J156" s="21" t="s">
        <v>61</v>
      </c>
      <c r="K156" s="21" t="s">
        <v>66</v>
      </c>
      <c r="L156" s="21" t="s">
        <v>76</v>
      </c>
      <c r="M156" s="21" t="s">
        <v>60</v>
      </c>
      <c r="N156" s="21" t="s">
        <v>61</v>
      </c>
      <c r="O156" s="21" t="s">
        <v>130</v>
      </c>
      <c r="P156" s="21">
        <v>2.2000000000000002</v>
      </c>
      <c r="Q156" s="21">
        <v>10.7</v>
      </c>
      <c r="R156" s="21">
        <v>2.7</v>
      </c>
      <c r="S156" s="21">
        <v>2.2999999999999998</v>
      </c>
      <c r="T156" s="21">
        <v>604</v>
      </c>
      <c r="U156" s="21">
        <v>1823</v>
      </c>
      <c r="V156" s="21">
        <v>0</v>
      </c>
      <c r="W156" s="21">
        <f t="shared" si="40"/>
        <v>2444.9</v>
      </c>
      <c r="X156" s="2" t="str">
        <f t="shared" si="31"/>
        <v>1</v>
      </c>
      <c r="Y156" s="2" t="str">
        <f t="shared" si="41"/>
        <v>1</v>
      </c>
      <c r="Z156" s="3">
        <f t="shared" si="32"/>
        <v>1</v>
      </c>
      <c r="AA156" s="21">
        <v>52</v>
      </c>
      <c r="AB156" s="21">
        <v>10</v>
      </c>
      <c r="AC156" s="21">
        <v>6.0000000000000001E-3</v>
      </c>
      <c r="AD156" s="21">
        <v>33.9</v>
      </c>
      <c r="AE156" s="21">
        <f t="shared" si="33"/>
        <v>5650</v>
      </c>
      <c r="AF156" s="21" t="str">
        <f t="shared" si="34"/>
        <v>1</v>
      </c>
      <c r="AG156" s="21" t="str">
        <f t="shared" si="35"/>
        <v>1</v>
      </c>
      <c r="AH156" s="22">
        <f t="shared" si="36"/>
        <v>1</v>
      </c>
      <c r="AI156" s="21">
        <v>3</v>
      </c>
      <c r="AJ156" s="21">
        <v>83.7</v>
      </c>
      <c r="AK156" s="21">
        <f>AJ156*0.63</f>
        <v>52.731000000000002</v>
      </c>
      <c r="AL156" s="21">
        <v>209.2</v>
      </c>
      <c r="AM156" s="21">
        <f>AL156*0.63</f>
        <v>131.79599999999999</v>
      </c>
      <c r="AN156" s="21" t="s">
        <v>61</v>
      </c>
      <c r="AO156" s="21" t="s">
        <v>61</v>
      </c>
      <c r="AP156" s="21">
        <v>63</v>
      </c>
      <c r="AQ156" s="23" t="str">
        <f t="shared" si="37"/>
        <v>1</v>
      </c>
      <c r="AR156" s="21">
        <v>1</v>
      </c>
      <c r="AS156" s="21">
        <v>1</v>
      </c>
      <c r="AT156" s="21">
        <v>1</v>
      </c>
      <c r="AU156" s="21">
        <v>1</v>
      </c>
      <c r="AV156" s="21">
        <v>1</v>
      </c>
      <c r="AW156" s="21" t="s">
        <v>61</v>
      </c>
      <c r="AX156" s="21">
        <v>1</v>
      </c>
      <c r="AY156" s="21">
        <v>2009</v>
      </c>
      <c r="AZ156" s="21">
        <f t="shared" si="38"/>
        <v>15</v>
      </c>
      <c r="BA156" s="21" t="str">
        <f t="shared" si="39"/>
        <v>2</v>
      </c>
      <c r="BB156" s="22">
        <f>(BA156+AX156+AS156+AQ156+AI156+AH156+Z156)/7</f>
        <v>1.4285714285714286</v>
      </c>
      <c r="BC156" s="21" t="s">
        <v>107</v>
      </c>
      <c r="BD156" s="24" t="s">
        <v>139</v>
      </c>
      <c r="BE156" s="21" t="s">
        <v>140</v>
      </c>
      <c r="BF156" s="21"/>
      <c r="BG156" s="21"/>
      <c r="BH156" s="21"/>
      <c r="BI156" s="21">
        <v>1280</v>
      </c>
      <c r="BJ156" s="21">
        <v>88605</v>
      </c>
      <c r="BK156" s="21">
        <v>3.2</v>
      </c>
    </row>
    <row r="157" spans="1:63" s="25" customFormat="1" ht="80" hidden="1" x14ac:dyDescent="0.2">
      <c r="A157" s="21">
        <v>20700397</v>
      </c>
      <c r="B157" s="21">
        <v>20020108</v>
      </c>
      <c r="C157" s="21">
        <v>5000</v>
      </c>
      <c r="D157" s="21" t="s">
        <v>73</v>
      </c>
      <c r="E157" s="21" t="s">
        <v>527</v>
      </c>
      <c r="F157" s="21" t="s">
        <v>529</v>
      </c>
      <c r="G157" s="21" t="s">
        <v>125</v>
      </c>
      <c r="H157" s="21" t="s">
        <v>126</v>
      </c>
      <c r="I157" s="21" t="s">
        <v>65</v>
      </c>
      <c r="J157" s="21" t="s">
        <v>61</v>
      </c>
      <c r="K157" s="21" t="s">
        <v>66</v>
      </c>
      <c r="L157" s="21" t="s">
        <v>76</v>
      </c>
      <c r="M157" s="21" t="s">
        <v>60</v>
      </c>
      <c r="N157" s="21" t="s">
        <v>61</v>
      </c>
      <c r="O157" s="21" t="s">
        <v>130</v>
      </c>
      <c r="P157" s="21">
        <v>6.7</v>
      </c>
      <c r="Q157" s="21">
        <v>28</v>
      </c>
      <c r="R157" s="21">
        <v>3</v>
      </c>
      <c r="S157" s="21">
        <v>6</v>
      </c>
      <c r="T157" s="21">
        <v>1402</v>
      </c>
      <c r="U157" s="21">
        <v>10842</v>
      </c>
      <c r="V157" s="21">
        <v>0</v>
      </c>
      <c r="W157" s="21">
        <f t="shared" si="40"/>
        <v>12287.7</v>
      </c>
      <c r="X157" s="2" t="str">
        <f t="shared" si="31"/>
        <v>3</v>
      </c>
      <c r="Y157" s="2" t="str">
        <f t="shared" si="41"/>
        <v>1</v>
      </c>
      <c r="Z157" s="3">
        <f t="shared" si="32"/>
        <v>2</v>
      </c>
      <c r="AA157" s="21">
        <v>36</v>
      </c>
      <c r="AB157" s="21">
        <v>19</v>
      </c>
      <c r="AC157" s="21">
        <v>0.02</v>
      </c>
      <c r="AD157" s="21">
        <v>41.9</v>
      </c>
      <c r="AE157" s="21">
        <f t="shared" si="33"/>
        <v>2095</v>
      </c>
      <c r="AF157" s="21" t="str">
        <f t="shared" si="34"/>
        <v>1</v>
      </c>
      <c r="AG157" s="21" t="str">
        <f t="shared" si="35"/>
        <v>1</v>
      </c>
      <c r="AH157" s="22">
        <f t="shared" si="36"/>
        <v>1</v>
      </c>
      <c r="AI157" s="21">
        <v>3</v>
      </c>
      <c r="AJ157" s="21">
        <v>83.7</v>
      </c>
      <c r="AK157" s="21">
        <f>AJ157*0.63</f>
        <v>52.731000000000002</v>
      </c>
      <c r="AL157" s="21">
        <v>209.2</v>
      </c>
      <c r="AM157" s="21">
        <f>AL157*0.63</f>
        <v>131.79599999999999</v>
      </c>
      <c r="AN157" s="21" t="s">
        <v>61</v>
      </c>
      <c r="AO157" s="21" t="s">
        <v>61</v>
      </c>
      <c r="AP157" s="21">
        <v>63</v>
      </c>
      <c r="AQ157" s="23" t="str">
        <f t="shared" si="37"/>
        <v>1</v>
      </c>
      <c r="AR157" s="21">
        <v>1</v>
      </c>
      <c r="AS157" s="21">
        <v>1</v>
      </c>
      <c r="AT157" s="21">
        <v>1</v>
      </c>
      <c r="AU157" s="21">
        <v>1</v>
      </c>
      <c r="AV157" s="21">
        <v>1</v>
      </c>
      <c r="AW157" s="21" t="s">
        <v>61</v>
      </c>
      <c r="AX157" s="21">
        <v>1</v>
      </c>
      <c r="AY157" s="21">
        <v>2020</v>
      </c>
      <c r="AZ157" s="21">
        <f t="shared" si="38"/>
        <v>4</v>
      </c>
      <c r="BA157" s="21" t="str">
        <f t="shared" si="39"/>
        <v>1</v>
      </c>
      <c r="BB157" s="22">
        <f>(BA157+AX157+AS157+AQ157+AI157+AH157+Z157)/7</f>
        <v>1.4285714285714286</v>
      </c>
      <c r="BC157" s="21" t="s">
        <v>107</v>
      </c>
      <c r="BD157" s="24" t="s">
        <v>139</v>
      </c>
      <c r="BE157" s="21" t="s">
        <v>140</v>
      </c>
      <c r="BF157" s="21"/>
      <c r="BG157" s="21"/>
      <c r="BH157" s="21"/>
      <c r="BI157" s="21">
        <v>5792</v>
      </c>
      <c r="BJ157" s="21">
        <v>71317</v>
      </c>
      <c r="BK157" s="21">
        <v>12.5</v>
      </c>
    </row>
    <row r="158" spans="1:63" s="25" customFormat="1" ht="64" hidden="1" x14ac:dyDescent="0.2">
      <c r="A158" s="21">
        <v>20058375</v>
      </c>
      <c r="B158" s="21">
        <v>1079537158</v>
      </c>
      <c r="C158" s="21">
        <v>15000</v>
      </c>
      <c r="D158" s="21" t="s">
        <v>73</v>
      </c>
      <c r="E158" s="21" t="s">
        <v>530</v>
      </c>
      <c r="F158" s="21" t="s">
        <v>531</v>
      </c>
      <c r="G158" s="21" t="s">
        <v>125</v>
      </c>
      <c r="H158" s="21" t="s">
        <v>126</v>
      </c>
      <c r="I158" s="21" t="s">
        <v>81</v>
      </c>
      <c r="J158" s="21" t="s">
        <v>82</v>
      </c>
      <c r="K158" s="21" t="s">
        <v>48</v>
      </c>
      <c r="L158" s="21" t="s">
        <v>76</v>
      </c>
      <c r="M158" s="21" t="s">
        <v>60</v>
      </c>
      <c r="N158" s="21" t="s">
        <v>61</v>
      </c>
      <c r="O158" s="21" t="s">
        <v>164</v>
      </c>
      <c r="P158" s="21">
        <v>11.8</v>
      </c>
      <c r="Q158" s="21">
        <v>2.9</v>
      </c>
      <c r="R158" s="21">
        <v>0.7</v>
      </c>
      <c r="S158" s="21">
        <v>1.1000000000000001</v>
      </c>
      <c r="T158" s="21">
        <v>184</v>
      </c>
      <c r="U158" s="21">
        <v>296</v>
      </c>
      <c r="V158" s="21">
        <v>0</v>
      </c>
      <c r="W158" s="21">
        <f t="shared" si="40"/>
        <v>496.5</v>
      </c>
      <c r="X158" s="2" t="str">
        <f t="shared" si="31"/>
        <v>1</v>
      </c>
      <c r="Y158" s="2" t="str">
        <f t="shared" si="41"/>
        <v>1</v>
      </c>
      <c r="Z158" s="3">
        <f t="shared" si="32"/>
        <v>1</v>
      </c>
      <c r="AA158" s="21">
        <v>59</v>
      </c>
      <c r="AB158" s="21">
        <v>7</v>
      </c>
      <c r="AC158" s="21">
        <v>0.02</v>
      </c>
      <c r="AD158" s="21">
        <v>49.4</v>
      </c>
      <c r="AE158" s="21">
        <f t="shared" si="33"/>
        <v>2470</v>
      </c>
      <c r="AF158" s="21" t="str">
        <f t="shared" si="34"/>
        <v>1</v>
      </c>
      <c r="AG158" s="21" t="str">
        <f t="shared" si="35"/>
        <v>1</v>
      </c>
      <c r="AH158" s="22">
        <f t="shared" si="36"/>
        <v>1</v>
      </c>
      <c r="AI158" s="21">
        <v>1</v>
      </c>
      <c r="AJ158" s="21">
        <v>251</v>
      </c>
      <c r="AK158" s="21">
        <f>AJ158*0.37</f>
        <v>92.87</v>
      </c>
      <c r="AL158" s="21">
        <v>627.6</v>
      </c>
      <c r="AM158" s="21">
        <f>AL158*0.37</f>
        <v>232.21200000000002</v>
      </c>
      <c r="AN158" s="21">
        <v>0</v>
      </c>
      <c r="AO158" s="21">
        <v>0</v>
      </c>
      <c r="AP158" s="21">
        <v>37</v>
      </c>
      <c r="AQ158" s="23" t="str">
        <f t="shared" si="37"/>
        <v>1</v>
      </c>
      <c r="AR158" s="21">
        <v>1</v>
      </c>
      <c r="AS158" s="21">
        <v>1</v>
      </c>
      <c r="AT158" s="21">
        <v>1</v>
      </c>
      <c r="AU158" s="21">
        <v>1</v>
      </c>
      <c r="AV158" s="21">
        <v>1</v>
      </c>
      <c r="AW158" s="21">
        <v>1</v>
      </c>
      <c r="AX158" s="21">
        <v>1</v>
      </c>
      <c r="AY158" s="21">
        <v>2023</v>
      </c>
      <c r="AZ158" s="21">
        <f t="shared" si="38"/>
        <v>1</v>
      </c>
      <c r="BA158" s="21" t="str">
        <f t="shared" si="39"/>
        <v>1</v>
      </c>
      <c r="BB158" s="22">
        <f>(BA158+AX158+AS158+AQ158+AI158+AH158+Z158)/7</f>
        <v>1</v>
      </c>
      <c r="BC158" s="21" t="s">
        <v>107</v>
      </c>
      <c r="BD158" s="24" t="s">
        <v>120</v>
      </c>
      <c r="BE158" s="21"/>
      <c r="BF158" s="21"/>
      <c r="BG158" s="21"/>
      <c r="BH158" s="21"/>
      <c r="BI158" s="21">
        <v>3220</v>
      </c>
      <c r="BJ158" s="21">
        <v>73938</v>
      </c>
      <c r="BK158" s="21">
        <v>1.2</v>
      </c>
    </row>
    <row r="159" spans="1:63" ht="80" hidden="1" x14ac:dyDescent="0.2">
      <c r="A159" s="2">
        <v>20700416</v>
      </c>
      <c r="B159" s="2">
        <v>27160109</v>
      </c>
      <c r="C159" s="2">
        <v>4000</v>
      </c>
      <c r="D159" s="2" t="s">
        <v>73</v>
      </c>
      <c r="E159" s="2" t="s">
        <v>532</v>
      </c>
      <c r="F159" s="2" t="s">
        <v>533</v>
      </c>
      <c r="G159" s="2" t="s">
        <v>125</v>
      </c>
      <c r="H159" s="2" t="s">
        <v>148</v>
      </c>
      <c r="I159" s="2" t="s">
        <v>65</v>
      </c>
      <c r="J159" s="2" t="s">
        <v>61</v>
      </c>
      <c r="K159" s="2" t="s">
        <v>66</v>
      </c>
      <c r="L159" s="2" t="s">
        <v>76</v>
      </c>
      <c r="M159" s="2" t="s">
        <v>60</v>
      </c>
      <c r="N159" s="2" t="s">
        <v>61</v>
      </c>
      <c r="O159" s="2" t="s">
        <v>130</v>
      </c>
      <c r="P159" s="2">
        <v>6.5</v>
      </c>
      <c r="Q159" s="2">
        <v>2.4</v>
      </c>
      <c r="R159" s="2">
        <v>4.8</v>
      </c>
      <c r="S159" s="2">
        <v>0.4</v>
      </c>
      <c r="T159" s="2">
        <v>225</v>
      </c>
      <c r="U159" s="2">
        <v>1814</v>
      </c>
      <c r="V159" s="2">
        <v>0</v>
      </c>
      <c r="W159" s="2">
        <f t="shared" si="40"/>
        <v>2053.1</v>
      </c>
      <c r="X159" s="2" t="str">
        <f t="shared" si="31"/>
        <v>1</v>
      </c>
      <c r="Y159" s="2" t="str">
        <f t="shared" si="41"/>
        <v>1</v>
      </c>
      <c r="Z159" s="3">
        <f t="shared" si="32"/>
        <v>1</v>
      </c>
      <c r="AA159" s="2">
        <v>33</v>
      </c>
      <c r="AB159" s="2">
        <v>15</v>
      </c>
      <c r="AC159" s="2">
        <v>0.02</v>
      </c>
      <c r="AD159" s="2">
        <v>45.4</v>
      </c>
      <c r="AE159" s="2">
        <f t="shared" si="33"/>
        <v>2270</v>
      </c>
      <c r="AF159" s="2" t="str">
        <f t="shared" si="34"/>
        <v>2</v>
      </c>
      <c r="AG159" s="2" t="str">
        <f t="shared" si="35"/>
        <v>1</v>
      </c>
      <c r="AH159" s="3">
        <f t="shared" si="36"/>
        <v>1.5</v>
      </c>
      <c r="AI159" s="2">
        <v>3</v>
      </c>
      <c r="AJ159" s="2">
        <v>66.989999999999995</v>
      </c>
      <c r="AK159" s="2">
        <f>AJ159*0.82</f>
        <v>54.931799999999996</v>
      </c>
      <c r="AL159" s="2">
        <v>167.3</v>
      </c>
      <c r="AM159" s="2">
        <f>AL159*0.82</f>
        <v>137.18600000000001</v>
      </c>
      <c r="AN159" s="2" t="s">
        <v>61</v>
      </c>
      <c r="AO159" s="2" t="s">
        <v>61</v>
      </c>
      <c r="AP159" s="2">
        <v>82</v>
      </c>
      <c r="AQ159" s="19" t="str">
        <f t="shared" si="37"/>
        <v>3</v>
      </c>
      <c r="AR159" s="2">
        <v>1</v>
      </c>
      <c r="AS159" s="2">
        <v>1</v>
      </c>
      <c r="AT159" s="2">
        <v>1</v>
      </c>
      <c r="AU159" s="2">
        <v>1</v>
      </c>
      <c r="AV159" s="2">
        <v>1</v>
      </c>
      <c r="AW159" s="2" t="s">
        <v>61</v>
      </c>
      <c r="AX159" s="2">
        <v>1</v>
      </c>
      <c r="AY159" s="2">
        <v>2009</v>
      </c>
      <c r="AZ159" s="2">
        <f t="shared" si="38"/>
        <v>15</v>
      </c>
      <c r="BA159" s="2" t="str">
        <f t="shared" si="39"/>
        <v>2</v>
      </c>
      <c r="BB159" s="3">
        <f>(BA159+AX159+AS159+AQ159+AI159+AH159+Z159)/7</f>
        <v>1.7857142857142858</v>
      </c>
      <c r="BC159" s="2" t="s">
        <v>105</v>
      </c>
      <c r="BD159" s="8" t="s">
        <v>349</v>
      </c>
      <c r="BE159" s="2" t="s">
        <v>140</v>
      </c>
      <c r="BF159" s="2"/>
      <c r="BG159" s="2"/>
      <c r="BH159" s="2"/>
      <c r="BI159" s="2">
        <v>27897</v>
      </c>
      <c r="BJ159" s="2">
        <v>62468</v>
      </c>
      <c r="BK159" s="2">
        <v>3.5</v>
      </c>
    </row>
    <row r="160" spans="1:63" s="25" customFormat="1" ht="32" hidden="1" x14ac:dyDescent="0.2">
      <c r="A160" s="21">
        <v>20058366</v>
      </c>
      <c r="B160" s="21">
        <v>288053</v>
      </c>
      <c r="C160" s="21">
        <v>6500</v>
      </c>
      <c r="D160" s="21" t="s">
        <v>73</v>
      </c>
      <c r="E160" s="21" t="s">
        <v>534</v>
      </c>
      <c r="F160" s="21" t="s">
        <v>535</v>
      </c>
      <c r="G160" s="21" t="s">
        <v>125</v>
      </c>
      <c r="H160" s="21" t="s">
        <v>126</v>
      </c>
      <c r="I160" s="21" t="s">
        <v>81</v>
      </c>
      <c r="J160" s="21" t="s">
        <v>143</v>
      </c>
      <c r="K160" s="21" t="s">
        <v>66</v>
      </c>
      <c r="L160" s="21" t="s">
        <v>76</v>
      </c>
      <c r="M160" s="21" t="s">
        <v>60</v>
      </c>
      <c r="N160" s="21" t="s">
        <v>61</v>
      </c>
      <c r="O160" s="21" t="s">
        <v>83</v>
      </c>
      <c r="P160" s="21">
        <v>2.7</v>
      </c>
      <c r="Q160" s="21">
        <v>2.2999999999999998</v>
      </c>
      <c r="R160" s="21">
        <v>85</v>
      </c>
      <c r="S160" s="21">
        <v>1.2</v>
      </c>
      <c r="T160" s="21">
        <v>176</v>
      </c>
      <c r="U160" s="21">
        <v>3288</v>
      </c>
      <c r="V160" s="21">
        <v>0</v>
      </c>
      <c r="W160" s="21">
        <f t="shared" si="40"/>
        <v>3555.2</v>
      </c>
      <c r="X160" s="2" t="str">
        <f t="shared" si="31"/>
        <v>1</v>
      </c>
      <c r="Y160" s="2" t="str">
        <f t="shared" si="41"/>
        <v>1</v>
      </c>
      <c r="Z160" s="3">
        <f t="shared" si="32"/>
        <v>1</v>
      </c>
      <c r="AA160" s="21">
        <v>37</v>
      </c>
      <c r="AB160" s="21">
        <v>13</v>
      </c>
      <c r="AC160" s="21">
        <v>3.1E-2</v>
      </c>
      <c r="AD160" s="21">
        <v>33.5</v>
      </c>
      <c r="AE160" s="21">
        <f t="shared" si="33"/>
        <v>1080.6451612903227</v>
      </c>
      <c r="AF160" s="21" t="str">
        <f t="shared" si="34"/>
        <v>1</v>
      </c>
      <c r="AG160" s="21" t="str">
        <f t="shared" si="35"/>
        <v>2</v>
      </c>
      <c r="AH160" s="22">
        <f t="shared" si="36"/>
        <v>1.5</v>
      </c>
      <c r="AI160" s="21">
        <v>3</v>
      </c>
      <c r="AJ160" s="21">
        <v>108.8</v>
      </c>
      <c r="AK160" s="21">
        <f>AJ160*0.83</f>
        <v>90.303999999999988</v>
      </c>
      <c r="AL160" s="21">
        <v>271.89999999999998</v>
      </c>
      <c r="AM160" s="21">
        <f>AL160*0.83</f>
        <v>225.67699999999996</v>
      </c>
      <c r="AN160" s="21" t="s">
        <v>61</v>
      </c>
      <c r="AO160" s="21" t="s">
        <v>61</v>
      </c>
      <c r="AP160" s="21">
        <v>83</v>
      </c>
      <c r="AQ160" s="23" t="str">
        <f t="shared" si="37"/>
        <v>3</v>
      </c>
      <c r="AR160" s="21">
        <v>1</v>
      </c>
      <c r="AS160" s="21">
        <v>1</v>
      </c>
      <c r="AT160" s="21">
        <v>5</v>
      </c>
      <c r="AU160" s="21">
        <v>1</v>
      </c>
      <c r="AV160" s="21">
        <v>5</v>
      </c>
      <c r="AW160" s="21" t="s">
        <v>61</v>
      </c>
      <c r="AX160" s="21">
        <v>5</v>
      </c>
      <c r="AY160" s="21">
        <v>2007</v>
      </c>
      <c r="AZ160" s="21">
        <f t="shared" si="38"/>
        <v>17</v>
      </c>
      <c r="BA160" s="21" t="str">
        <f t="shared" si="39"/>
        <v>2</v>
      </c>
      <c r="BB160" s="22">
        <f>(BA160+AX160+AS160+AQ160+AI160+AH160+Z160)/5</f>
        <v>3.3</v>
      </c>
      <c r="BC160" s="21" t="s">
        <v>111</v>
      </c>
      <c r="BD160" s="24" t="s">
        <v>358</v>
      </c>
      <c r="BE160" s="21" t="s">
        <v>395</v>
      </c>
      <c r="BF160" s="21"/>
      <c r="BG160" s="21">
        <v>45980000</v>
      </c>
      <c r="BH160" s="21">
        <v>9000000</v>
      </c>
      <c r="BI160" s="21">
        <v>28957</v>
      </c>
      <c r="BJ160" s="21">
        <v>62194</v>
      </c>
      <c r="BK160" s="21">
        <v>10.8</v>
      </c>
    </row>
    <row r="161" spans="1:63" s="25" customFormat="1" ht="64" hidden="1" x14ac:dyDescent="0.2">
      <c r="A161" s="21">
        <v>20700451</v>
      </c>
      <c r="B161" s="21">
        <v>1079537156</v>
      </c>
      <c r="C161" s="21">
        <v>6500</v>
      </c>
      <c r="D161" s="21" t="s">
        <v>73</v>
      </c>
      <c r="E161" s="21" t="s">
        <v>536</v>
      </c>
      <c r="F161" s="21" t="s">
        <v>537</v>
      </c>
      <c r="G161" s="21" t="s">
        <v>125</v>
      </c>
      <c r="H161" s="21" t="s">
        <v>126</v>
      </c>
      <c r="I161" s="21" t="s">
        <v>81</v>
      </c>
      <c r="J161" s="21" t="s">
        <v>82</v>
      </c>
      <c r="K161" s="21" t="s">
        <v>66</v>
      </c>
      <c r="L161" s="21" t="s">
        <v>76</v>
      </c>
      <c r="M161" s="21" t="s">
        <v>60</v>
      </c>
      <c r="N161" s="21" t="s">
        <v>61</v>
      </c>
      <c r="O161" s="21" t="s">
        <v>83</v>
      </c>
      <c r="P161" s="21"/>
      <c r="Q161" s="21"/>
      <c r="R161" s="21"/>
      <c r="S161" s="21"/>
      <c r="T161" s="21"/>
      <c r="U161" s="21"/>
      <c r="V161" s="21"/>
      <c r="W161" s="21">
        <f t="shared" si="40"/>
        <v>0</v>
      </c>
      <c r="X161" s="2" t="str">
        <f t="shared" si="31"/>
        <v>1</v>
      </c>
      <c r="Y161" s="2" t="str">
        <f t="shared" si="41"/>
        <v>1</v>
      </c>
      <c r="Z161" s="3">
        <f t="shared" si="32"/>
        <v>1</v>
      </c>
      <c r="AA161" s="21"/>
      <c r="AB161" s="21"/>
      <c r="AC161" s="21"/>
      <c r="AD161" s="21"/>
      <c r="AE161" s="21" t="e">
        <f t="shared" si="33"/>
        <v>#DIV/0!</v>
      </c>
      <c r="AF161" s="21" t="str">
        <f t="shared" si="34"/>
        <v>5</v>
      </c>
      <c r="AG161" s="21" t="e">
        <f t="shared" si="35"/>
        <v>#DIV/0!</v>
      </c>
      <c r="AH161" s="22" t="e">
        <f t="shared" si="36"/>
        <v>#DIV/0!</v>
      </c>
      <c r="AI161" s="21"/>
      <c r="AJ161" s="21"/>
      <c r="AK161" s="21"/>
      <c r="AL161" s="21"/>
      <c r="AM161" s="21"/>
      <c r="AN161" s="21"/>
      <c r="AO161" s="21"/>
      <c r="AP161" s="21">
        <v>50</v>
      </c>
      <c r="AQ161" s="23" t="str">
        <f t="shared" si="37"/>
        <v>1</v>
      </c>
      <c r="AR161" s="21"/>
      <c r="AS161" s="21"/>
      <c r="AT161" s="21"/>
      <c r="AU161" s="21"/>
      <c r="AV161" s="21"/>
      <c r="AW161" s="21"/>
      <c r="AX161" s="21"/>
      <c r="AY161" s="21"/>
      <c r="AZ161" s="21">
        <f t="shared" si="38"/>
        <v>2024</v>
      </c>
      <c r="BA161" s="21" t="str">
        <f t="shared" si="39"/>
        <v>5</v>
      </c>
      <c r="BB161" s="22">
        <v>1</v>
      </c>
      <c r="BC161" s="21" t="s">
        <v>107</v>
      </c>
      <c r="BD161" s="24" t="s">
        <v>120</v>
      </c>
      <c r="BE161" s="21"/>
      <c r="BF161" s="21"/>
      <c r="BG161" s="21"/>
      <c r="BH161" s="21"/>
      <c r="BI161" s="21"/>
      <c r="BJ161" s="21"/>
      <c r="BK161" s="21"/>
    </row>
    <row r="162" spans="1:63" s="25" customFormat="1" ht="32" hidden="1" x14ac:dyDescent="0.2">
      <c r="A162" s="21">
        <v>20700375</v>
      </c>
      <c r="B162" s="21">
        <v>320662</v>
      </c>
      <c r="C162" s="21">
        <v>12500</v>
      </c>
      <c r="D162" s="21" t="s">
        <v>73</v>
      </c>
      <c r="E162" s="21" t="s">
        <v>538</v>
      </c>
      <c r="F162" s="21" t="s">
        <v>539</v>
      </c>
      <c r="G162" s="21" t="s">
        <v>70</v>
      </c>
      <c r="H162" s="21" t="s">
        <v>70</v>
      </c>
      <c r="I162" s="21" t="s">
        <v>81</v>
      </c>
      <c r="J162" s="21" t="s">
        <v>143</v>
      </c>
      <c r="K162" s="21" t="s">
        <v>48</v>
      </c>
      <c r="L162" s="21" t="s">
        <v>76</v>
      </c>
      <c r="M162" s="21" t="s">
        <v>60</v>
      </c>
      <c r="N162" s="21" t="s">
        <v>61</v>
      </c>
      <c r="O162" s="21" t="s">
        <v>164</v>
      </c>
      <c r="P162" s="21">
        <v>60</v>
      </c>
      <c r="Q162" s="21">
        <v>25</v>
      </c>
      <c r="R162" s="21">
        <v>14.9</v>
      </c>
      <c r="S162" s="21">
        <v>3.1</v>
      </c>
      <c r="T162" s="21">
        <v>3057</v>
      </c>
      <c r="U162" s="21">
        <v>7137</v>
      </c>
      <c r="V162" s="21">
        <v>0.6</v>
      </c>
      <c r="W162" s="21">
        <f t="shared" si="40"/>
        <v>10297</v>
      </c>
      <c r="X162" s="2" t="str">
        <f t="shared" si="31"/>
        <v>3</v>
      </c>
      <c r="Y162" s="2" t="str">
        <f t="shared" si="41"/>
        <v>1</v>
      </c>
      <c r="Z162" s="3">
        <f t="shared" si="32"/>
        <v>2</v>
      </c>
      <c r="AA162" s="21">
        <v>59</v>
      </c>
      <c r="AB162" s="21">
        <v>8</v>
      </c>
      <c r="AC162" s="21">
        <v>0.02</v>
      </c>
      <c r="AD162" s="21">
        <v>43.2</v>
      </c>
      <c r="AE162" s="21">
        <f t="shared" si="33"/>
        <v>2160</v>
      </c>
      <c r="AF162" s="21" t="str">
        <f t="shared" si="34"/>
        <v>1</v>
      </c>
      <c r="AG162" s="21" t="str">
        <f t="shared" si="35"/>
        <v>1</v>
      </c>
      <c r="AH162" s="22">
        <f t="shared" si="36"/>
        <v>1</v>
      </c>
      <c r="AI162" s="21">
        <v>3</v>
      </c>
      <c r="AJ162" s="21">
        <v>209.2</v>
      </c>
      <c r="AK162" s="21">
        <f>AJ162*0.64</f>
        <v>133.88800000000001</v>
      </c>
      <c r="AL162" s="21">
        <v>523</v>
      </c>
      <c r="AM162" s="21">
        <f>AL162*0.64</f>
        <v>334.72</v>
      </c>
      <c r="AN162" s="21" t="s">
        <v>61</v>
      </c>
      <c r="AO162" s="21" t="s">
        <v>61</v>
      </c>
      <c r="AP162" s="21">
        <v>64</v>
      </c>
      <c r="AQ162" s="23" t="str">
        <f t="shared" si="37"/>
        <v>1</v>
      </c>
      <c r="AR162" s="21">
        <v>1</v>
      </c>
      <c r="AS162" s="21">
        <v>1</v>
      </c>
      <c r="AT162" s="21">
        <v>1</v>
      </c>
      <c r="AU162" s="21">
        <v>1</v>
      </c>
      <c r="AV162" s="21">
        <v>1</v>
      </c>
      <c r="AW162" s="21">
        <v>1</v>
      </c>
      <c r="AX162" s="21">
        <v>1</v>
      </c>
      <c r="AY162" s="21">
        <v>2010</v>
      </c>
      <c r="AZ162" s="21">
        <f t="shared" si="38"/>
        <v>14</v>
      </c>
      <c r="BA162" s="21" t="str">
        <f t="shared" si="39"/>
        <v>2</v>
      </c>
      <c r="BB162" s="22">
        <f>(BA162+AX162+AS162+AQ162+AI162+AH162+Z162)/4</f>
        <v>2.75</v>
      </c>
      <c r="BC162" s="40" t="s">
        <v>111</v>
      </c>
      <c r="BD162" s="24" t="s">
        <v>540</v>
      </c>
      <c r="BE162" s="21" t="s">
        <v>541</v>
      </c>
      <c r="BF162" s="21"/>
      <c r="BG162" s="21"/>
      <c r="BH162" s="21"/>
      <c r="BI162" s="21">
        <v>7188</v>
      </c>
      <c r="BJ162" s="21">
        <v>110512</v>
      </c>
      <c r="BK162" s="21">
        <v>17.3</v>
      </c>
    </row>
    <row r="163" spans="1:63" ht="80" hidden="1" x14ac:dyDescent="0.2">
      <c r="A163" s="2">
        <v>20028365</v>
      </c>
      <c r="B163" s="2">
        <v>10158</v>
      </c>
      <c r="C163" s="2">
        <v>2000</v>
      </c>
      <c r="D163" s="2" t="s">
        <v>73</v>
      </c>
      <c r="E163" s="2" t="s">
        <v>542</v>
      </c>
      <c r="F163" s="2" t="s">
        <v>543</v>
      </c>
      <c r="G163" s="2" t="s">
        <v>58</v>
      </c>
      <c r="H163" s="2" t="s">
        <v>64</v>
      </c>
      <c r="I163" s="2" t="s">
        <v>65</v>
      </c>
      <c r="J163" s="2" t="s">
        <v>61</v>
      </c>
      <c r="K163" s="2" t="s">
        <v>66</v>
      </c>
      <c r="L163" s="2" t="s">
        <v>76</v>
      </c>
      <c r="M163" s="2" t="s">
        <v>60</v>
      </c>
      <c r="N163" s="2" t="s">
        <v>61</v>
      </c>
      <c r="O163" s="2" t="s">
        <v>77</v>
      </c>
      <c r="P163" s="2">
        <v>2.6</v>
      </c>
      <c r="Q163" s="2">
        <v>3.6</v>
      </c>
      <c r="R163" s="2">
        <v>18.2</v>
      </c>
      <c r="S163" s="2">
        <v>1</v>
      </c>
      <c r="T163" s="2">
        <v>195</v>
      </c>
      <c r="U163" s="2">
        <v>1324</v>
      </c>
      <c r="V163" s="2">
        <v>0</v>
      </c>
      <c r="W163" s="2">
        <f t="shared" si="40"/>
        <v>1544.4</v>
      </c>
      <c r="X163" s="2" t="str">
        <f t="shared" si="31"/>
        <v>1</v>
      </c>
      <c r="Y163" s="2" t="str">
        <f t="shared" si="41"/>
        <v>1</v>
      </c>
      <c r="Z163" s="3">
        <f t="shared" si="32"/>
        <v>1</v>
      </c>
      <c r="AA163" s="2">
        <v>51</v>
      </c>
      <c r="AB163" s="2">
        <v>8</v>
      </c>
      <c r="AC163" s="2">
        <v>0.02</v>
      </c>
      <c r="AD163" s="2">
        <v>39.700000000000003</v>
      </c>
      <c r="AE163" s="2">
        <f t="shared" si="33"/>
        <v>1985</v>
      </c>
      <c r="AF163" s="2" t="str">
        <f t="shared" si="34"/>
        <v>1</v>
      </c>
      <c r="AG163" s="2" t="str">
        <f t="shared" si="35"/>
        <v>1</v>
      </c>
      <c r="AH163" s="3">
        <f t="shared" si="36"/>
        <v>1</v>
      </c>
      <c r="AI163" s="2">
        <v>3</v>
      </c>
      <c r="AJ163" s="2">
        <v>33.47</v>
      </c>
      <c r="AK163" s="2">
        <f>AJ163*0.4</f>
        <v>13.388</v>
      </c>
      <c r="AL163" s="2">
        <v>83.67</v>
      </c>
      <c r="AM163" s="2">
        <f>AL163*0.4</f>
        <v>33.468000000000004</v>
      </c>
      <c r="AN163" s="2" t="s">
        <v>61</v>
      </c>
      <c r="AO163" s="2" t="s">
        <v>61</v>
      </c>
      <c r="AP163" s="2">
        <v>40</v>
      </c>
      <c r="AQ163" s="19" t="str">
        <f t="shared" si="37"/>
        <v>1</v>
      </c>
      <c r="AR163" s="2">
        <v>1</v>
      </c>
      <c r="AS163" s="2">
        <v>1</v>
      </c>
      <c r="AT163" s="2">
        <v>1</v>
      </c>
      <c r="AU163" s="2">
        <v>1</v>
      </c>
      <c r="AV163" s="2">
        <v>1</v>
      </c>
      <c r="AW163" s="2" t="s">
        <v>61</v>
      </c>
      <c r="AX163" s="2">
        <v>1</v>
      </c>
      <c r="AY163" s="2">
        <v>2012</v>
      </c>
      <c r="AZ163" s="2">
        <f t="shared" si="38"/>
        <v>12</v>
      </c>
      <c r="BA163" s="2" t="str">
        <f t="shared" si="39"/>
        <v>2</v>
      </c>
      <c r="BB163" s="3">
        <f>(BA163+AX163+AS163+AQ163+AI163+AH163+Z163)/7</f>
        <v>1.4285714285714286</v>
      </c>
      <c r="BC163" s="2" t="s">
        <v>107</v>
      </c>
      <c r="BD163" s="8" t="s">
        <v>139</v>
      </c>
      <c r="BE163" s="2" t="s">
        <v>228</v>
      </c>
      <c r="BF163" s="2"/>
      <c r="BG163" s="2"/>
      <c r="BH163" s="2"/>
      <c r="BI163" s="2">
        <v>26514</v>
      </c>
      <c r="BJ163" s="2">
        <v>57912</v>
      </c>
      <c r="BK163" s="2">
        <v>4.4000000000000004</v>
      </c>
    </row>
    <row r="164" spans="1:63" s="25" customFormat="1" ht="96" hidden="1" x14ac:dyDescent="0.2">
      <c r="A164" s="21">
        <v>20017465</v>
      </c>
      <c r="B164" s="21" t="s">
        <v>544</v>
      </c>
      <c r="C164" s="21">
        <v>8000</v>
      </c>
      <c r="D164" s="21" t="s">
        <v>73</v>
      </c>
      <c r="E164" s="21" t="s">
        <v>545</v>
      </c>
      <c r="F164" s="21" t="s">
        <v>546</v>
      </c>
      <c r="G164" s="21" t="s">
        <v>70</v>
      </c>
      <c r="H164" s="21" t="s">
        <v>70</v>
      </c>
      <c r="I164" s="21" t="s">
        <v>81</v>
      </c>
      <c r="J164" s="21" t="s">
        <v>82</v>
      </c>
      <c r="K164" s="21" t="s">
        <v>48</v>
      </c>
      <c r="L164" s="21">
        <v>66</v>
      </c>
      <c r="M164" s="21" t="s">
        <v>137</v>
      </c>
      <c r="N164" s="21" t="s">
        <v>60</v>
      </c>
      <c r="O164" s="21" t="s">
        <v>547</v>
      </c>
      <c r="P164" s="21">
        <v>3</v>
      </c>
      <c r="Q164" s="21">
        <v>16.3</v>
      </c>
      <c r="R164" s="21">
        <v>41</v>
      </c>
      <c r="S164" s="21">
        <v>7.9</v>
      </c>
      <c r="T164" s="21">
        <v>1531</v>
      </c>
      <c r="U164" s="21">
        <v>5513</v>
      </c>
      <c r="V164" s="21">
        <v>0</v>
      </c>
      <c r="W164" s="21">
        <f t="shared" si="40"/>
        <v>7112.2</v>
      </c>
      <c r="X164" s="2" t="str">
        <f t="shared" si="31"/>
        <v>3</v>
      </c>
      <c r="Y164" s="2" t="str">
        <f t="shared" si="41"/>
        <v>1</v>
      </c>
      <c r="Z164" s="3">
        <f t="shared" si="32"/>
        <v>2</v>
      </c>
      <c r="AA164" s="21">
        <v>32</v>
      </c>
      <c r="AB164" s="21">
        <v>22</v>
      </c>
      <c r="AC164" s="21">
        <v>0.02</v>
      </c>
      <c r="AD164" s="21">
        <v>41.2</v>
      </c>
      <c r="AE164" s="21">
        <f t="shared" si="33"/>
        <v>2060</v>
      </c>
      <c r="AF164" s="21" t="str">
        <f t="shared" si="34"/>
        <v>2</v>
      </c>
      <c r="AG164" s="21" t="str">
        <f t="shared" si="35"/>
        <v>1</v>
      </c>
      <c r="AH164" s="22">
        <f t="shared" si="36"/>
        <v>1.5</v>
      </c>
      <c r="AI164" s="21">
        <v>1</v>
      </c>
      <c r="AJ164" s="21">
        <v>70</v>
      </c>
      <c r="AK164" s="21">
        <f>AJ164*0.49</f>
        <v>34.299999999999997</v>
      </c>
      <c r="AL164" s="21">
        <v>66.900000000000006</v>
      </c>
      <c r="AM164" s="21">
        <f>AL164*0.49</f>
        <v>32.780999999999999</v>
      </c>
      <c r="AN164" s="21">
        <v>167.3</v>
      </c>
      <c r="AO164" s="21">
        <f>AN164*0.58</f>
        <v>97.034000000000006</v>
      </c>
      <c r="AP164" s="21">
        <v>49</v>
      </c>
      <c r="AQ164" s="23" t="str">
        <f t="shared" si="37"/>
        <v>1</v>
      </c>
      <c r="AR164" s="21">
        <v>1</v>
      </c>
      <c r="AS164" s="21">
        <v>1</v>
      </c>
      <c r="AT164" s="21">
        <v>1</v>
      </c>
      <c r="AU164" s="21">
        <v>1</v>
      </c>
      <c r="AV164" s="21">
        <v>1</v>
      </c>
      <c r="AW164" s="21">
        <v>1</v>
      </c>
      <c r="AX164" s="21">
        <v>1</v>
      </c>
      <c r="AY164" s="21">
        <v>1984</v>
      </c>
      <c r="AZ164" s="21">
        <f t="shared" si="38"/>
        <v>40</v>
      </c>
      <c r="BA164" s="21" t="str">
        <f t="shared" si="39"/>
        <v>5</v>
      </c>
      <c r="BB164" s="22">
        <f>(BA164+AX164+AS164+AQ164+AH164+Z164)/7</f>
        <v>1.6428571428571428</v>
      </c>
      <c r="BC164" s="21" t="s">
        <v>105</v>
      </c>
      <c r="BD164" s="24" t="s">
        <v>127</v>
      </c>
      <c r="BE164" s="21" t="s">
        <v>228</v>
      </c>
      <c r="BF164" s="21"/>
      <c r="BG164" s="21"/>
      <c r="BH164" s="21"/>
      <c r="BI164" s="21">
        <v>6000</v>
      </c>
      <c r="BJ164" s="21">
        <v>87020</v>
      </c>
      <c r="BK164" s="21">
        <v>7.9</v>
      </c>
    </row>
    <row r="165" spans="1:63" s="25" customFormat="1" ht="80" hidden="1" x14ac:dyDescent="0.2">
      <c r="A165" s="21">
        <v>20017465</v>
      </c>
      <c r="B165" s="21">
        <v>55420119</v>
      </c>
      <c r="C165" s="21">
        <v>8000</v>
      </c>
      <c r="D165" s="21" t="s">
        <v>73</v>
      </c>
      <c r="E165" s="21" t="s">
        <v>545</v>
      </c>
      <c r="F165" s="21" t="s">
        <v>548</v>
      </c>
      <c r="G165" s="21" t="s">
        <v>70</v>
      </c>
      <c r="H165" s="21" t="s">
        <v>70</v>
      </c>
      <c r="I165" s="21" t="s">
        <v>81</v>
      </c>
      <c r="J165" s="21" t="s">
        <v>82</v>
      </c>
      <c r="K165" s="21" t="s">
        <v>48</v>
      </c>
      <c r="L165" s="21">
        <v>66</v>
      </c>
      <c r="M165" s="21" t="s">
        <v>137</v>
      </c>
      <c r="N165" s="21" t="s">
        <v>60</v>
      </c>
      <c r="O165" s="21" t="s">
        <v>547</v>
      </c>
      <c r="P165" s="21">
        <v>6.8</v>
      </c>
      <c r="Q165" s="21">
        <v>13.9</v>
      </c>
      <c r="R165" s="21">
        <v>6.6</v>
      </c>
      <c r="S165" s="21">
        <v>1.9</v>
      </c>
      <c r="T165" s="21">
        <v>1675</v>
      </c>
      <c r="U165" s="21">
        <v>5278</v>
      </c>
      <c r="V165" s="21">
        <v>0</v>
      </c>
      <c r="W165" s="21">
        <f t="shared" si="40"/>
        <v>6982.2</v>
      </c>
      <c r="X165" s="2" t="str">
        <f t="shared" si="31"/>
        <v>3</v>
      </c>
      <c r="Y165" s="2" t="str">
        <f t="shared" si="41"/>
        <v>1</v>
      </c>
      <c r="Z165" s="3">
        <f t="shared" si="32"/>
        <v>2</v>
      </c>
      <c r="AA165" s="21">
        <v>57</v>
      </c>
      <c r="AB165" s="21">
        <v>10</v>
      </c>
      <c r="AC165" s="21">
        <v>0.02</v>
      </c>
      <c r="AD165" s="21">
        <v>44.6</v>
      </c>
      <c r="AE165" s="21">
        <f t="shared" si="33"/>
        <v>2230</v>
      </c>
      <c r="AF165" s="21" t="str">
        <f t="shared" si="34"/>
        <v>1</v>
      </c>
      <c r="AG165" s="21" t="str">
        <f t="shared" si="35"/>
        <v>1</v>
      </c>
      <c r="AH165" s="22">
        <f t="shared" si="36"/>
        <v>1</v>
      </c>
      <c r="AI165" s="21">
        <v>1</v>
      </c>
      <c r="AJ165" s="21">
        <v>66.94</v>
      </c>
      <c r="AK165" s="38">
        <f>AJ165*0.49</f>
        <v>32.800599999999996</v>
      </c>
      <c r="AL165" s="21">
        <v>66.94</v>
      </c>
      <c r="AM165" s="39">
        <f>AL165*0.49</f>
        <v>32.800599999999996</v>
      </c>
      <c r="AN165" s="21">
        <v>167.35</v>
      </c>
      <c r="AO165" s="21">
        <f>AN165*0.58</f>
        <v>97.062999999999988</v>
      </c>
      <c r="AP165" s="21">
        <v>49</v>
      </c>
      <c r="AQ165" s="23" t="str">
        <f t="shared" si="37"/>
        <v>1</v>
      </c>
      <c r="AR165" s="21">
        <v>1</v>
      </c>
      <c r="AS165" s="21">
        <v>1</v>
      </c>
      <c r="AT165" s="21">
        <v>1</v>
      </c>
      <c r="AU165" s="21">
        <v>1</v>
      </c>
      <c r="AV165" s="21">
        <v>1</v>
      </c>
      <c r="AW165" s="21">
        <v>1</v>
      </c>
      <c r="AX165" s="21">
        <v>1</v>
      </c>
      <c r="AY165" s="21">
        <v>2019</v>
      </c>
      <c r="AZ165" s="21">
        <f t="shared" si="38"/>
        <v>5</v>
      </c>
      <c r="BA165" s="21" t="str">
        <f t="shared" si="39"/>
        <v>1</v>
      </c>
      <c r="BB165" s="22">
        <f>(BA165+AX165+AS165+AQ165+AH165+Z165)/7</f>
        <v>1</v>
      </c>
      <c r="BC165" s="21" t="s">
        <v>107</v>
      </c>
      <c r="BD165" s="24" t="s">
        <v>139</v>
      </c>
      <c r="BE165" s="21" t="s">
        <v>228</v>
      </c>
      <c r="BF165" s="21"/>
      <c r="BG165" s="21"/>
      <c r="BH165" s="21"/>
      <c r="BI165" s="21">
        <v>3554</v>
      </c>
      <c r="BJ165" s="21">
        <v>89455</v>
      </c>
      <c r="BK165" s="21">
        <v>4.3</v>
      </c>
    </row>
    <row r="166" spans="1:63" s="25" customFormat="1" ht="80" hidden="1" x14ac:dyDescent="0.2">
      <c r="A166" s="21">
        <v>20700441</v>
      </c>
      <c r="B166" s="21">
        <v>338077</v>
      </c>
      <c r="C166" s="21">
        <v>6500</v>
      </c>
      <c r="D166" s="21" t="s">
        <v>73</v>
      </c>
      <c r="E166" s="21" t="s">
        <v>549</v>
      </c>
      <c r="F166" s="21" t="s">
        <v>550</v>
      </c>
      <c r="G166" s="21" t="s">
        <v>70</v>
      </c>
      <c r="H166" s="21" t="s">
        <v>70</v>
      </c>
      <c r="I166" s="21" t="s">
        <v>81</v>
      </c>
      <c r="J166" s="21" t="s">
        <v>82</v>
      </c>
      <c r="K166" s="21" t="s">
        <v>66</v>
      </c>
      <c r="L166" s="21" t="s">
        <v>76</v>
      </c>
      <c r="M166" s="21" t="s">
        <v>60</v>
      </c>
      <c r="N166" s="21" t="s">
        <v>61</v>
      </c>
      <c r="O166" s="21" t="s">
        <v>83</v>
      </c>
      <c r="P166" s="21">
        <v>2.5</v>
      </c>
      <c r="Q166" s="21">
        <v>28</v>
      </c>
      <c r="R166" s="21">
        <v>6.4</v>
      </c>
      <c r="S166" s="21">
        <v>5.5</v>
      </c>
      <c r="T166" s="21">
        <v>1379</v>
      </c>
      <c r="U166" s="21">
        <v>14622</v>
      </c>
      <c r="V166" s="21">
        <v>0</v>
      </c>
      <c r="W166" s="21">
        <f t="shared" si="40"/>
        <v>16043.4</v>
      </c>
      <c r="X166" s="2" t="str">
        <f t="shared" si="31"/>
        <v>4</v>
      </c>
      <c r="Y166" s="2" t="str">
        <f t="shared" si="41"/>
        <v>1</v>
      </c>
      <c r="Z166" s="3">
        <f t="shared" si="32"/>
        <v>2.5</v>
      </c>
      <c r="AA166" s="21">
        <v>37</v>
      </c>
      <c r="AB166" s="21">
        <v>14</v>
      </c>
      <c r="AC166" s="21">
        <v>0.02</v>
      </c>
      <c r="AD166" s="21">
        <v>36.5</v>
      </c>
      <c r="AE166" s="21">
        <f t="shared" si="33"/>
        <v>1825</v>
      </c>
      <c r="AF166" s="21" t="str">
        <f t="shared" si="34"/>
        <v>1</v>
      </c>
      <c r="AG166" s="21" t="str">
        <f t="shared" si="35"/>
        <v>1</v>
      </c>
      <c r="AH166" s="22">
        <f t="shared" si="36"/>
        <v>1</v>
      </c>
      <c r="AI166" s="21">
        <v>3</v>
      </c>
      <c r="AJ166" s="21">
        <v>108.8</v>
      </c>
      <c r="AK166" s="21">
        <f>AJ166*1.03</f>
        <v>112.06399999999999</v>
      </c>
      <c r="AL166" s="21">
        <v>271.89999999999998</v>
      </c>
      <c r="AM166" s="21">
        <f>AL166*1.03</f>
        <v>280.05699999999996</v>
      </c>
      <c r="AN166" s="21" t="s">
        <v>61</v>
      </c>
      <c r="AO166" s="21" t="s">
        <v>61</v>
      </c>
      <c r="AP166" s="21">
        <v>103</v>
      </c>
      <c r="AQ166" s="23" t="str">
        <f t="shared" si="37"/>
        <v>5</v>
      </c>
      <c r="AR166" s="21">
        <v>1</v>
      </c>
      <c r="AS166" s="21">
        <v>1</v>
      </c>
      <c r="AT166" s="21">
        <v>1</v>
      </c>
      <c r="AU166" s="21">
        <v>1</v>
      </c>
      <c r="AV166" s="21">
        <v>1</v>
      </c>
      <c r="AW166" s="21" t="s">
        <v>61</v>
      </c>
      <c r="AX166" s="21">
        <v>1</v>
      </c>
      <c r="AY166" s="21">
        <v>2011</v>
      </c>
      <c r="AZ166" s="21">
        <f t="shared" si="38"/>
        <v>13</v>
      </c>
      <c r="BA166" s="21" t="str">
        <f t="shared" si="39"/>
        <v>2</v>
      </c>
      <c r="BB166" s="22">
        <f>(BA166+AX166+AS166+AQ166+AH166+Z166)/4</f>
        <v>3.125</v>
      </c>
      <c r="BC166" s="21" t="s">
        <v>111</v>
      </c>
      <c r="BD166" s="24" t="s">
        <v>551</v>
      </c>
      <c r="BE166" s="21" t="s">
        <v>552</v>
      </c>
      <c r="BF166" s="27">
        <v>64500000</v>
      </c>
      <c r="BG166" s="27"/>
      <c r="BH166" s="27">
        <v>9000000</v>
      </c>
      <c r="BI166" s="21">
        <v>3807</v>
      </c>
      <c r="BJ166" s="21">
        <v>72492</v>
      </c>
      <c r="BK166" s="21">
        <v>19.8</v>
      </c>
    </row>
    <row r="167" spans="1:63" ht="64" x14ac:dyDescent="0.2">
      <c r="A167" s="2">
        <v>20018390</v>
      </c>
      <c r="B167" s="2">
        <v>147862</v>
      </c>
      <c r="C167" s="2">
        <v>300</v>
      </c>
      <c r="D167" s="2" t="s">
        <v>73</v>
      </c>
      <c r="E167" s="52" t="s">
        <v>553</v>
      </c>
      <c r="F167" s="2" t="s">
        <v>554</v>
      </c>
      <c r="G167" s="2" t="s">
        <v>70</v>
      </c>
      <c r="H167" s="2" t="s">
        <v>70</v>
      </c>
      <c r="I167" s="2" t="s">
        <v>65</v>
      </c>
      <c r="J167" s="2" t="s">
        <v>61</v>
      </c>
      <c r="K167" s="2" t="s">
        <v>66</v>
      </c>
      <c r="L167" s="2" t="s">
        <v>76</v>
      </c>
      <c r="M167" s="2" t="s">
        <v>60</v>
      </c>
      <c r="N167" s="2" t="s">
        <v>61</v>
      </c>
      <c r="O167" s="2" t="s">
        <v>77</v>
      </c>
      <c r="P167" s="2">
        <v>1.8</v>
      </c>
      <c r="Q167" s="2">
        <v>3.4</v>
      </c>
      <c r="R167" s="2">
        <v>2.7</v>
      </c>
      <c r="S167" s="2">
        <v>0.8</v>
      </c>
      <c r="T167" s="2">
        <v>317</v>
      </c>
      <c r="U167" s="2">
        <v>4526</v>
      </c>
      <c r="V167" s="2">
        <v>0</v>
      </c>
      <c r="W167" s="2">
        <f t="shared" ref="W167:W198" si="42">(P167+Q167+T167+R167+S167+U167)</f>
        <v>4851.7</v>
      </c>
      <c r="X167" s="2" t="str">
        <f t="shared" si="31"/>
        <v>2</v>
      </c>
      <c r="Y167" s="2" t="str">
        <f t="shared" si="41"/>
        <v>1</v>
      </c>
      <c r="Z167" s="3">
        <f t="shared" si="32"/>
        <v>1.5</v>
      </c>
      <c r="AA167" s="2">
        <v>13</v>
      </c>
      <c r="AB167" s="2">
        <v>39</v>
      </c>
      <c r="AC167" s="2">
        <v>0.02</v>
      </c>
      <c r="AD167" s="2">
        <v>40.6</v>
      </c>
      <c r="AE167" s="2">
        <f t="shared" si="33"/>
        <v>2030</v>
      </c>
      <c r="AF167" s="2" t="str">
        <f t="shared" si="34"/>
        <v>5</v>
      </c>
      <c r="AG167" s="2" t="str">
        <f t="shared" si="35"/>
        <v>1</v>
      </c>
      <c r="AH167" s="3">
        <f t="shared" si="36"/>
        <v>3</v>
      </c>
      <c r="AI167" s="2">
        <v>4</v>
      </c>
      <c r="AJ167" s="2">
        <v>5</v>
      </c>
      <c r="AK167" s="2">
        <f>AJ167*0.43</f>
        <v>2.15</v>
      </c>
      <c r="AL167" s="2">
        <v>13</v>
      </c>
      <c r="AM167" s="2">
        <f>AL167*0.43</f>
        <v>5.59</v>
      </c>
      <c r="AN167" s="2" t="s">
        <v>61</v>
      </c>
      <c r="AO167" s="2" t="s">
        <v>61</v>
      </c>
      <c r="AP167" s="2">
        <v>43</v>
      </c>
      <c r="AQ167" s="19" t="str">
        <f t="shared" si="37"/>
        <v>1</v>
      </c>
      <c r="AR167" s="2">
        <v>5</v>
      </c>
      <c r="AS167" s="2">
        <v>5</v>
      </c>
      <c r="AT167" s="2">
        <v>1</v>
      </c>
      <c r="AU167" s="2">
        <v>1</v>
      </c>
      <c r="AV167" s="2">
        <v>5</v>
      </c>
      <c r="AW167" s="2" t="s">
        <v>61</v>
      </c>
      <c r="AX167" s="2">
        <v>5</v>
      </c>
      <c r="AY167" s="2">
        <v>1991</v>
      </c>
      <c r="AZ167" s="2">
        <f t="shared" si="38"/>
        <v>33</v>
      </c>
      <c r="BA167" s="2" t="str">
        <f t="shared" si="39"/>
        <v>4</v>
      </c>
      <c r="BB167" s="3">
        <f>(BA167+AX167+AS167+AQ167+AH167+Z167)/5</f>
        <v>3.9</v>
      </c>
      <c r="BC167" s="2" t="s">
        <v>184</v>
      </c>
      <c r="BD167" s="8" t="s">
        <v>555</v>
      </c>
      <c r="BE167" s="2" t="s">
        <v>556</v>
      </c>
      <c r="BF167" s="26"/>
      <c r="BG167" s="26">
        <v>52000000</v>
      </c>
      <c r="BH167" s="26">
        <v>9000000</v>
      </c>
      <c r="BI167" s="2">
        <v>36132</v>
      </c>
      <c r="BJ167" s="2">
        <v>90281</v>
      </c>
      <c r="BK167" s="2">
        <v>3.3</v>
      </c>
    </row>
    <row r="168" spans="1:63" hidden="1" x14ac:dyDescent="0.2">
      <c r="A168" s="2">
        <v>20038378</v>
      </c>
      <c r="B168" s="2">
        <v>200025</v>
      </c>
      <c r="C168" s="2">
        <v>30000</v>
      </c>
      <c r="D168" s="2" t="s">
        <v>152</v>
      </c>
      <c r="E168" s="2" t="s">
        <v>557</v>
      </c>
      <c r="F168" s="2" t="s">
        <v>558</v>
      </c>
      <c r="G168" s="2" t="s">
        <v>125</v>
      </c>
      <c r="H168" s="2" t="s">
        <v>148</v>
      </c>
      <c r="I168" s="2" t="s">
        <v>81</v>
      </c>
      <c r="J168" s="2" t="s">
        <v>143</v>
      </c>
      <c r="K168" s="2" t="s">
        <v>48</v>
      </c>
      <c r="L168" s="2">
        <v>110</v>
      </c>
      <c r="M168" s="2" t="s">
        <v>137</v>
      </c>
      <c r="N168" s="2" t="s">
        <v>60</v>
      </c>
      <c r="O168" s="2" t="s">
        <v>243</v>
      </c>
      <c r="P168" s="2">
        <v>2.8</v>
      </c>
      <c r="Q168" s="2">
        <v>2</v>
      </c>
      <c r="R168" s="2">
        <v>2</v>
      </c>
      <c r="S168" s="2">
        <v>0.4</v>
      </c>
      <c r="T168" s="2">
        <v>158</v>
      </c>
      <c r="U168" s="2">
        <v>1428</v>
      </c>
      <c r="V168" s="2">
        <v>0</v>
      </c>
      <c r="W168" s="2">
        <f t="shared" si="42"/>
        <v>1593.2</v>
      </c>
      <c r="X168" s="2" t="str">
        <f t="shared" si="31"/>
        <v>1</v>
      </c>
      <c r="Y168" s="2" t="str">
        <f t="shared" si="41"/>
        <v>1</v>
      </c>
      <c r="Z168" s="3">
        <f t="shared" si="32"/>
        <v>1</v>
      </c>
      <c r="AA168" s="2">
        <v>36</v>
      </c>
      <c r="AB168" s="2">
        <v>14</v>
      </c>
      <c r="AC168" s="2">
        <v>0.02</v>
      </c>
      <c r="AD168" s="2">
        <v>42.6</v>
      </c>
      <c r="AE168" s="2">
        <f t="shared" si="33"/>
        <v>2130</v>
      </c>
      <c r="AF168" s="2" t="str">
        <f t="shared" si="34"/>
        <v>1</v>
      </c>
      <c r="AG168" s="2" t="str">
        <f t="shared" si="35"/>
        <v>1</v>
      </c>
      <c r="AH168" s="3">
        <f t="shared" si="36"/>
        <v>1</v>
      </c>
      <c r="AI168" s="2">
        <v>1</v>
      </c>
      <c r="AJ168" s="2">
        <v>157.5</v>
      </c>
      <c r="AK168" s="2">
        <f>AJ168*0.4</f>
        <v>63</v>
      </c>
      <c r="AL168" s="2">
        <v>334.7</v>
      </c>
      <c r="AM168" s="2">
        <f>AL168*0.24</f>
        <v>80.327999999999989</v>
      </c>
      <c r="AN168" s="2">
        <v>627.6</v>
      </c>
      <c r="AO168" s="2">
        <f>AN168*0.45</f>
        <v>282.42</v>
      </c>
      <c r="AP168" s="2">
        <v>45</v>
      </c>
      <c r="AQ168" s="19" t="str">
        <f t="shared" si="37"/>
        <v>1</v>
      </c>
      <c r="AR168" s="2">
        <v>1</v>
      </c>
      <c r="AS168" s="2">
        <v>1</v>
      </c>
      <c r="AT168" s="2">
        <v>1</v>
      </c>
      <c r="AU168" s="2">
        <v>1</v>
      </c>
      <c r="AV168" s="2">
        <v>1</v>
      </c>
      <c r="AW168" s="2">
        <v>1</v>
      </c>
      <c r="AX168" s="2">
        <v>1</v>
      </c>
      <c r="AY168" s="2">
        <v>1998</v>
      </c>
      <c r="AZ168" s="2">
        <f t="shared" si="38"/>
        <v>26</v>
      </c>
      <c r="BA168" s="2" t="str">
        <f t="shared" si="39"/>
        <v>3</v>
      </c>
      <c r="BB168" s="3">
        <f>(BA168+AX168+AS168+AQ168+AH168+Z168)/3</f>
        <v>2.6666666666666665</v>
      </c>
      <c r="BC168" s="2" t="s">
        <v>111</v>
      </c>
      <c r="BD168" s="2" t="s">
        <v>220</v>
      </c>
      <c r="BE168" s="2" t="s">
        <v>221</v>
      </c>
      <c r="BF168" s="2"/>
      <c r="BG168" s="2"/>
      <c r="BH168" s="2"/>
      <c r="BI168" s="2">
        <v>7150</v>
      </c>
      <c r="BJ168" s="2">
        <v>32614</v>
      </c>
      <c r="BK168" s="2">
        <v>1.4</v>
      </c>
    </row>
    <row r="169" spans="1:63" ht="80" hidden="1" x14ac:dyDescent="0.2">
      <c r="A169" s="2">
        <v>20700342</v>
      </c>
      <c r="B169" s="2">
        <v>291382</v>
      </c>
      <c r="C169" s="2">
        <v>3000</v>
      </c>
      <c r="D169" s="2" t="s">
        <v>73</v>
      </c>
      <c r="E169" s="2" t="s">
        <v>559</v>
      </c>
      <c r="F169" s="2" t="s">
        <v>560</v>
      </c>
      <c r="G169" s="2" t="s">
        <v>58</v>
      </c>
      <c r="H169" s="2" t="s">
        <v>70</v>
      </c>
      <c r="I169" s="2" t="s">
        <v>65</v>
      </c>
      <c r="J169" s="2" t="s">
        <v>61</v>
      </c>
      <c r="K169" s="2" t="s">
        <v>66</v>
      </c>
      <c r="L169" s="2" t="s">
        <v>76</v>
      </c>
      <c r="M169" s="2" t="s">
        <v>60</v>
      </c>
      <c r="N169" s="2" t="s">
        <v>61</v>
      </c>
      <c r="O169" s="2" t="s">
        <v>130</v>
      </c>
      <c r="P169" s="2">
        <v>21</v>
      </c>
      <c r="Q169" s="2">
        <v>5.8</v>
      </c>
      <c r="R169" s="2">
        <v>74</v>
      </c>
      <c r="S169" s="2">
        <v>1.7</v>
      </c>
      <c r="T169" s="2">
        <v>716</v>
      </c>
      <c r="U169" s="2">
        <v>6243</v>
      </c>
      <c r="V169" s="2">
        <v>0</v>
      </c>
      <c r="W169" s="2">
        <f t="shared" si="42"/>
        <v>7061.5</v>
      </c>
      <c r="X169" s="2" t="str">
        <f t="shared" si="31"/>
        <v>3</v>
      </c>
      <c r="Y169" s="2" t="str">
        <f t="shared" si="41"/>
        <v>1</v>
      </c>
      <c r="Z169" s="3">
        <f t="shared" si="32"/>
        <v>2</v>
      </c>
      <c r="AA169" s="2">
        <v>29</v>
      </c>
      <c r="AB169" s="2">
        <v>24</v>
      </c>
      <c r="AC169" s="2">
        <v>0.02</v>
      </c>
      <c r="AD169" s="2">
        <v>34.200000000000003</v>
      </c>
      <c r="AE169" s="2">
        <f t="shared" si="33"/>
        <v>1710</v>
      </c>
      <c r="AF169" s="2" t="str">
        <f t="shared" si="34"/>
        <v>2</v>
      </c>
      <c r="AG169" s="2" t="str">
        <f t="shared" si="35"/>
        <v>1</v>
      </c>
      <c r="AH169" s="3">
        <f t="shared" si="36"/>
        <v>1.5</v>
      </c>
      <c r="AI169" s="2">
        <v>3</v>
      </c>
      <c r="AJ169" s="2">
        <v>50.2</v>
      </c>
      <c r="AK169" s="2">
        <f>AJ169*0.89</f>
        <v>44.678000000000004</v>
      </c>
      <c r="AL169" s="2">
        <v>125.5</v>
      </c>
      <c r="AM169" s="2">
        <f>AL169*0.9</f>
        <v>112.95</v>
      </c>
      <c r="AN169" s="2" t="s">
        <v>61</v>
      </c>
      <c r="AO169" s="2" t="s">
        <v>61</v>
      </c>
      <c r="AP169" s="2">
        <v>89</v>
      </c>
      <c r="AQ169" s="19" t="str">
        <f t="shared" si="37"/>
        <v>3</v>
      </c>
      <c r="AR169" s="2">
        <v>1</v>
      </c>
      <c r="AS169" s="2">
        <v>1</v>
      </c>
      <c r="AT169" s="2">
        <v>1</v>
      </c>
      <c r="AU169" s="2">
        <v>1</v>
      </c>
      <c r="AV169" s="2">
        <v>1</v>
      </c>
      <c r="AW169" s="2" t="s">
        <v>61</v>
      </c>
      <c r="AX169" s="2">
        <v>1</v>
      </c>
      <c r="AY169" s="2">
        <v>2008</v>
      </c>
      <c r="AZ169" s="2">
        <f t="shared" si="38"/>
        <v>16</v>
      </c>
      <c r="BA169" s="2" t="str">
        <f t="shared" si="39"/>
        <v>2</v>
      </c>
      <c r="BB169" s="3">
        <f>(BA169+AX169+AS169+AQ169+AH169+Z169)/7</f>
        <v>1.5</v>
      </c>
      <c r="BC169" s="2" t="s">
        <v>105</v>
      </c>
      <c r="BD169" s="8" t="s">
        <v>349</v>
      </c>
      <c r="BE169" s="2" t="s">
        <v>228</v>
      </c>
      <c r="BF169" s="2"/>
      <c r="BG169" s="2"/>
      <c r="BH169" s="2"/>
      <c r="BI169" s="2">
        <v>19812</v>
      </c>
      <c r="BJ169" s="2">
        <v>67917</v>
      </c>
      <c r="BK169" s="2">
        <v>11.5</v>
      </c>
    </row>
    <row r="170" spans="1:63" s="25" customFormat="1" ht="64" hidden="1" x14ac:dyDescent="0.2">
      <c r="A170" s="21">
        <v>20038379</v>
      </c>
      <c r="B170" s="21">
        <v>1079537144</v>
      </c>
      <c r="C170" s="21">
        <v>10000</v>
      </c>
      <c r="D170" s="21" t="s">
        <v>73</v>
      </c>
      <c r="E170" s="21" t="s">
        <v>561</v>
      </c>
      <c r="F170" s="21" t="s">
        <v>562</v>
      </c>
      <c r="G170" s="21" t="s">
        <v>125</v>
      </c>
      <c r="H170" s="21" t="s">
        <v>148</v>
      </c>
      <c r="I170" s="21" t="s">
        <v>81</v>
      </c>
      <c r="J170" s="21" t="s">
        <v>82</v>
      </c>
      <c r="K170" s="21" t="s">
        <v>48</v>
      </c>
      <c r="L170" s="21" t="s">
        <v>76</v>
      </c>
      <c r="M170" s="21" t="s">
        <v>60</v>
      </c>
      <c r="N170" s="21" t="s">
        <v>61</v>
      </c>
      <c r="O170" s="21" t="s">
        <v>83</v>
      </c>
      <c r="P170" s="21"/>
      <c r="Q170" s="21"/>
      <c r="R170" s="21"/>
      <c r="S170" s="21"/>
      <c r="T170" s="21"/>
      <c r="U170" s="21"/>
      <c r="V170" s="21"/>
      <c r="W170" s="21">
        <f t="shared" si="42"/>
        <v>0</v>
      </c>
      <c r="X170" s="2" t="str">
        <f t="shared" si="31"/>
        <v>1</v>
      </c>
      <c r="Y170" s="2" t="str">
        <f t="shared" ref="Y170:Y206" si="43">IF(V170&gt;=16,"5",IF(V170&gt;=15,"4",IF(V170&gt;=12,"3",IF(V170&gt;=7,"2","1"))))</f>
        <v>1</v>
      </c>
      <c r="Z170" s="3">
        <f t="shared" si="32"/>
        <v>1</v>
      </c>
      <c r="AA170" s="21"/>
      <c r="AB170" s="21"/>
      <c r="AC170" s="21"/>
      <c r="AD170" s="21"/>
      <c r="AE170" s="21" t="e">
        <f t="shared" si="33"/>
        <v>#DIV/0!</v>
      </c>
      <c r="AF170" s="21" t="str">
        <f t="shared" si="34"/>
        <v>5</v>
      </c>
      <c r="AG170" s="21" t="e">
        <f t="shared" si="35"/>
        <v>#DIV/0!</v>
      </c>
      <c r="AH170" s="22" t="e">
        <f t="shared" si="36"/>
        <v>#DIV/0!</v>
      </c>
      <c r="AI170" s="21"/>
      <c r="AJ170" s="21"/>
      <c r="AK170" s="21"/>
      <c r="AL170" s="21"/>
      <c r="AM170" s="21"/>
      <c r="AN170" s="21"/>
      <c r="AO170" s="21"/>
      <c r="AP170" s="21"/>
      <c r="AQ170" s="23" t="str">
        <f t="shared" si="37"/>
        <v>1</v>
      </c>
      <c r="AR170" s="21"/>
      <c r="AS170" s="21"/>
      <c r="AT170" s="21"/>
      <c r="AU170" s="21"/>
      <c r="AV170" s="21"/>
      <c r="AW170" s="21"/>
      <c r="AX170" s="21"/>
      <c r="AY170" s="21"/>
      <c r="AZ170" s="21">
        <f t="shared" si="38"/>
        <v>2024</v>
      </c>
      <c r="BA170" s="21" t="str">
        <f t="shared" si="39"/>
        <v>5</v>
      </c>
      <c r="BB170" s="22">
        <v>1</v>
      </c>
      <c r="BC170" s="21" t="s">
        <v>107</v>
      </c>
      <c r="BD170" s="24" t="s">
        <v>120</v>
      </c>
      <c r="BE170" s="21"/>
      <c r="BF170" s="21"/>
      <c r="BG170" s="21"/>
      <c r="BH170" s="21"/>
      <c r="BI170" s="21"/>
      <c r="BJ170" s="21"/>
      <c r="BK170" s="21"/>
    </row>
    <row r="171" spans="1:63" ht="64" hidden="1" x14ac:dyDescent="0.2">
      <c r="A171" s="2">
        <v>20700472</v>
      </c>
      <c r="B171" s="2">
        <v>78760113</v>
      </c>
      <c r="C171" s="2">
        <v>6500</v>
      </c>
      <c r="D171" s="2" t="s">
        <v>73</v>
      </c>
      <c r="E171" s="2" t="s">
        <v>563</v>
      </c>
      <c r="F171" s="2" t="s">
        <v>564</v>
      </c>
      <c r="G171" s="2" t="s">
        <v>125</v>
      </c>
      <c r="H171" s="2" t="s">
        <v>148</v>
      </c>
      <c r="I171" s="2" t="s">
        <v>81</v>
      </c>
      <c r="J171" s="2" t="s">
        <v>82</v>
      </c>
      <c r="K171" s="2" t="s">
        <v>66</v>
      </c>
      <c r="L171" s="2" t="s">
        <v>76</v>
      </c>
      <c r="M171" s="2" t="s">
        <v>60</v>
      </c>
      <c r="N171" s="2" t="s">
        <v>61</v>
      </c>
      <c r="O171" s="2" t="s">
        <v>83</v>
      </c>
      <c r="P171" s="2">
        <v>3</v>
      </c>
      <c r="Q171" s="2">
        <v>3.6</v>
      </c>
      <c r="R171" s="2">
        <v>3.8</v>
      </c>
      <c r="S171" s="2">
        <v>0.9</v>
      </c>
      <c r="T171" s="2">
        <v>268</v>
      </c>
      <c r="U171" s="2">
        <v>3638</v>
      </c>
      <c r="V171" s="2">
        <v>0</v>
      </c>
      <c r="W171" s="2">
        <f t="shared" si="42"/>
        <v>3917.3</v>
      </c>
      <c r="X171" s="2" t="str">
        <f t="shared" si="31"/>
        <v>1</v>
      </c>
      <c r="Y171" s="2" t="str">
        <f t="shared" si="43"/>
        <v>1</v>
      </c>
      <c r="Z171" s="3">
        <f t="shared" si="32"/>
        <v>1</v>
      </c>
      <c r="AA171" s="2">
        <v>45</v>
      </c>
      <c r="AB171" s="2">
        <v>11</v>
      </c>
      <c r="AC171" s="2">
        <v>0.02</v>
      </c>
      <c r="AD171" s="2">
        <v>44.2</v>
      </c>
      <c r="AE171" s="2">
        <f t="shared" si="33"/>
        <v>2210</v>
      </c>
      <c r="AF171" s="2" t="str">
        <f t="shared" si="34"/>
        <v>1</v>
      </c>
      <c r="AG171" s="2" t="str">
        <f t="shared" si="35"/>
        <v>1</v>
      </c>
      <c r="AH171" s="3">
        <f t="shared" si="36"/>
        <v>1</v>
      </c>
      <c r="AI171" s="2">
        <v>1</v>
      </c>
      <c r="AJ171" s="2">
        <v>108.78</v>
      </c>
      <c r="AK171" s="2">
        <f>AJ171*0.78</f>
        <v>84.848399999999998</v>
      </c>
      <c r="AL171" s="2">
        <v>271.94</v>
      </c>
      <c r="AM171" s="2">
        <f>AL171*0.78</f>
        <v>212.11320000000001</v>
      </c>
      <c r="AN171" s="2" t="s">
        <v>61</v>
      </c>
      <c r="AO171" s="2" t="s">
        <v>61</v>
      </c>
      <c r="AP171" s="2">
        <v>78</v>
      </c>
      <c r="AQ171" s="19" t="str">
        <f t="shared" si="37"/>
        <v>2</v>
      </c>
      <c r="AR171" s="2">
        <v>1</v>
      </c>
      <c r="AS171" s="2">
        <v>1</v>
      </c>
      <c r="AT171" s="2">
        <v>1</v>
      </c>
      <c r="AU171" s="2">
        <v>1</v>
      </c>
      <c r="AV171" s="2">
        <v>1</v>
      </c>
      <c r="AW171" s="2" t="s">
        <v>61</v>
      </c>
      <c r="AX171" s="2">
        <v>1</v>
      </c>
      <c r="AY171" s="2">
        <v>2014</v>
      </c>
      <c r="AZ171" s="2">
        <f t="shared" si="38"/>
        <v>10</v>
      </c>
      <c r="BA171" s="2" t="str">
        <f t="shared" si="39"/>
        <v>2</v>
      </c>
      <c r="BB171" s="3">
        <f>(BA171+AX171+AS171+AQ171+AI171+AH171+Z171)/7</f>
        <v>1.2857142857142858</v>
      </c>
      <c r="BC171" s="2" t="s">
        <v>107</v>
      </c>
      <c r="BD171" s="8" t="s">
        <v>120</v>
      </c>
      <c r="BE171" s="2"/>
      <c r="BF171" s="2"/>
      <c r="BG171" s="2"/>
      <c r="BH171" s="2"/>
      <c r="BI171" s="2">
        <v>33044</v>
      </c>
      <c r="BJ171" s="2">
        <v>75793</v>
      </c>
      <c r="BK171" s="2">
        <v>5</v>
      </c>
    </row>
    <row r="172" spans="1:63" s="25" customFormat="1" ht="64" hidden="1" x14ac:dyDescent="0.2">
      <c r="A172" s="21">
        <v>20058389</v>
      </c>
      <c r="B172" s="21">
        <v>1079537164</v>
      </c>
      <c r="C172" s="21">
        <v>15000</v>
      </c>
      <c r="D172" s="21" t="s">
        <v>73</v>
      </c>
      <c r="E172" s="21" t="s">
        <v>565</v>
      </c>
      <c r="F172" s="21" t="s">
        <v>566</v>
      </c>
      <c r="G172" s="21" t="s">
        <v>125</v>
      </c>
      <c r="H172" s="21" t="s">
        <v>126</v>
      </c>
      <c r="I172" s="21" t="s">
        <v>81</v>
      </c>
      <c r="J172" s="21" t="s">
        <v>82</v>
      </c>
      <c r="K172" s="21" t="s">
        <v>48</v>
      </c>
      <c r="L172" s="21" t="s">
        <v>76</v>
      </c>
      <c r="M172" s="21" t="s">
        <v>60</v>
      </c>
      <c r="N172" s="21" t="s">
        <v>61</v>
      </c>
      <c r="O172" s="21" t="s">
        <v>164</v>
      </c>
      <c r="P172" s="21">
        <v>1.1000000000000001</v>
      </c>
      <c r="Q172" s="21">
        <v>0.5</v>
      </c>
      <c r="R172" s="21">
        <v>0.1</v>
      </c>
      <c r="S172" s="21">
        <v>0.3</v>
      </c>
      <c r="T172" s="21">
        <v>22</v>
      </c>
      <c r="U172" s="21">
        <v>92</v>
      </c>
      <c r="V172" s="21">
        <v>0</v>
      </c>
      <c r="W172" s="21">
        <f t="shared" si="42"/>
        <v>116</v>
      </c>
      <c r="X172" s="2" t="str">
        <f t="shared" si="31"/>
        <v>1</v>
      </c>
      <c r="Y172" s="2" t="str">
        <f t="shared" si="43"/>
        <v>1</v>
      </c>
      <c r="Z172" s="3">
        <f t="shared" si="32"/>
        <v>1</v>
      </c>
      <c r="AA172" s="21">
        <v>65</v>
      </c>
      <c r="AB172" s="21">
        <v>6</v>
      </c>
      <c r="AC172" s="21">
        <v>0.02</v>
      </c>
      <c r="AD172" s="21">
        <v>51.1</v>
      </c>
      <c r="AE172" s="21">
        <f t="shared" si="33"/>
        <v>2555</v>
      </c>
      <c r="AF172" s="21" t="str">
        <f t="shared" si="34"/>
        <v>1</v>
      </c>
      <c r="AG172" s="21" t="str">
        <f t="shared" si="35"/>
        <v>1</v>
      </c>
      <c r="AH172" s="22">
        <f t="shared" si="36"/>
        <v>1</v>
      </c>
      <c r="AI172" s="21">
        <v>1</v>
      </c>
      <c r="AJ172" s="21">
        <v>251</v>
      </c>
      <c r="AK172" s="21">
        <f>AJ172*0.42</f>
        <v>105.42</v>
      </c>
      <c r="AL172" s="21">
        <v>627.6</v>
      </c>
      <c r="AM172" s="21">
        <f>AL172*0.42</f>
        <v>263.59199999999998</v>
      </c>
      <c r="AN172" s="21" t="s">
        <v>61</v>
      </c>
      <c r="AO172" s="21" t="s">
        <v>61</v>
      </c>
      <c r="AP172" s="21">
        <v>42</v>
      </c>
      <c r="AQ172" s="23" t="str">
        <f t="shared" si="37"/>
        <v>1</v>
      </c>
      <c r="AR172" s="21">
        <v>1</v>
      </c>
      <c r="AS172" s="21">
        <v>1</v>
      </c>
      <c r="AT172" s="21">
        <v>1</v>
      </c>
      <c r="AU172" s="21">
        <v>1</v>
      </c>
      <c r="AV172" s="21">
        <v>1</v>
      </c>
      <c r="AW172" s="21">
        <v>1</v>
      </c>
      <c r="AX172" s="21">
        <v>1</v>
      </c>
      <c r="AY172" s="21">
        <v>2023</v>
      </c>
      <c r="AZ172" s="21">
        <f t="shared" si="38"/>
        <v>1</v>
      </c>
      <c r="BA172" s="21" t="str">
        <f t="shared" si="39"/>
        <v>1</v>
      </c>
      <c r="BB172" s="22">
        <f>(BA172+AX172+AS172+AQ172+AI172+AH172+Z172)/7</f>
        <v>1</v>
      </c>
      <c r="BC172" s="21" t="s">
        <v>107</v>
      </c>
      <c r="BD172" s="24" t="s">
        <v>120</v>
      </c>
      <c r="BE172" s="21"/>
      <c r="BF172" s="21"/>
      <c r="BG172" s="21"/>
      <c r="BH172" s="21"/>
      <c r="BI172" s="21">
        <v>13929</v>
      </c>
      <c r="BJ172" s="21">
        <v>87777</v>
      </c>
      <c r="BK172" s="21">
        <v>0</v>
      </c>
    </row>
    <row r="173" spans="1:63" ht="16" hidden="1" x14ac:dyDescent="0.2">
      <c r="A173" s="2">
        <v>20028382</v>
      </c>
      <c r="B173" s="2" t="s">
        <v>567</v>
      </c>
      <c r="C173" s="2">
        <v>1500</v>
      </c>
      <c r="D173" s="2" t="s">
        <v>73</v>
      </c>
      <c r="E173" s="2" t="s">
        <v>568</v>
      </c>
      <c r="F173" s="2" t="s">
        <v>569</v>
      </c>
      <c r="G173" s="2" t="s">
        <v>58</v>
      </c>
      <c r="H173" s="2" t="s">
        <v>59</v>
      </c>
      <c r="I173" s="2" t="s">
        <v>65</v>
      </c>
      <c r="J173" s="2" t="s">
        <v>61</v>
      </c>
      <c r="K173" s="2" t="s">
        <v>66</v>
      </c>
      <c r="L173" s="2" t="s">
        <v>76</v>
      </c>
      <c r="M173" s="2" t="s">
        <v>60</v>
      </c>
      <c r="N173" s="2" t="s">
        <v>61</v>
      </c>
      <c r="O173" s="2" t="s">
        <v>77</v>
      </c>
      <c r="P173" s="2">
        <v>6.2</v>
      </c>
      <c r="Q173" s="2">
        <v>9.1</v>
      </c>
      <c r="R173" s="2">
        <v>5</v>
      </c>
      <c r="S173" s="2">
        <v>2.5</v>
      </c>
      <c r="T173" s="2">
        <v>592</v>
      </c>
      <c r="U173" s="2">
        <v>8260</v>
      </c>
      <c r="V173" s="2">
        <v>0</v>
      </c>
      <c r="W173" s="2">
        <f t="shared" si="42"/>
        <v>8874.7999999999993</v>
      </c>
      <c r="X173" s="2" t="str">
        <f t="shared" si="31"/>
        <v>3</v>
      </c>
      <c r="Y173" s="2" t="str">
        <f t="shared" si="43"/>
        <v>1</v>
      </c>
      <c r="Z173" s="3">
        <f t="shared" si="32"/>
        <v>2</v>
      </c>
      <c r="AA173" s="2">
        <v>26</v>
      </c>
      <c r="AB173" s="2">
        <v>18</v>
      </c>
      <c r="AC173" s="2">
        <v>0.02</v>
      </c>
      <c r="AD173" s="2">
        <v>36.200000000000003</v>
      </c>
      <c r="AE173" s="2">
        <f t="shared" si="33"/>
        <v>1810</v>
      </c>
      <c r="AF173" s="2" t="str">
        <f t="shared" si="34"/>
        <v>3</v>
      </c>
      <c r="AG173" s="2" t="str">
        <f t="shared" si="35"/>
        <v>1</v>
      </c>
      <c r="AH173" s="3">
        <f t="shared" si="36"/>
        <v>2</v>
      </c>
      <c r="AI173" s="2">
        <v>1</v>
      </c>
      <c r="AJ173" s="2">
        <v>25.1</v>
      </c>
      <c r="AK173" s="2">
        <f>AJ173*0.71</f>
        <v>17.821000000000002</v>
      </c>
      <c r="AL173" s="2">
        <v>65.61</v>
      </c>
      <c r="AM173" s="2">
        <f>AL173*0.71</f>
        <v>46.583099999999995</v>
      </c>
      <c r="AN173" s="2" t="s">
        <v>61</v>
      </c>
      <c r="AO173" s="2" t="s">
        <v>61</v>
      </c>
      <c r="AP173" s="2">
        <v>71</v>
      </c>
      <c r="AQ173" s="19" t="str">
        <f t="shared" si="37"/>
        <v>2</v>
      </c>
      <c r="AR173" s="2">
        <v>1</v>
      </c>
      <c r="AS173" s="2">
        <v>1</v>
      </c>
      <c r="AT173" s="2">
        <v>1</v>
      </c>
      <c r="AU173" s="2">
        <v>1</v>
      </c>
      <c r="AV173" s="2">
        <v>1</v>
      </c>
      <c r="AW173" s="2" t="s">
        <v>61</v>
      </c>
      <c r="AX173" s="2">
        <v>1</v>
      </c>
      <c r="AY173" s="2">
        <v>1997</v>
      </c>
      <c r="AZ173" s="2">
        <f t="shared" si="38"/>
        <v>27</v>
      </c>
      <c r="BA173" s="2" t="str">
        <f t="shared" si="39"/>
        <v>3</v>
      </c>
      <c r="BB173" s="3">
        <f>(BA173+AX173+AS173+AQ173+AH173+Z173)/4</f>
        <v>2.75</v>
      </c>
      <c r="BC173" s="2" t="s">
        <v>111</v>
      </c>
      <c r="BD173" s="8" t="s">
        <v>570</v>
      </c>
      <c r="BE173" s="2" t="s">
        <v>571</v>
      </c>
      <c r="BF173" s="2"/>
      <c r="BG173" s="2">
        <v>35890000</v>
      </c>
      <c r="BH173" s="2"/>
      <c r="BI173" s="2">
        <v>29872</v>
      </c>
      <c r="BJ173" s="2">
        <v>86162</v>
      </c>
      <c r="BK173" s="2">
        <v>5.6</v>
      </c>
    </row>
    <row r="174" spans="1:63" ht="64" hidden="1" x14ac:dyDescent="0.2">
      <c r="A174" s="2">
        <v>20028381</v>
      </c>
      <c r="B174" s="2">
        <v>1079537199</v>
      </c>
      <c r="C174" s="2">
        <v>1000</v>
      </c>
      <c r="D174" s="2" t="s">
        <v>73</v>
      </c>
      <c r="E174" s="2" t="s">
        <v>572</v>
      </c>
      <c r="F174" s="2" t="s">
        <v>573</v>
      </c>
      <c r="G174" s="2" t="s">
        <v>58</v>
      </c>
      <c r="H174" s="2" t="s">
        <v>59</v>
      </c>
      <c r="I174" s="2" t="s">
        <v>65</v>
      </c>
      <c r="J174" s="2" t="s">
        <v>61</v>
      </c>
      <c r="K174" s="2" t="s">
        <v>66</v>
      </c>
      <c r="L174" s="2" t="s">
        <v>76</v>
      </c>
      <c r="M174" s="2" t="s">
        <v>60</v>
      </c>
      <c r="N174" s="2" t="s">
        <v>61</v>
      </c>
      <c r="O174" s="2" t="s">
        <v>77</v>
      </c>
      <c r="P174" s="21"/>
      <c r="Q174" s="21"/>
      <c r="R174" s="21"/>
      <c r="S174" s="21"/>
      <c r="T174" s="21"/>
      <c r="U174" s="21"/>
      <c r="V174" s="21"/>
      <c r="W174" s="2">
        <f t="shared" si="42"/>
        <v>0</v>
      </c>
      <c r="X174" s="2" t="str">
        <f t="shared" si="31"/>
        <v>1</v>
      </c>
      <c r="Y174" s="2" t="str">
        <f t="shared" si="43"/>
        <v>1</v>
      </c>
      <c r="Z174" s="3">
        <f t="shared" si="32"/>
        <v>1</v>
      </c>
      <c r="AA174" s="21"/>
      <c r="AB174" s="21"/>
      <c r="AC174" s="21"/>
      <c r="AD174" s="21"/>
      <c r="AE174" s="2" t="e">
        <f t="shared" si="33"/>
        <v>#DIV/0!</v>
      </c>
      <c r="AF174" s="2" t="str">
        <f t="shared" si="34"/>
        <v>5</v>
      </c>
      <c r="AG174" s="2" t="e">
        <f t="shared" si="35"/>
        <v>#DIV/0!</v>
      </c>
      <c r="AH174" s="3" t="e">
        <f t="shared" si="36"/>
        <v>#DIV/0!</v>
      </c>
      <c r="AI174" s="2">
        <v>1</v>
      </c>
      <c r="AJ174" s="2">
        <v>16.73</v>
      </c>
      <c r="AK174" s="2">
        <f>AJ174*0.25</f>
        <v>4.1825000000000001</v>
      </c>
      <c r="AL174" s="2">
        <v>41.84</v>
      </c>
      <c r="AM174" s="2">
        <f>AL174*0.25</f>
        <v>10.46</v>
      </c>
      <c r="AN174" s="2" t="s">
        <v>61</v>
      </c>
      <c r="AO174" s="2" t="s">
        <v>61</v>
      </c>
      <c r="AP174" s="2">
        <v>25</v>
      </c>
      <c r="AQ174" s="19" t="str">
        <f t="shared" si="37"/>
        <v>1</v>
      </c>
      <c r="AR174" s="2">
        <v>1</v>
      </c>
      <c r="AS174" s="2">
        <v>1</v>
      </c>
      <c r="AT174" s="2">
        <v>1</v>
      </c>
      <c r="AU174" s="2">
        <v>1</v>
      </c>
      <c r="AV174" s="2">
        <v>1</v>
      </c>
      <c r="AW174" s="2" t="s">
        <v>61</v>
      </c>
      <c r="AX174" s="2">
        <v>1</v>
      </c>
      <c r="AY174" s="2">
        <v>2023</v>
      </c>
      <c r="AZ174" s="2">
        <f t="shared" si="38"/>
        <v>1</v>
      </c>
      <c r="BA174" s="2" t="str">
        <f t="shared" si="39"/>
        <v>1</v>
      </c>
      <c r="BB174" s="3">
        <v>1</v>
      </c>
      <c r="BC174" s="2" t="s">
        <v>107</v>
      </c>
      <c r="BD174" s="8" t="s">
        <v>120</v>
      </c>
      <c r="BE174" s="2"/>
      <c r="BF174" s="2"/>
      <c r="BG174" s="2"/>
      <c r="BH174" s="2"/>
      <c r="BI174" s="21"/>
      <c r="BJ174" s="21"/>
      <c r="BK174" s="21"/>
    </row>
    <row r="175" spans="1:63" ht="48" x14ac:dyDescent="0.2">
      <c r="A175" s="2">
        <v>20700391</v>
      </c>
      <c r="B175" s="2">
        <v>21389</v>
      </c>
      <c r="C175" s="2">
        <v>4000</v>
      </c>
      <c r="D175" s="2" t="s">
        <v>73</v>
      </c>
      <c r="E175" s="5" t="s">
        <v>574</v>
      </c>
      <c r="F175" s="2" t="s">
        <v>575</v>
      </c>
      <c r="G175" s="2" t="s">
        <v>125</v>
      </c>
      <c r="H175" s="2" t="s">
        <v>126</v>
      </c>
      <c r="I175" s="2" t="s">
        <v>65</v>
      </c>
      <c r="J175" s="2" t="s">
        <v>61</v>
      </c>
      <c r="K175" s="2" t="s">
        <v>66</v>
      </c>
      <c r="L175" s="2" t="s">
        <v>76</v>
      </c>
      <c r="M175" s="2" t="s">
        <v>60</v>
      </c>
      <c r="N175" s="2" t="s">
        <v>61</v>
      </c>
      <c r="O175" s="2" t="s">
        <v>130</v>
      </c>
      <c r="P175" s="2">
        <v>213</v>
      </c>
      <c r="Q175" s="2">
        <v>54</v>
      </c>
      <c r="R175" s="2">
        <v>8.5</v>
      </c>
      <c r="S175" s="2">
        <v>33</v>
      </c>
      <c r="T175" s="2">
        <v>579</v>
      </c>
      <c r="U175" s="2">
        <v>2761</v>
      </c>
      <c r="V175" s="2">
        <v>0</v>
      </c>
      <c r="W175" s="2">
        <f t="shared" si="42"/>
        <v>3648.5</v>
      </c>
      <c r="X175" s="2" t="str">
        <f t="shared" si="31"/>
        <v>1</v>
      </c>
      <c r="Y175" s="2" t="str">
        <f t="shared" si="43"/>
        <v>1</v>
      </c>
      <c r="Z175" s="3">
        <f t="shared" si="32"/>
        <v>1</v>
      </c>
      <c r="AA175" s="2">
        <v>19</v>
      </c>
      <c r="AB175" s="2">
        <v>32</v>
      </c>
      <c r="AC175" s="2">
        <v>7.0000000000000007E-2</v>
      </c>
      <c r="AD175" s="2">
        <v>24.3</v>
      </c>
      <c r="AE175" s="2">
        <f t="shared" si="33"/>
        <v>347.14285714285711</v>
      </c>
      <c r="AF175" s="2" t="str">
        <f t="shared" si="34"/>
        <v>5</v>
      </c>
      <c r="AG175" s="2" t="str">
        <f t="shared" si="35"/>
        <v>5</v>
      </c>
      <c r="AH175" s="3">
        <f t="shared" si="36"/>
        <v>5</v>
      </c>
      <c r="AI175" s="2">
        <v>3</v>
      </c>
      <c r="AJ175" s="2">
        <v>67</v>
      </c>
      <c r="AK175" s="2">
        <f>AJ175*0.55</f>
        <v>36.85</v>
      </c>
      <c r="AL175" s="2">
        <v>167.3</v>
      </c>
      <c r="AM175" s="2">
        <f>AL175*0.55</f>
        <v>92.015000000000015</v>
      </c>
      <c r="AN175" s="2" t="s">
        <v>61</v>
      </c>
      <c r="AO175" s="2" t="s">
        <v>61</v>
      </c>
      <c r="AP175" s="2">
        <v>55</v>
      </c>
      <c r="AQ175" s="19" t="str">
        <f t="shared" si="37"/>
        <v>1</v>
      </c>
      <c r="AR175" s="2">
        <v>1</v>
      </c>
      <c r="AS175" s="2">
        <v>1</v>
      </c>
      <c r="AT175" s="2">
        <v>1</v>
      </c>
      <c r="AU175" s="2">
        <v>1</v>
      </c>
      <c r="AV175" s="2">
        <v>1</v>
      </c>
      <c r="AW175" s="2" t="s">
        <v>61</v>
      </c>
      <c r="AX175" s="2">
        <v>1</v>
      </c>
      <c r="AY175" s="2">
        <v>2010</v>
      </c>
      <c r="AZ175" s="2">
        <f t="shared" si="38"/>
        <v>14</v>
      </c>
      <c r="BA175" s="2" t="str">
        <f t="shared" si="39"/>
        <v>2</v>
      </c>
      <c r="BB175" s="3">
        <f>(BA175+AX175+AS175+AQ175+AI175+AH175+Z175)/4</f>
        <v>3.5</v>
      </c>
      <c r="BC175" s="2" t="s">
        <v>184</v>
      </c>
      <c r="BD175" s="8" t="s">
        <v>185</v>
      </c>
      <c r="BE175" s="2" t="s">
        <v>307</v>
      </c>
      <c r="BF175" s="26"/>
      <c r="BG175" s="26">
        <v>64500000</v>
      </c>
      <c r="BH175" s="26">
        <v>9000000</v>
      </c>
      <c r="BI175" s="2">
        <v>209</v>
      </c>
      <c r="BJ175" s="2">
        <v>74509</v>
      </c>
      <c r="BK175" s="2">
        <v>56</v>
      </c>
    </row>
    <row r="176" spans="1:63" s="25" customFormat="1" ht="64" hidden="1" x14ac:dyDescent="0.2">
      <c r="A176" s="21">
        <v>20700414</v>
      </c>
      <c r="B176" s="21">
        <v>1079537070</v>
      </c>
      <c r="C176" s="21">
        <v>6500</v>
      </c>
      <c r="D176" s="21" t="s">
        <v>73</v>
      </c>
      <c r="E176" s="21" t="s">
        <v>576</v>
      </c>
      <c r="F176" s="21" t="s">
        <v>577</v>
      </c>
      <c r="G176" s="21" t="s">
        <v>125</v>
      </c>
      <c r="H176" s="21" t="s">
        <v>126</v>
      </c>
      <c r="I176" s="21" t="s">
        <v>81</v>
      </c>
      <c r="J176" s="21" t="s">
        <v>82</v>
      </c>
      <c r="K176" s="21" t="s">
        <v>66</v>
      </c>
      <c r="L176" s="21" t="s">
        <v>76</v>
      </c>
      <c r="M176" s="21" t="s">
        <v>60</v>
      </c>
      <c r="N176" s="21" t="s">
        <v>61</v>
      </c>
      <c r="O176" s="21" t="s">
        <v>83</v>
      </c>
      <c r="P176" s="21">
        <v>1.2</v>
      </c>
      <c r="Q176" s="21">
        <v>0.6</v>
      </c>
      <c r="R176" s="21">
        <v>0.1</v>
      </c>
      <c r="S176" s="21">
        <v>0.2</v>
      </c>
      <c r="T176" s="21">
        <v>37</v>
      </c>
      <c r="U176" s="21">
        <v>174</v>
      </c>
      <c r="V176" s="21">
        <v>0</v>
      </c>
      <c r="W176" s="21">
        <f t="shared" si="42"/>
        <v>213.1</v>
      </c>
      <c r="X176" s="2" t="str">
        <f t="shared" si="31"/>
        <v>1</v>
      </c>
      <c r="Y176" s="2" t="str">
        <f t="shared" si="43"/>
        <v>1</v>
      </c>
      <c r="Z176" s="3">
        <f t="shared" si="32"/>
        <v>1</v>
      </c>
      <c r="AA176" s="21">
        <v>50</v>
      </c>
      <c r="AB176" s="21">
        <v>9</v>
      </c>
      <c r="AC176" s="21">
        <v>0.02</v>
      </c>
      <c r="AD176" s="21">
        <v>46.6</v>
      </c>
      <c r="AE176" s="21">
        <f t="shared" si="33"/>
        <v>2330</v>
      </c>
      <c r="AF176" s="21" t="str">
        <f t="shared" si="34"/>
        <v>1</v>
      </c>
      <c r="AG176" s="21" t="str">
        <f t="shared" si="35"/>
        <v>1</v>
      </c>
      <c r="AH176" s="22">
        <f t="shared" si="36"/>
        <v>1</v>
      </c>
      <c r="AI176" s="21">
        <v>1</v>
      </c>
      <c r="AJ176" s="21">
        <v>108.78</v>
      </c>
      <c r="AK176" s="21">
        <f>AJ176*0.68</f>
        <v>73.970400000000012</v>
      </c>
      <c r="AL176" s="21">
        <v>271.94</v>
      </c>
      <c r="AM176" s="21">
        <f>AL176*0.68</f>
        <v>184.91920000000002</v>
      </c>
      <c r="AN176" s="21" t="s">
        <v>61</v>
      </c>
      <c r="AO176" s="21" t="s">
        <v>61</v>
      </c>
      <c r="AP176" s="21">
        <v>68</v>
      </c>
      <c r="AQ176" s="23" t="str">
        <f t="shared" si="37"/>
        <v>1</v>
      </c>
      <c r="AR176" s="21">
        <v>1</v>
      </c>
      <c r="AS176" s="21">
        <v>1</v>
      </c>
      <c r="AT176" s="21">
        <v>1</v>
      </c>
      <c r="AU176" s="21">
        <v>1</v>
      </c>
      <c r="AV176" s="21">
        <v>1</v>
      </c>
      <c r="AW176" s="21" t="s">
        <v>61</v>
      </c>
      <c r="AX176" s="21">
        <v>1</v>
      </c>
      <c r="AY176" s="21">
        <v>2023</v>
      </c>
      <c r="AZ176" s="21">
        <f t="shared" si="38"/>
        <v>1</v>
      </c>
      <c r="BA176" s="21" t="str">
        <f t="shared" si="39"/>
        <v>1</v>
      </c>
      <c r="BB176" s="22">
        <f>(BA176+AX176+AS176+AQ176+AI176+AH176+Z176)/7</f>
        <v>1</v>
      </c>
      <c r="BC176" s="21" t="s">
        <v>107</v>
      </c>
      <c r="BD176" s="24" t="s">
        <v>120</v>
      </c>
      <c r="BE176" s="21"/>
      <c r="BF176" s="21"/>
      <c r="BG176" s="21"/>
      <c r="BH176" s="21"/>
      <c r="BI176" s="21">
        <v>17294</v>
      </c>
      <c r="BJ176" s="21">
        <v>57357</v>
      </c>
      <c r="BK176" s="21">
        <v>0</v>
      </c>
    </row>
    <row r="177" spans="1:63" s="25" customFormat="1" ht="64" hidden="1" x14ac:dyDescent="0.2">
      <c r="A177" s="21">
        <v>20700458</v>
      </c>
      <c r="B177" s="21">
        <v>78730113</v>
      </c>
      <c r="C177" s="21">
        <v>4000</v>
      </c>
      <c r="D177" s="21" t="s">
        <v>73</v>
      </c>
      <c r="E177" s="21" t="s">
        <v>578</v>
      </c>
      <c r="F177" s="21" t="s">
        <v>579</v>
      </c>
      <c r="G177" s="21" t="s">
        <v>125</v>
      </c>
      <c r="H177" s="21" t="s">
        <v>126</v>
      </c>
      <c r="I177" s="21" t="s">
        <v>65</v>
      </c>
      <c r="J177" s="21" t="s">
        <v>61</v>
      </c>
      <c r="K177" s="21" t="s">
        <v>66</v>
      </c>
      <c r="L177" s="21" t="s">
        <v>76</v>
      </c>
      <c r="M177" s="21" t="s">
        <v>60</v>
      </c>
      <c r="N177" s="21" t="s">
        <v>61</v>
      </c>
      <c r="O177" s="21" t="s">
        <v>130</v>
      </c>
      <c r="P177" s="21">
        <v>3.7</v>
      </c>
      <c r="Q177" s="21">
        <v>10.199999999999999</v>
      </c>
      <c r="R177" s="21">
        <v>3.1</v>
      </c>
      <c r="S177" s="21">
        <v>2.8</v>
      </c>
      <c r="T177" s="21">
        <v>1009</v>
      </c>
      <c r="U177" s="21">
        <v>3917</v>
      </c>
      <c r="V177" s="21">
        <v>0.1</v>
      </c>
      <c r="W177" s="21">
        <f t="shared" si="42"/>
        <v>4945.8</v>
      </c>
      <c r="X177" s="2" t="str">
        <f t="shared" si="31"/>
        <v>2</v>
      </c>
      <c r="Y177" s="2" t="str">
        <f t="shared" si="43"/>
        <v>1</v>
      </c>
      <c r="Z177" s="3">
        <f t="shared" si="32"/>
        <v>1.5</v>
      </c>
      <c r="AA177" s="21">
        <v>39</v>
      </c>
      <c r="AB177" s="21">
        <v>12</v>
      </c>
      <c r="AC177" s="21">
        <v>0.02</v>
      </c>
      <c r="AD177" s="21">
        <v>45.9</v>
      </c>
      <c r="AE177" s="21">
        <f t="shared" si="33"/>
        <v>2295</v>
      </c>
      <c r="AF177" s="21" t="str">
        <f t="shared" si="34"/>
        <v>1</v>
      </c>
      <c r="AG177" s="21" t="str">
        <f t="shared" si="35"/>
        <v>1</v>
      </c>
      <c r="AH177" s="22">
        <f t="shared" si="36"/>
        <v>1</v>
      </c>
      <c r="AI177" s="21">
        <v>1</v>
      </c>
      <c r="AJ177" s="21">
        <v>66.94</v>
      </c>
      <c r="AK177" s="21">
        <f>AJ177*0.55</f>
        <v>36.817</v>
      </c>
      <c r="AL177" s="21">
        <v>167.35</v>
      </c>
      <c r="AM177" s="21">
        <f>AL177*0.55</f>
        <v>92.042500000000004</v>
      </c>
      <c r="AN177" s="21" t="s">
        <v>61</v>
      </c>
      <c r="AO177" s="21" t="s">
        <v>61</v>
      </c>
      <c r="AP177" s="21">
        <v>55</v>
      </c>
      <c r="AQ177" s="23" t="str">
        <f t="shared" si="37"/>
        <v>1</v>
      </c>
      <c r="AR177" s="21">
        <v>1</v>
      </c>
      <c r="AS177" s="21">
        <v>1</v>
      </c>
      <c r="AT177" s="21">
        <v>1</v>
      </c>
      <c r="AU177" s="21">
        <v>1</v>
      </c>
      <c r="AV177" s="21">
        <v>1</v>
      </c>
      <c r="AW177" s="21" t="s">
        <v>61</v>
      </c>
      <c r="AX177" s="21">
        <v>1</v>
      </c>
      <c r="AY177" s="21">
        <v>2014</v>
      </c>
      <c r="AZ177" s="21">
        <f t="shared" si="38"/>
        <v>10</v>
      </c>
      <c r="BA177" s="21" t="str">
        <f t="shared" si="39"/>
        <v>2</v>
      </c>
      <c r="BB177" s="22">
        <f>(BA177+AX177+AS177+AQ177+AI177+AH177+Z177)/7</f>
        <v>1.2142857142857142</v>
      </c>
      <c r="BC177" s="21" t="s">
        <v>107</v>
      </c>
      <c r="BD177" s="24" t="s">
        <v>120</v>
      </c>
      <c r="BE177" s="21"/>
      <c r="BF177" s="21"/>
      <c r="BG177" s="21"/>
      <c r="BH177" s="21"/>
      <c r="BI177" s="21">
        <v>18141</v>
      </c>
      <c r="BJ177" s="21">
        <v>67970</v>
      </c>
      <c r="BK177" s="21">
        <v>4.7</v>
      </c>
    </row>
    <row r="178" spans="1:63" ht="64" hidden="1" x14ac:dyDescent="0.2">
      <c r="A178" s="2">
        <v>20700338</v>
      </c>
      <c r="B178" s="2">
        <v>32710117</v>
      </c>
      <c r="C178" s="2">
        <v>6500</v>
      </c>
      <c r="D178" s="2" t="s">
        <v>73</v>
      </c>
      <c r="E178" s="2" t="s">
        <v>580</v>
      </c>
      <c r="F178" s="2" t="s">
        <v>581</v>
      </c>
      <c r="G178" s="2" t="s">
        <v>70</v>
      </c>
      <c r="H178" s="2" t="s">
        <v>70</v>
      </c>
      <c r="I178" s="2" t="s">
        <v>81</v>
      </c>
      <c r="J178" s="2" t="s">
        <v>82</v>
      </c>
      <c r="K178" s="2" t="s">
        <v>66</v>
      </c>
      <c r="L178" s="2" t="s">
        <v>76</v>
      </c>
      <c r="M178" s="2" t="s">
        <v>60</v>
      </c>
      <c r="N178" s="2" t="s">
        <v>61</v>
      </c>
      <c r="O178" s="2" t="s">
        <v>83</v>
      </c>
      <c r="P178" s="2">
        <v>5.9</v>
      </c>
      <c r="Q178" s="2">
        <v>7.1</v>
      </c>
      <c r="R178" s="2">
        <v>7.6</v>
      </c>
      <c r="S178" s="2">
        <v>1.9</v>
      </c>
      <c r="T178" s="2">
        <v>792</v>
      </c>
      <c r="U178" s="2">
        <v>5310</v>
      </c>
      <c r="V178" s="2">
        <v>0.2</v>
      </c>
      <c r="W178" s="2">
        <f t="shared" si="42"/>
        <v>6124.5</v>
      </c>
      <c r="X178" s="2" t="str">
        <f t="shared" si="31"/>
        <v>2</v>
      </c>
      <c r="Y178" s="2" t="str">
        <f t="shared" si="43"/>
        <v>1</v>
      </c>
      <c r="Z178" s="3">
        <f t="shared" si="32"/>
        <v>1.5</v>
      </c>
      <c r="AA178" s="2">
        <v>50</v>
      </c>
      <c r="AB178" s="2">
        <v>9</v>
      </c>
      <c r="AC178" s="2">
        <v>0.02</v>
      </c>
      <c r="AD178" s="2">
        <v>38.799999999999997</v>
      </c>
      <c r="AE178" s="2">
        <f t="shared" si="33"/>
        <v>1939.9999999999998</v>
      </c>
      <c r="AF178" s="2" t="str">
        <f t="shared" si="34"/>
        <v>1</v>
      </c>
      <c r="AG178" s="2" t="str">
        <f t="shared" si="35"/>
        <v>1</v>
      </c>
      <c r="AH178" s="3">
        <f t="shared" si="36"/>
        <v>1</v>
      </c>
      <c r="AI178" s="2">
        <v>1</v>
      </c>
      <c r="AJ178" s="2">
        <v>125.09</v>
      </c>
      <c r="AK178" s="2">
        <f>AJ178*0.87</f>
        <v>108.8283</v>
      </c>
      <c r="AL178" s="2">
        <v>271.94</v>
      </c>
      <c r="AM178" s="2">
        <f>AL178*0.87</f>
        <v>236.58779999999999</v>
      </c>
      <c r="AN178" s="2" t="s">
        <v>61</v>
      </c>
      <c r="AO178" s="2" t="s">
        <v>61</v>
      </c>
      <c r="AP178" s="2">
        <v>87</v>
      </c>
      <c r="AQ178" s="19" t="str">
        <f t="shared" si="37"/>
        <v>3</v>
      </c>
      <c r="AR178" s="2">
        <v>1</v>
      </c>
      <c r="AS178" s="2">
        <v>1</v>
      </c>
      <c r="AT178" s="2">
        <v>1</v>
      </c>
      <c r="AU178" s="2">
        <v>1</v>
      </c>
      <c r="AV178" s="2">
        <v>1</v>
      </c>
      <c r="AW178" s="2" t="s">
        <v>61</v>
      </c>
      <c r="AX178" s="2">
        <v>1</v>
      </c>
      <c r="AY178" s="2">
        <v>2017</v>
      </c>
      <c r="AZ178" s="2">
        <f t="shared" si="38"/>
        <v>7</v>
      </c>
      <c r="BA178" s="2" t="str">
        <f t="shared" si="39"/>
        <v>2</v>
      </c>
      <c r="BB178" s="3">
        <f>(BA178+AX178+AS178+AQ178+AH178+Z178)/7</f>
        <v>1.3571428571428572</v>
      </c>
      <c r="BC178" s="2" t="s">
        <v>107</v>
      </c>
      <c r="BD178" s="8" t="s">
        <v>120</v>
      </c>
      <c r="BE178" s="2"/>
      <c r="BF178" s="2"/>
      <c r="BG178" s="2"/>
      <c r="BH178" s="2"/>
      <c r="BI178" s="2">
        <v>32422</v>
      </c>
      <c r="BJ178" s="2">
        <v>97263</v>
      </c>
      <c r="BK178" s="2">
        <v>5.5</v>
      </c>
    </row>
    <row r="179" spans="1:63" ht="32" hidden="1" x14ac:dyDescent="0.2">
      <c r="A179" s="2">
        <v>20700338</v>
      </c>
      <c r="B179" s="2">
        <v>338075</v>
      </c>
      <c r="C179" s="2">
        <v>6500</v>
      </c>
      <c r="D179" s="2" t="s">
        <v>73</v>
      </c>
      <c r="E179" s="2" t="s">
        <v>580</v>
      </c>
      <c r="F179" s="2" t="s">
        <v>582</v>
      </c>
      <c r="G179" s="2" t="s">
        <v>70</v>
      </c>
      <c r="H179" s="2" t="s">
        <v>70</v>
      </c>
      <c r="I179" s="2" t="s">
        <v>81</v>
      </c>
      <c r="J179" s="2" t="s">
        <v>143</v>
      </c>
      <c r="K179" s="2" t="s">
        <v>66</v>
      </c>
      <c r="L179" s="2" t="s">
        <v>76</v>
      </c>
      <c r="M179" s="2" t="s">
        <v>60</v>
      </c>
      <c r="N179" s="2" t="s">
        <v>61</v>
      </c>
      <c r="O179" s="2" t="s">
        <v>83</v>
      </c>
      <c r="P179" s="2">
        <v>5</v>
      </c>
      <c r="Q179" s="2">
        <v>51</v>
      </c>
      <c r="R179" s="2">
        <v>14.3</v>
      </c>
      <c r="S179" s="2">
        <v>16.2</v>
      </c>
      <c r="T179" s="2">
        <v>1334</v>
      </c>
      <c r="U179" s="2">
        <v>8074</v>
      </c>
      <c r="V179" s="2">
        <v>0</v>
      </c>
      <c r="W179" s="2">
        <f t="shared" si="42"/>
        <v>9494.5</v>
      </c>
      <c r="X179" s="2" t="str">
        <f t="shared" si="31"/>
        <v>3</v>
      </c>
      <c r="Y179" s="2" t="str">
        <f t="shared" si="43"/>
        <v>1</v>
      </c>
      <c r="Z179" s="3">
        <f t="shared" si="32"/>
        <v>2</v>
      </c>
      <c r="AA179" s="2">
        <v>45</v>
      </c>
      <c r="AB179" s="2">
        <v>9</v>
      </c>
      <c r="AC179" s="2">
        <v>0.02</v>
      </c>
      <c r="AD179" s="2">
        <v>36.6</v>
      </c>
      <c r="AE179" s="2">
        <f t="shared" si="33"/>
        <v>1830</v>
      </c>
      <c r="AF179" s="2" t="str">
        <f t="shared" si="34"/>
        <v>1</v>
      </c>
      <c r="AG179" s="2" t="str">
        <f t="shared" si="35"/>
        <v>1</v>
      </c>
      <c r="AH179" s="3">
        <f t="shared" si="36"/>
        <v>1</v>
      </c>
      <c r="AI179" s="2">
        <v>1</v>
      </c>
      <c r="AJ179" s="2">
        <v>125.1</v>
      </c>
      <c r="AK179" s="2">
        <f>AJ179*0.87</f>
        <v>108.83699999999999</v>
      </c>
      <c r="AL179" s="2">
        <v>271.89999999999998</v>
      </c>
      <c r="AM179" s="2">
        <f>AL179*0.87</f>
        <v>236.55299999999997</v>
      </c>
      <c r="AN179" s="2" t="s">
        <v>61</v>
      </c>
      <c r="AO179" s="2" t="s">
        <v>61</v>
      </c>
      <c r="AP179" s="2">
        <v>87</v>
      </c>
      <c r="AQ179" s="19" t="str">
        <f t="shared" si="37"/>
        <v>3</v>
      </c>
      <c r="AR179" s="2">
        <v>1</v>
      </c>
      <c r="AS179" s="2">
        <v>1</v>
      </c>
      <c r="AT179" s="2">
        <v>1</v>
      </c>
      <c r="AU179" s="2">
        <v>1</v>
      </c>
      <c r="AV179" s="2">
        <v>1</v>
      </c>
      <c r="AW179" s="2" t="s">
        <v>61</v>
      </c>
      <c r="AX179" s="2">
        <v>1</v>
      </c>
      <c r="AY179" s="2">
        <v>1991</v>
      </c>
      <c r="AZ179" s="2">
        <f t="shared" si="38"/>
        <v>33</v>
      </c>
      <c r="BA179" s="2" t="str">
        <f t="shared" si="39"/>
        <v>4</v>
      </c>
      <c r="BB179" s="3">
        <f>(BA179+AX179+AS179+AQ179+AH179+Z179)/4</f>
        <v>3</v>
      </c>
      <c r="BC179" t="s">
        <v>111</v>
      </c>
      <c r="BD179" s="8" t="s">
        <v>540</v>
      </c>
      <c r="BE179" s="2" t="s">
        <v>221</v>
      </c>
      <c r="BF179" s="2"/>
      <c r="BG179" s="2"/>
      <c r="BH179" s="2"/>
      <c r="BI179" s="2">
        <v>2951</v>
      </c>
      <c r="BJ179" s="2">
        <v>97723</v>
      </c>
      <c r="BK179" s="2">
        <v>37</v>
      </c>
    </row>
    <row r="180" spans="1:63" ht="48" x14ac:dyDescent="0.2">
      <c r="A180" s="2">
        <v>20028384</v>
      </c>
      <c r="B180" s="2">
        <v>64993953</v>
      </c>
      <c r="C180" s="2">
        <v>2000</v>
      </c>
      <c r="D180" s="2" t="s">
        <v>73</v>
      </c>
      <c r="E180" s="5" t="s">
        <v>583</v>
      </c>
      <c r="F180" s="2" t="s">
        <v>584</v>
      </c>
      <c r="G180" s="2" t="s">
        <v>58</v>
      </c>
      <c r="H180" s="2" t="s">
        <v>59</v>
      </c>
      <c r="I180" s="2" t="s">
        <v>65</v>
      </c>
      <c r="J180" s="2" t="s">
        <v>61</v>
      </c>
      <c r="K180" s="2" t="s">
        <v>66</v>
      </c>
      <c r="L180" s="2" t="s">
        <v>76</v>
      </c>
      <c r="M180" s="2" t="s">
        <v>60</v>
      </c>
      <c r="N180" s="2" t="s">
        <v>61</v>
      </c>
      <c r="O180" s="2" t="s">
        <v>77</v>
      </c>
      <c r="P180" s="2">
        <v>22</v>
      </c>
      <c r="Q180" s="2">
        <v>10.9</v>
      </c>
      <c r="R180" s="2">
        <v>19.2</v>
      </c>
      <c r="S180" s="2">
        <v>1.4</v>
      </c>
      <c r="T180" s="2">
        <v>957</v>
      </c>
      <c r="U180" s="2">
        <v>5164</v>
      </c>
      <c r="V180" s="2">
        <v>0</v>
      </c>
      <c r="W180" s="2">
        <f t="shared" si="42"/>
        <v>6174.5</v>
      </c>
      <c r="X180" s="2" t="str">
        <f t="shared" si="31"/>
        <v>2</v>
      </c>
      <c r="Y180" s="2" t="str">
        <f t="shared" si="43"/>
        <v>1</v>
      </c>
      <c r="Z180" s="3">
        <f t="shared" si="32"/>
        <v>1.5</v>
      </c>
      <c r="AA180" s="2">
        <v>13</v>
      </c>
      <c r="AB180" s="2">
        <v>60</v>
      </c>
      <c r="AC180" s="2">
        <v>0.11</v>
      </c>
      <c r="AD180" s="2">
        <v>27.6</v>
      </c>
      <c r="AE180" s="2">
        <f t="shared" si="33"/>
        <v>250.90909090909093</v>
      </c>
      <c r="AF180" s="2" t="str">
        <f t="shared" si="34"/>
        <v>5</v>
      </c>
      <c r="AG180" s="2" t="str">
        <f t="shared" si="35"/>
        <v>5</v>
      </c>
      <c r="AH180" s="3">
        <f t="shared" si="36"/>
        <v>5</v>
      </c>
      <c r="AI180" s="2">
        <v>3</v>
      </c>
      <c r="AJ180" s="2">
        <v>33.5</v>
      </c>
      <c r="AK180" s="2">
        <f>AJ180*0.64</f>
        <v>21.44</v>
      </c>
      <c r="AL180" s="2">
        <v>833.7</v>
      </c>
      <c r="AM180" s="2">
        <f>AL180*0.64</f>
        <v>533.56799999999998</v>
      </c>
      <c r="AN180" s="2" t="s">
        <v>61</v>
      </c>
      <c r="AO180" s="2" t="s">
        <v>61</v>
      </c>
      <c r="AP180" s="2">
        <v>64</v>
      </c>
      <c r="AQ180" s="19" t="str">
        <f t="shared" si="37"/>
        <v>1</v>
      </c>
      <c r="AR180" s="2">
        <v>1</v>
      </c>
      <c r="AS180" s="2">
        <v>1</v>
      </c>
      <c r="AT180" s="2">
        <v>1</v>
      </c>
      <c r="AU180" s="2">
        <v>1</v>
      </c>
      <c r="AV180" s="2">
        <v>5</v>
      </c>
      <c r="AW180" s="2" t="s">
        <v>61</v>
      </c>
      <c r="AX180" s="2">
        <v>5</v>
      </c>
      <c r="AY180" s="2">
        <v>1983</v>
      </c>
      <c r="AZ180" s="2">
        <f t="shared" si="38"/>
        <v>41</v>
      </c>
      <c r="BA180" s="2" t="str">
        <f t="shared" si="39"/>
        <v>5</v>
      </c>
      <c r="BB180" s="3">
        <f>(BA180+AX180+AS180+AQ180+AH180+Z180)/5</f>
        <v>3.7</v>
      </c>
      <c r="BC180" s="2" t="s">
        <v>184</v>
      </c>
      <c r="BD180" s="8" t="s">
        <v>185</v>
      </c>
      <c r="BE180" s="2" t="s">
        <v>585</v>
      </c>
      <c r="BF180" s="26"/>
      <c r="BG180" s="26">
        <v>64500000</v>
      </c>
      <c r="BH180" s="26">
        <v>9000000</v>
      </c>
      <c r="BI180" s="2">
        <v>3371</v>
      </c>
      <c r="BJ180" s="2">
        <v>95517</v>
      </c>
      <c r="BK180" s="2">
        <v>28</v>
      </c>
    </row>
    <row r="181" spans="1:63" s="25" customFormat="1" ht="64" hidden="1" x14ac:dyDescent="0.2">
      <c r="A181" s="21">
        <v>20058383</v>
      </c>
      <c r="B181" s="21">
        <v>224023</v>
      </c>
      <c r="C181" s="21">
        <v>3000</v>
      </c>
      <c r="D181" s="21" t="s">
        <v>73</v>
      </c>
      <c r="E181" s="21" t="s">
        <v>586</v>
      </c>
      <c r="F181" s="21" t="s">
        <v>587</v>
      </c>
      <c r="G181" s="21" t="s">
        <v>125</v>
      </c>
      <c r="H181" s="21" t="s">
        <v>126</v>
      </c>
      <c r="I181" s="21" t="s">
        <v>65</v>
      </c>
      <c r="J181" s="21" t="s">
        <v>61</v>
      </c>
      <c r="K181" s="21" t="s">
        <v>66</v>
      </c>
      <c r="L181" s="21" t="s">
        <v>76</v>
      </c>
      <c r="M181" s="21" t="s">
        <v>60</v>
      </c>
      <c r="N181" s="21" t="s">
        <v>61</v>
      </c>
      <c r="O181" s="21" t="s">
        <v>130</v>
      </c>
      <c r="P181" s="21">
        <v>0.8</v>
      </c>
      <c r="Q181" s="21">
        <v>0.3</v>
      </c>
      <c r="R181" s="21">
        <v>0.1</v>
      </c>
      <c r="S181" s="21">
        <v>0.1</v>
      </c>
      <c r="T181" s="21">
        <v>3.8</v>
      </c>
      <c r="U181" s="21">
        <v>37</v>
      </c>
      <c r="V181" s="21">
        <v>0</v>
      </c>
      <c r="W181" s="21">
        <f t="shared" si="42"/>
        <v>42.1</v>
      </c>
      <c r="X181" s="2" t="str">
        <f t="shared" si="31"/>
        <v>1</v>
      </c>
      <c r="Y181" s="2" t="str">
        <f t="shared" si="43"/>
        <v>1</v>
      </c>
      <c r="Z181" s="3">
        <f t="shared" si="32"/>
        <v>1</v>
      </c>
      <c r="AA181" s="21">
        <v>56</v>
      </c>
      <c r="AB181" s="21">
        <v>13</v>
      </c>
      <c r="AC181" s="21">
        <v>0.02</v>
      </c>
      <c r="AD181" s="21">
        <v>49.7</v>
      </c>
      <c r="AE181" s="21">
        <f t="shared" si="33"/>
        <v>2485</v>
      </c>
      <c r="AF181" s="21" t="str">
        <f t="shared" si="34"/>
        <v>1</v>
      </c>
      <c r="AG181" s="21" t="str">
        <f t="shared" si="35"/>
        <v>1</v>
      </c>
      <c r="AH181" s="22">
        <f t="shared" si="36"/>
        <v>1</v>
      </c>
      <c r="AI181" s="21">
        <v>2</v>
      </c>
      <c r="AJ181" s="21">
        <v>50.2</v>
      </c>
      <c r="AK181" s="21">
        <f>AJ181*0.83</f>
        <v>41.665999999999997</v>
      </c>
      <c r="AL181" s="21">
        <v>125.51</v>
      </c>
      <c r="AM181" s="21">
        <f>AL181*0.83</f>
        <v>104.1733</v>
      </c>
      <c r="AN181" s="21" t="s">
        <v>61</v>
      </c>
      <c r="AO181" s="21" t="s">
        <v>61</v>
      </c>
      <c r="AP181" s="21">
        <v>83</v>
      </c>
      <c r="AQ181" s="23" t="str">
        <f t="shared" si="37"/>
        <v>3</v>
      </c>
      <c r="AR181" s="21">
        <v>1</v>
      </c>
      <c r="AS181" s="21">
        <v>1</v>
      </c>
      <c r="AT181" s="21">
        <v>1</v>
      </c>
      <c r="AU181" s="21">
        <v>1</v>
      </c>
      <c r="AV181" s="21">
        <v>1</v>
      </c>
      <c r="AW181" s="21" t="s">
        <v>61</v>
      </c>
      <c r="AX181" s="21">
        <v>1</v>
      </c>
      <c r="AY181" s="21">
        <v>2011</v>
      </c>
      <c r="AZ181" s="21">
        <f t="shared" si="38"/>
        <v>13</v>
      </c>
      <c r="BA181" s="21" t="str">
        <f t="shared" si="39"/>
        <v>2</v>
      </c>
      <c r="BB181" s="22">
        <f>(BA181+AX181+AS181+AQ181+AH181+Z181)/7</f>
        <v>1.2857142857142858</v>
      </c>
      <c r="BC181" s="21" t="s">
        <v>107</v>
      </c>
      <c r="BD181" s="24" t="s">
        <v>120</v>
      </c>
      <c r="BE181" s="21"/>
      <c r="BF181" s="21"/>
      <c r="BG181" s="21"/>
      <c r="BH181" s="21"/>
      <c r="BI181" s="21">
        <v>527</v>
      </c>
      <c r="BJ181" s="21">
        <v>3710</v>
      </c>
      <c r="BK181" s="21">
        <v>0.1</v>
      </c>
    </row>
    <row r="182" spans="1:63" s="25" customFormat="1" ht="48" hidden="1" x14ac:dyDescent="0.2">
      <c r="A182" s="21">
        <v>20038370</v>
      </c>
      <c r="B182" s="21" t="s">
        <v>588</v>
      </c>
      <c r="C182" s="21">
        <v>60000</v>
      </c>
      <c r="D182" s="21" t="s">
        <v>134</v>
      </c>
      <c r="E182" s="21" t="s">
        <v>589</v>
      </c>
      <c r="F182" s="21" t="s">
        <v>590</v>
      </c>
      <c r="G182" s="21" t="s">
        <v>125</v>
      </c>
      <c r="H182" s="21" t="s">
        <v>148</v>
      </c>
      <c r="I182" s="21" t="s">
        <v>81</v>
      </c>
      <c r="J182" s="21" t="s">
        <v>143</v>
      </c>
      <c r="K182" s="21" t="s">
        <v>48</v>
      </c>
      <c r="L182" s="21">
        <v>110</v>
      </c>
      <c r="M182" s="21" t="s">
        <v>137</v>
      </c>
      <c r="N182" s="21" t="s">
        <v>60</v>
      </c>
      <c r="O182" s="21" t="s">
        <v>138</v>
      </c>
      <c r="P182" s="21">
        <v>5.4</v>
      </c>
      <c r="Q182" s="21">
        <v>50</v>
      </c>
      <c r="R182" s="21">
        <v>67</v>
      </c>
      <c r="S182" s="21">
        <v>15.6</v>
      </c>
      <c r="T182" s="21">
        <v>1010</v>
      </c>
      <c r="U182" s="21">
        <v>5174</v>
      </c>
      <c r="V182" s="21">
        <v>0</v>
      </c>
      <c r="W182" s="21">
        <f t="shared" si="42"/>
        <v>6322</v>
      </c>
      <c r="X182" s="21" t="str">
        <f t="shared" si="31"/>
        <v>3</v>
      </c>
      <c r="Y182" s="21" t="str">
        <f t="shared" si="43"/>
        <v>1</v>
      </c>
      <c r="Z182" s="22">
        <f t="shared" si="32"/>
        <v>2</v>
      </c>
      <c r="AA182" s="21">
        <v>54</v>
      </c>
      <c r="AB182" s="21">
        <v>9</v>
      </c>
      <c r="AC182" s="21">
        <v>0.02</v>
      </c>
      <c r="AD182" s="21">
        <v>34.5</v>
      </c>
      <c r="AE182" s="21">
        <f t="shared" si="33"/>
        <v>1725</v>
      </c>
      <c r="AF182" s="21" t="str">
        <f t="shared" si="34"/>
        <v>1</v>
      </c>
      <c r="AG182" s="21" t="str">
        <f t="shared" si="35"/>
        <v>1</v>
      </c>
      <c r="AH182" s="22">
        <f t="shared" si="36"/>
        <v>1</v>
      </c>
      <c r="AI182" s="21">
        <v>3</v>
      </c>
      <c r="AJ182" s="21">
        <v>315</v>
      </c>
      <c r="AK182" s="21">
        <f>AJ182*0.54</f>
        <v>170.10000000000002</v>
      </c>
      <c r="AL182" s="21">
        <v>502</v>
      </c>
      <c r="AM182" s="21">
        <f>AL182*0.56</f>
        <v>281.12</v>
      </c>
      <c r="AN182" s="21">
        <v>1255.2</v>
      </c>
      <c r="AO182" s="21">
        <f>AN182*0.53</f>
        <v>665.25600000000009</v>
      </c>
      <c r="AP182" s="21">
        <v>56</v>
      </c>
      <c r="AQ182" s="23" t="str">
        <f t="shared" si="37"/>
        <v>1</v>
      </c>
      <c r="AR182" s="21">
        <v>1</v>
      </c>
      <c r="AS182" s="21">
        <v>1</v>
      </c>
      <c r="AT182" s="21">
        <v>1</v>
      </c>
      <c r="AU182" s="21">
        <v>1</v>
      </c>
      <c r="AV182" s="21">
        <v>1</v>
      </c>
      <c r="AW182" s="21">
        <v>1</v>
      </c>
      <c r="AX182" s="21">
        <v>1</v>
      </c>
      <c r="AY182" s="21">
        <v>1990</v>
      </c>
      <c r="AZ182" s="21">
        <f t="shared" si="38"/>
        <v>34</v>
      </c>
      <c r="BA182" s="21" t="str">
        <f t="shared" si="39"/>
        <v>4</v>
      </c>
      <c r="BB182" s="22">
        <f>(BA182+AX182+AS182+AQ182+AH182+Z182)/4</f>
        <v>2.5</v>
      </c>
      <c r="BC182" s="40" t="s">
        <v>111</v>
      </c>
      <c r="BD182" s="24" t="s">
        <v>256</v>
      </c>
      <c r="BE182" s="21" t="s">
        <v>591</v>
      </c>
      <c r="BF182" s="21"/>
      <c r="BG182" s="21"/>
      <c r="BH182" s="21"/>
      <c r="BI182" s="21">
        <v>2486</v>
      </c>
      <c r="BJ182" s="21">
        <v>98978</v>
      </c>
      <c r="BK182" s="21">
        <v>55</v>
      </c>
    </row>
    <row r="183" spans="1:63" ht="64" hidden="1" x14ac:dyDescent="0.2">
      <c r="A183" s="2">
        <v>20700079</v>
      </c>
      <c r="B183" s="2" t="s">
        <v>592</v>
      </c>
      <c r="C183" s="2">
        <v>2500</v>
      </c>
      <c r="D183" s="2" t="s">
        <v>73</v>
      </c>
      <c r="E183" s="2" t="s">
        <v>593</v>
      </c>
      <c r="F183" s="2" t="s">
        <v>594</v>
      </c>
      <c r="G183" s="2" t="s">
        <v>58</v>
      </c>
      <c r="H183" s="2" t="s">
        <v>59</v>
      </c>
      <c r="I183" s="2" t="s">
        <v>65</v>
      </c>
      <c r="J183" s="2" t="s">
        <v>61</v>
      </c>
      <c r="K183" s="2" t="s">
        <v>66</v>
      </c>
      <c r="L183" s="2" t="s">
        <v>76</v>
      </c>
      <c r="M183" s="2" t="s">
        <v>60</v>
      </c>
      <c r="N183" s="2" t="s">
        <v>61</v>
      </c>
      <c r="O183" s="2" t="s">
        <v>77</v>
      </c>
      <c r="P183" s="2">
        <v>8.6999999999999993</v>
      </c>
      <c r="Q183" s="2">
        <v>5.5</v>
      </c>
      <c r="R183" s="2">
        <v>0.9</v>
      </c>
      <c r="S183" s="2">
        <v>0.6</v>
      </c>
      <c r="T183" s="2">
        <v>613</v>
      </c>
      <c r="U183" s="2">
        <v>1584</v>
      </c>
      <c r="V183" s="2">
        <v>0.4</v>
      </c>
      <c r="W183" s="2">
        <f t="shared" si="42"/>
        <v>2212.6999999999998</v>
      </c>
      <c r="X183" s="2" t="str">
        <f t="shared" si="31"/>
        <v>1</v>
      </c>
      <c r="Y183" s="2" t="str">
        <f t="shared" si="43"/>
        <v>1</v>
      </c>
      <c r="Z183" s="3">
        <f t="shared" si="32"/>
        <v>1</v>
      </c>
      <c r="AA183" s="2">
        <v>52</v>
      </c>
      <c r="AB183" s="2">
        <v>12</v>
      </c>
      <c r="AC183" s="2">
        <v>0.02</v>
      </c>
      <c r="AD183" s="2">
        <v>35.799999999999997</v>
      </c>
      <c r="AE183" s="2">
        <f t="shared" si="33"/>
        <v>1789.9999999999998</v>
      </c>
      <c r="AF183" s="2" t="str">
        <f t="shared" si="34"/>
        <v>1</v>
      </c>
      <c r="AG183" s="2" t="str">
        <f t="shared" si="35"/>
        <v>1</v>
      </c>
      <c r="AH183" s="3">
        <f t="shared" si="36"/>
        <v>1</v>
      </c>
      <c r="AI183" s="2">
        <v>1</v>
      </c>
      <c r="AJ183" s="2">
        <v>41.84</v>
      </c>
      <c r="AK183" s="2">
        <f>AJ183*0.68</f>
        <v>28.451200000000004</v>
      </c>
      <c r="AL183" s="2">
        <v>104.6</v>
      </c>
      <c r="AM183" s="2">
        <f>AL183*0.68</f>
        <v>71.128</v>
      </c>
      <c r="AN183" s="2" t="s">
        <v>61</v>
      </c>
      <c r="AO183" s="2" t="s">
        <v>61</v>
      </c>
      <c r="AP183" s="2">
        <v>68</v>
      </c>
      <c r="AQ183" s="19" t="str">
        <f t="shared" si="37"/>
        <v>1</v>
      </c>
      <c r="AR183" s="2">
        <v>1</v>
      </c>
      <c r="AS183" s="2">
        <v>1</v>
      </c>
      <c r="AT183" s="2">
        <v>1</v>
      </c>
      <c r="AU183" s="2">
        <v>1</v>
      </c>
      <c r="AV183" s="2">
        <v>1</v>
      </c>
      <c r="AW183" s="2" t="s">
        <v>61</v>
      </c>
      <c r="AX183" s="2">
        <v>1</v>
      </c>
      <c r="AY183" s="2">
        <v>2022</v>
      </c>
      <c r="AZ183" s="2">
        <f t="shared" si="38"/>
        <v>2</v>
      </c>
      <c r="BA183" s="2" t="str">
        <f t="shared" si="39"/>
        <v>1</v>
      </c>
      <c r="BB183" s="3">
        <f>(BA183+AX183+AS183+AQ183+AH183+Z183)/7</f>
        <v>0.8571428571428571</v>
      </c>
      <c r="BC183" s="2" t="s">
        <v>107</v>
      </c>
      <c r="BD183" s="8" t="s">
        <v>120</v>
      </c>
      <c r="BE183" s="2"/>
      <c r="BF183" s="2"/>
      <c r="BG183" s="2"/>
      <c r="BH183" s="2"/>
      <c r="BI183" s="2">
        <v>16867</v>
      </c>
      <c r="BJ183" s="2">
        <v>80279</v>
      </c>
      <c r="BK183" s="2">
        <v>0.9</v>
      </c>
    </row>
    <row r="184" spans="1:63" ht="64" hidden="1" x14ac:dyDescent="0.2">
      <c r="A184" s="2">
        <v>20700518</v>
      </c>
      <c r="B184" s="2">
        <v>200102</v>
      </c>
      <c r="C184" s="2">
        <v>6500</v>
      </c>
      <c r="D184" s="2" t="s">
        <v>73</v>
      </c>
      <c r="E184" s="2" t="s">
        <v>595</v>
      </c>
      <c r="F184" s="2" t="s">
        <v>596</v>
      </c>
      <c r="G184" s="2" t="s">
        <v>70</v>
      </c>
      <c r="H184" s="2" t="s">
        <v>70</v>
      </c>
      <c r="I184" s="2" t="s">
        <v>81</v>
      </c>
      <c r="J184" s="2" t="s">
        <v>143</v>
      </c>
      <c r="K184" s="2" t="s">
        <v>66</v>
      </c>
      <c r="L184" s="2" t="s">
        <v>76</v>
      </c>
      <c r="M184" s="2" t="s">
        <v>60</v>
      </c>
      <c r="N184" s="2" t="s">
        <v>61</v>
      </c>
      <c r="O184" s="2" t="s">
        <v>83</v>
      </c>
      <c r="P184" s="2">
        <v>5.3</v>
      </c>
      <c r="Q184" s="2">
        <v>19.600000000000001</v>
      </c>
      <c r="R184" s="2">
        <v>6.2</v>
      </c>
      <c r="S184" s="2">
        <v>6.4</v>
      </c>
      <c r="T184" s="2">
        <v>554</v>
      </c>
      <c r="U184" s="2">
        <v>11000</v>
      </c>
      <c r="V184" s="2">
        <v>0</v>
      </c>
      <c r="W184" s="2">
        <f t="shared" si="42"/>
        <v>11591.5</v>
      </c>
      <c r="X184" s="2" t="str">
        <f t="shared" si="31"/>
        <v>3</v>
      </c>
      <c r="Y184" s="2" t="str">
        <f t="shared" si="43"/>
        <v>1</v>
      </c>
      <c r="Z184" s="3">
        <f t="shared" si="32"/>
        <v>2</v>
      </c>
      <c r="AA184" s="2">
        <v>56</v>
      </c>
      <c r="AB184" s="2">
        <v>13</v>
      </c>
      <c r="AC184" s="2">
        <v>0.02</v>
      </c>
      <c r="AD184" s="2">
        <v>49.7</v>
      </c>
      <c r="AE184" s="2">
        <f t="shared" si="33"/>
        <v>2485</v>
      </c>
      <c r="AF184" s="2" t="str">
        <f t="shared" si="34"/>
        <v>1</v>
      </c>
      <c r="AG184" s="2" t="str">
        <f t="shared" si="35"/>
        <v>1</v>
      </c>
      <c r="AH184" s="3">
        <f t="shared" si="36"/>
        <v>1</v>
      </c>
      <c r="AI184" s="2">
        <v>1</v>
      </c>
      <c r="AJ184" s="2">
        <v>108.7</v>
      </c>
      <c r="AK184" s="2">
        <f>AJ184*0.48</f>
        <v>52.176000000000002</v>
      </c>
      <c r="AL184" s="2">
        <v>271.89999999999998</v>
      </c>
      <c r="AM184" s="2">
        <f>AL184*0.48</f>
        <v>130.51199999999997</v>
      </c>
      <c r="AN184" s="2" t="s">
        <v>61</v>
      </c>
      <c r="AO184" s="2" t="s">
        <v>61</v>
      </c>
      <c r="AP184" s="2">
        <v>48</v>
      </c>
      <c r="AQ184" s="19" t="str">
        <f t="shared" si="37"/>
        <v>1</v>
      </c>
      <c r="AR184" s="2">
        <v>1</v>
      </c>
      <c r="AS184" s="2">
        <v>1</v>
      </c>
      <c r="AT184" s="2">
        <v>1</v>
      </c>
      <c r="AU184" s="2">
        <v>1</v>
      </c>
      <c r="AV184" s="2">
        <v>1</v>
      </c>
      <c r="AW184" s="2" t="s">
        <v>61</v>
      </c>
      <c r="AX184" s="2">
        <v>1</v>
      </c>
      <c r="AY184" s="2">
        <v>1999</v>
      </c>
      <c r="AZ184" s="2">
        <f t="shared" si="38"/>
        <v>25</v>
      </c>
      <c r="BA184" s="2" t="str">
        <f t="shared" si="39"/>
        <v>3</v>
      </c>
      <c r="BB184" s="3">
        <f>(BA184+AX184+AS184+AQ184+AH184+Z184)/7</f>
        <v>1.2857142857142858</v>
      </c>
      <c r="BC184" s="2" t="s">
        <v>107</v>
      </c>
      <c r="BD184" s="8" t="s">
        <v>120</v>
      </c>
      <c r="BE184" s="2"/>
      <c r="BF184" s="2"/>
      <c r="BG184" s="2"/>
      <c r="BH184" s="2"/>
      <c r="BI184" s="2">
        <v>20053</v>
      </c>
      <c r="BJ184" s="2">
        <v>751388</v>
      </c>
      <c r="BK184" s="2">
        <v>0</v>
      </c>
    </row>
    <row r="185" spans="1:63" hidden="1" x14ac:dyDescent="0.2">
      <c r="A185" s="2">
        <v>20038367</v>
      </c>
      <c r="B185" s="2">
        <v>200026</v>
      </c>
      <c r="C185" s="2">
        <v>30000</v>
      </c>
      <c r="D185" s="2" t="s">
        <v>152</v>
      </c>
      <c r="E185" s="2" t="s">
        <v>597</v>
      </c>
      <c r="F185" s="2" t="s">
        <v>598</v>
      </c>
      <c r="G185" s="2" t="s">
        <v>125</v>
      </c>
      <c r="H185" s="2" t="s">
        <v>148</v>
      </c>
      <c r="I185" s="2" t="s">
        <v>81</v>
      </c>
      <c r="J185" s="2" t="s">
        <v>143</v>
      </c>
      <c r="K185" s="2" t="s">
        <v>48</v>
      </c>
      <c r="L185" s="2">
        <v>110</v>
      </c>
      <c r="M185" s="2" t="s">
        <v>137</v>
      </c>
      <c r="N185" s="2" t="s">
        <v>60</v>
      </c>
      <c r="O185" s="2" t="s">
        <v>243</v>
      </c>
      <c r="P185" s="2">
        <v>0</v>
      </c>
      <c r="Q185" s="2">
        <v>0.5</v>
      </c>
      <c r="R185" s="2">
        <v>0.2</v>
      </c>
      <c r="S185" s="2">
        <v>0.1</v>
      </c>
      <c r="T185" s="2">
        <v>5</v>
      </c>
      <c r="U185" s="2">
        <v>51</v>
      </c>
      <c r="V185" s="2">
        <v>0</v>
      </c>
      <c r="W185" s="2">
        <f t="shared" si="42"/>
        <v>56.8</v>
      </c>
      <c r="X185" s="2" t="str">
        <f t="shared" si="31"/>
        <v>1</v>
      </c>
      <c r="Y185" s="2" t="str">
        <f t="shared" si="43"/>
        <v>1</v>
      </c>
      <c r="Z185" s="3">
        <f t="shared" si="32"/>
        <v>1</v>
      </c>
      <c r="AA185" s="2">
        <v>54</v>
      </c>
      <c r="AB185" s="2">
        <v>7</v>
      </c>
      <c r="AC185" s="2">
        <v>0.02</v>
      </c>
      <c r="AD185" s="2">
        <v>41.6</v>
      </c>
      <c r="AE185" s="3">
        <f t="shared" si="33"/>
        <v>2080</v>
      </c>
      <c r="AF185" s="2" t="str">
        <f t="shared" si="34"/>
        <v>1</v>
      </c>
      <c r="AG185" s="2" t="str">
        <f t="shared" si="35"/>
        <v>1</v>
      </c>
      <c r="AH185" s="3">
        <f t="shared" si="36"/>
        <v>1</v>
      </c>
      <c r="AI185" s="2">
        <v>1</v>
      </c>
      <c r="AJ185" s="2">
        <v>157.5</v>
      </c>
      <c r="AK185" s="2">
        <f>AJ185*0.55</f>
        <v>86.625</v>
      </c>
      <c r="AL185" s="2">
        <v>334.7</v>
      </c>
      <c r="AM185" s="2">
        <f>AL185*0.52</f>
        <v>174.04400000000001</v>
      </c>
      <c r="AN185" s="2">
        <v>627.6</v>
      </c>
      <c r="AO185" s="2">
        <f>AN185*0.42</f>
        <v>263.59199999999998</v>
      </c>
      <c r="AP185" s="2">
        <v>55</v>
      </c>
      <c r="AQ185" s="19" t="str">
        <f t="shared" si="37"/>
        <v>1</v>
      </c>
      <c r="AR185" s="2">
        <v>1</v>
      </c>
      <c r="AS185" s="2">
        <v>1</v>
      </c>
      <c r="AT185" s="2">
        <v>1</v>
      </c>
      <c r="AU185" s="2">
        <v>1</v>
      </c>
      <c r="AV185" s="2">
        <v>1</v>
      </c>
      <c r="AW185" s="2">
        <v>1</v>
      </c>
      <c r="AX185" s="2">
        <v>1</v>
      </c>
      <c r="AY185" s="2">
        <v>1998</v>
      </c>
      <c r="AZ185" s="2">
        <f t="shared" si="38"/>
        <v>26</v>
      </c>
      <c r="BA185" s="2" t="str">
        <f t="shared" si="39"/>
        <v>3</v>
      </c>
      <c r="BB185" s="3">
        <f>(BA185+AX185+AS185+AQ185+AH185+Z185)/3</f>
        <v>2.6666666666666665</v>
      </c>
      <c r="BC185" s="2" t="s">
        <v>111</v>
      </c>
      <c r="BD185" s="2" t="s">
        <v>220</v>
      </c>
      <c r="BE185" s="2" t="s">
        <v>221</v>
      </c>
      <c r="BF185" s="2"/>
      <c r="BG185" s="2"/>
      <c r="BH185" s="2"/>
      <c r="BI185" s="2">
        <v>10137</v>
      </c>
      <c r="BJ185" s="2">
        <v>36206</v>
      </c>
      <c r="BK185" s="2">
        <v>0</v>
      </c>
    </row>
    <row r="186" spans="1:63" s="25" customFormat="1" ht="16" hidden="1" x14ac:dyDescent="0.2">
      <c r="A186" s="21">
        <v>20038380</v>
      </c>
      <c r="B186" s="21">
        <v>200727</v>
      </c>
      <c r="C186" s="21">
        <v>15000</v>
      </c>
      <c r="D186" s="21" t="s">
        <v>73</v>
      </c>
      <c r="E186" s="21" t="s">
        <v>599</v>
      </c>
      <c r="F186" s="21" t="s">
        <v>600</v>
      </c>
      <c r="G186" s="21" t="s">
        <v>125</v>
      </c>
      <c r="H186" s="21" t="s">
        <v>148</v>
      </c>
      <c r="I186" s="21" t="s">
        <v>81</v>
      </c>
      <c r="J186" s="21" t="s">
        <v>82</v>
      </c>
      <c r="K186" s="21" t="s">
        <v>48</v>
      </c>
      <c r="L186" s="21" t="s">
        <v>76</v>
      </c>
      <c r="M186" s="21" t="s">
        <v>60</v>
      </c>
      <c r="N186" s="21" t="s">
        <v>61</v>
      </c>
      <c r="O186" s="21" t="s">
        <v>164</v>
      </c>
      <c r="P186" s="21">
        <v>0.7</v>
      </c>
      <c r="Q186" s="21">
        <v>0.4</v>
      </c>
      <c r="R186" s="21">
        <v>0.1</v>
      </c>
      <c r="S186" s="21">
        <v>0.2</v>
      </c>
      <c r="T186" s="21">
        <v>3</v>
      </c>
      <c r="U186" s="21">
        <v>49</v>
      </c>
      <c r="V186" s="21">
        <v>0</v>
      </c>
      <c r="W186" s="21">
        <f t="shared" si="42"/>
        <v>53.4</v>
      </c>
      <c r="X186" s="2" t="str">
        <f t="shared" si="31"/>
        <v>1</v>
      </c>
      <c r="Y186" s="2" t="str">
        <f t="shared" si="43"/>
        <v>1</v>
      </c>
      <c r="Z186" s="3">
        <f t="shared" si="32"/>
        <v>1</v>
      </c>
      <c r="AA186" s="21">
        <v>55</v>
      </c>
      <c r="AB186" s="21">
        <v>4</v>
      </c>
      <c r="AC186" s="21">
        <v>0.02</v>
      </c>
      <c r="AD186" s="21">
        <v>48.1</v>
      </c>
      <c r="AE186" s="21">
        <f t="shared" si="33"/>
        <v>2405</v>
      </c>
      <c r="AF186" s="21" t="str">
        <f t="shared" si="34"/>
        <v>1</v>
      </c>
      <c r="AG186" s="21" t="str">
        <f t="shared" si="35"/>
        <v>1</v>
      </c>
      <c r="AH186" s="22">
        <f t="shared" si="36"/>
        <v>1</v>
      </c>
      <c r="AI186" s="21">
        <v>5</v>
      </c>
      <c r="AJ186" s="21">
        <v>251</v>
      </c>
      <c r="AK186" s="21">
        <f>AJ186*0.84</f>
        <v>210.84</v>
      </c>
      <c r="AL186" s="21">
        <v>627.6</v>
      </c>
      <c r="AM186" s="21">
        <f>AL186*0.84</f>
        <v>527.18399999999997</v>
      </c>
      <c r="AN186" s="21" t="s">
        <v>61</v>
      </c>
      <c r="AO186" s="21" t="s">
        <v>61</v>
      </c>
      <c r="AP186" s="21">
        <v>84</v>
      </c>
      <c r="AQ186" s="23" t="str">
        <f t="shared" si="37"/>
        <v>3</v>
      </c>
      <c r="AR186" s="21">
        <v>1</v>
      </c>
      <c r="AS186" s="21">
        <v>1</v>
      </c>
      <c r="AT186" s="21">
        <v>1</v>
      </c>
      <c r="AU186" s="21">
        <v>1</v>
      </c>
      <c r="AV186" s="21">
        <v>1</v>
      </c>
      <c r="AW186" s="21">
        <v>1</v>
      </c>
      <c r="AX186" s="21">
        <v>1</v>
      </c>
      <c r="AY186" s="21">
        <v>2009</v>
      </c>
      <c r="AZ186" s="21">
        <f t="shared" si="38"/>
        <v>15</v>
      </c>
      <c r="BA186" s="21" t="str">
        <f t="shared" si="39"/>
        <v>2</v>
      </c>
      <c r="BB186" s="22">
        <f>(BA186+AX186+AS186+AQ186+AH186+Z186)/3</f>
        <v>3</v>
      </c>
      <c r="BC186" s="21" t="s">
        <v>111</v>
      </c>
      <c r="BD186" s="24" t="s">
        <v>601</v>
      </c>
      <c r="BE186" s="21" t="s">
        <v>602</v>
      </c>
      <c r="BF186" s="21"/>
      <c r="BG186" s="21">
        <v>69800000</v>
      </c>
      <c r="BH186" s="21">
        <v>15000000</v>
      </c>
      <c r="BI186" s="21">
        <v>914</v>
      </c>
      <c r="BJ186" s="21">
        <v>2296</v>
      </c>
      <c r="BK186" s="21">
        <v>0</v>
      </c>
    </row>
    <row r="187" spans="1:63" ht="80" hidden="1" x14ac:dyDescent="0.2">
      <c r="A187" s="2">
        <v>20038385</v>
      </c>
      <c r="B187" s="2">
        <v>78710113</v>
      </c>
      <c r="C187" s="2">
        <v>4000</v>
      </c>
      <c r="D187" s="2" t="s">
        <v>73</v>
      </c>
      <c r="E187" s="2" t="s">
        <v>148</v>
      </c>
      <c r="F187" s="2" t="s">
        <v>603</v>
      </c>
      <c r="G187" s="2" t="s">
        <v>125</v>
      </c>
      <c r="H187" s="2" t="s">
        <v>148</v>
      </c>
      <c r="I187" s="2" t="s">
        <v>65</v>
      </c>
      <c r="J187" s="2" t="s">
        <v>82</v>
      </c>
      <c r="K187" s="2" t="s">
        <v>66</v>
      </c>
      <c r="L187" s="2">
        <v>30</v>
      </c>
      <c r="M187" s="2" t="s">
        <v>60</v>
      </c>
      <c r="N187" s="2" t="s">
        <v>61</v>
      </c>
      <c r="O187" s="2" t="s">
        <v>130</v>
      </c>
      <c r="P187" s="2">
        <v>1.5</v>
      </c>
      <c r="Q187" s="2">
        <v>2.2000000000000002</v>
      </c>
      <c r="R187" s="2">
        <v>5.3</v>
      </c>
      <c r="S187" s="2">
        <v>0.9</v>
      </c>
      <c r="T187" s="2">
        <v>113</v>
      </c>
      <c r="U187" s="2">
        <v>1928</v>
      </c>
      <c r="V187" s="2">
        <v>0</v>
      </c>
      <c r="W187" s="2">
        <f t="shared" si="42"/>
        <v>2050.9</v>
      </c>
      <c r="X187" s="2" t="str">
        <f t="shared" si="31"/>
        <v>1</v>
      </c>
      <c r="Y187" s="2" t="str">
        <f t="shared" si="43"/>
        <v>1</v>
      </c>
      <c r="Z187" s="3">
        <f t="shared" si="32"/>
        <v>1</v>
      </c>
      <c r="AA187" s="2">
        <v>43</v>
      </c>
      <c r="AB187" s="2">
        <v>9</v>
      </c>
      <c r="AC187" s="2">
        <v>0.02</v>
      </c>
      <c r="AD187" s="2">
        <v>43.5</v>
      </c>
      <c r="AE187" s="2">
        <f t="shared" si="33"/>
        <v>2175</v>
      </c>
      <c r="AF187" s="2" t="str">
        <f t="shared" si="34"/>
        <v>1</v>
      </c>
      <c r="AG187" s="2" t="str">
        <f t="shared" si="35"/>
        <v>1</v>
      </c>
      <c r="AH187" s="3">
        <f t="shared" si="36"/>
        <v>1</v>
      </c>
      <c r="AI187" s="2">
        <v>3</v>
      </c>
      <c r="AJ187" s="2">
        <v>76.98</v>
      </c>
      <c r="AK187" s="2">
        <f>AJ187*0.83</f>
        <v>63.8934</v>
      </c>
      <c r="AL187" s="2">
        <v>167.35</v>
      </c>
      <c r="AM187" s="2">
        <f>AL187*0.83</f>
        <v>138.90049999999999</v>
      </c>
      <c r="AN187" s="2" t="s">
        <v>61</v>
      </c>
      <c r="AO187" s="2" t="s">
        <v>61</v>
      </c>
      <c r="AP187" s="2">
        <v>83</v>
      </c>
      <c r="AQ187" s="19" t="str">
        <f t="shared" si="37"/>
        <v>3</v>
      </c>
      <c r="AR187" s="2">
        <v>1</v>
      </c>
      <c r="AS187" s="2">
        <v>1</v>
      </c>
      <c r="AT187" s="2">
        <v>1</v>
      </c>
      <c r="AU187" s="2">
        <v>1</v>
      </c>
      <c r="AV187" s="2">
        <v>1</v>
      </c>
      <c r="AW187" s="2" t="s">
        <v>61</v>
      </c>
      <c r="AX187" s="2">
        <v>1</v>
      </c>
      <c r="AY187" s="2">
        <v>2014</v>
      </c>
      <c r="AZ187" s="2">
        <f t="shared" si="38"/>
        <v>10</v>
      </c>
      <c r="BA187" s="2" t="str">
        <f t="shared" si="39"/>
        <v>2</v>
      </c>
      <c r="BB187" s="3">
        <f>(BA187+AX187+AS187+AQ187+AH187+Z187)/7</f>
        <v>1.2857142857142858</v>
      </c>
      <c r="BC187" s="2" t="s">
        <v>107</v>
      </c>
      <c r="BD187" s="8" t="s">
        <v>139</v>
      </c>
      <c r="BE187" s="2" t="s">
        <v>140</v>
      </c>
      <c r="BF187" s="2"/>
      <c r="BG187" s="2"/>
      <c r="BH187" s="2"/>
      <c r="BI187" s="2">
        <v>29237</v>
      </c>
      <c r="BJ187" s="2">
        <v>62539</v>
      </c>
      <c r="BK187" s="2">
        <v>6.8</v>
      </c>
    </row>
    <row r="188" spans="1:63" ht="64" hidden="1" x14ac:dyDescent="0.2">
      <c r="A188" s="2">
        <v>20700354</v>
      </c>
      <c r="B188" s="2" t="s">
        <v>604</v>
      </c>
      <c r="C188" s="2">
        <v>6500</v>
      </c>
      <c r="D188" s="2" t="s">
        <v>73</v>
      </c>
      <c r="E188" s="2" t="s">
        <v>605</v>
      </c>
      <c r="F188" s="2" t="s">
        <v>606</v>
      </c>
      <c r="G188" s="2" t="s">
        <v>70</v>
      </c>
      <c r="H188" s="2" t="s">
        <v>70</v>
      </c>
      <c r="I188" s="2" t="s">
        <v>81</v>
      </c>
      <c r="J188" s="2" t="s">
        <v>82</v>
      </c>
      <c r="K188" s="2" t="s">
        <v>66</v>
      </c>
      <c r="L188" s="2" t="s">
        <v>76</v>
      </c>
      <c r="M188" s="2" t="s">
        <v>60</v>
      </c>
      <c r="N188" s="2" t="s">
        <v>61</v>
      </c>
      <c r="O188" s="2" t="s">
        <v>83</v>
      </c>
      <c r="P188" s="2">
        <v>1</v>
      </c>
      <c r="Q188" s="2">
        <v>1</v>
      </c>
      <c r="R188" s="2">
        <v>1</v>
      </c>
      <c r="S188" s="2">
        <v>1</v>
      </c>
      <c r="T188" s="2">
        <v>1</v>
      </c>
      <c r="U188" s="2">
        <v>98</v>
      </c>
      <c r="V188" s="2">
        <v>0.5</v>
      </c>
      <c r="W188" s="2">
        <f t="shared" si="42"/>
        <v>103</v>
      </c>
      <c r="X188" s="2" t="str">
        <f t="shared" si="31"/>
        <v>1</v>
      </c>
      <c r="Y188" s="2" t="str">
        <f t="shared" si="43"/>
        <v>1</v>
      </c>
      <c r="Z188" s="3">
        <f t="shared" si="32"/>
        <v>1</v>
      </c>
      <c r="AA188" s="2">
        <v>63.46</v>
      </c>
      <c r="AB188" s="2">
        <v>10.25</v>
      </c>
      <c r="AC188" s="2">
        <v>0.02</v>
      </c>
      <c r="AD188" s="2">
        <v>49</v>
      </c>
      <c r="AE188" s="2">
        <f t="shared" si="33"/>
        <v>2450</v>
      </c>
      <c r="AF188" s="2" t="str">
        <f t="shared" si="34"/>
        <v>1</v>
      </c>
      <c r="AG188" s="2" t="str">
        <f t="shared" si="35"/>
        <v>1</v>
      </c>
      <c r="AH188" s="3">
        <f t="shared" si="36"/>
        <v>1</v>
      </c>
      <c r="AI188" s="2">
        <v>1</v>
      </c>
      <c r="AJ188" s="2">
        <v>108.78</v>
      </c>
      <c r="AK188" s="2">
        <f>AJ188*0.54</f>
        <v>58.741200000000006</v>
      </c>
      <c r="AL188" s="2">
        <v>271.89999999999998</v>
      </c>
      <c r="AM188" s="2">
        <f>AL188*0.54</f>
        <v>146.82599999999999</v>
      </c>
      <c r="AN188" s="2" t="s">
        <v>61</v>
      </c>
      <c r="AO188" s="2" t="s">
        <v>61</v>
      </c>
      <c r="AP188" s="2">
        <v>54</v>
      </c>
      <c r="AQ188" s="19" t="str">
        <f t="shared" si="37"/>
        <v>1</v>
      </c>
      <c r="AR188" s="2">
        <v>1</v>
      </c>
      <c r="AS188" s="2">
        <v>1</v>
      </c>
      <c r="AT188" s="2">
        <v>1</v>
      </c>
      <c r="AU188" s="2">
        <v>1</v>
      </c>
      <c r="AV188" s="2">
        <v>1</v>
      </c>
      <c r="AW188" s="2" t="s">
        <v>61</v>
      </c>
      <c r="AX188" s="2">
        <v>1</v>
      </c>
      <c r="AY188" s="2">
        <v>2022</v>
      </c>
      <c r="AZ188" s="2">
        <f t="shared" si="38"/>
        <v>2</v>
      </c>
      <c r="BA188" s="2" t="str">
        <f t="shared" si="39"/>
        <v>1</v>
      </c>
      <c r="BB188" s="3">
        <f>(BA188+AX188+AS188+AQ188+AH188+Z188)/7</f>
        <v>0.8571428571428571</v>
      </c>
      <c r="BC188" s="2" t="s">
        <v>107</v>
      </c>
      <c r="BD188" s="8" t="s">
        <v>120</v>
      </c>
      <c r="BE188" s="2"/>
      <c r="BF188" s="2"/>
      <c r="BG188" s="2"/>
      <c r="BH188" s="2"/>
      <c r="BI188" s="2">
        <v>1919.4</v>
      </c>
      <c r="BJ188" s="2">
        <v>3982.9</v>
      </c>
      <c r="BK188" s="2">
        <v>0</v>
      </c>
    </row>
    <row r="189" spans="1:63" ht="64" hidden="1" x14ac:dyDescent="0.2">
      <c r="A189" s="2">
        <v>20700354</v>
      </c>
      <c r="B189" s="2">
        <v>200715</v>
      </c>
      <c r="C189" s="2">
        <v>6500</v>
      </c>
      <c r="D189" s="2" t="s">
        <v>73</v>
      </c>
      <c r="E189" s="2" t="s">
        <v>605</v>
      </c>
      <c r="F189" s="2" t="s">
        <v>607</v>
      </c>
      <c r="G189" s="2" t="s">
        <v>70</v>
      </c>
      <c r="H189" s="2" t="s">
        <v>70</v>
      </c>
      <c r="I189" s="2" t="s">
        <v>81</v>
      </c>
      <c r="J189" s="2" t="s">
        <v>82</v>
      </c>
      <c r="K189" s="2" t="s">
        <v>66</v>
      </c>
      <c r="L189" s="2" t="s">
        <v>76</v>
      </c>
      <c r="M189" s="2" t="s">
        <v>60</v>
      </c>
      <c r="N189" s="2" t="s">
        <v>61</v>
      </c>
      <c r="O189" s="2" t="s">
        <v>83</v>
      </c>
      <c r="P189" s="2">
        <v>1.5</v>
      </c>
      <c r="Q189" s="2">
        <v>2.8</v>
      </c>
      <c r="R189" s="2">
        <v>5.6</v>
      </c>
      <c r="S189" s="2">
        <v>1.4</v>
      </c>
      <c r="T189" s="2">
        <v>28</v>
      </c>
      <c r="U189" s="2">
        <v>283</v>
      </c>
      <c r="V189" s="2">
        <v>0.1</v>
      </c>
      <c r="W189" s="2">
        <f t="shared" si="42"/>
        <v>322.3</v>
      </c>
      <c r="X189" s="2" t="str">
        <f t="shared" si="31"/>
        <v>1</v>
      </c>
      <c r="Y189" s="2" t="str">
        <f t="shared" si="43"/>
        <v>1</v>
      </c>
      <c r="Z189" s="3">
        <f t="shared" si="32"/>
        <v>1</v>
      </c>
      <c r="AA189" s="2">
        <v>67</v>
      </c>
      <c r="AB189" s="2">
        <v>5</v>
      </c>
      <c r="AC189" s="2">
        <v>8.9999999999999993E-3</v>
      </c>
      <c r="AD189" s="2">
        <v>35.299999999999997</v>
      </c>
      <c r="AE189" s="34">
        <f t="shared" si="33"/>
        <v>3922.2222222222222</v>
      </c>
      <c r="AF189" s="2" t="str">
        <f t="shared" si="34"/>
        <v>1</v>
      </c>
      <c r="AG189" s="2" t="str">
        <f t="shared" si="35"/>
        <v>1</v>
      </c>
      <c r="AH189" s="3">
        <f t="shared" si="36"/>
        <v>1</v>
      </c>
      <c r="AI189" s="2">
        <v>1</v>
      </c>
      <c r="AJ189" s="2">
        <v>108.8</v>
      </c>
      <c r="AK189" s="2">
        <f>AJ189*0.54</f>
        <v>58.752000000000002</v>
      </c>
      <c r="AL189" s="2">
        <v>271.89999999999998</v>
      </c>
      <c r="AM189" s="2">
        <f>AL189*0.54</f>
        <v>146.82599999999999</v>
      </c>
      <c r="AN189" s="2" t="s">
        <v>61</v>
      </c>
      <c r="AO189" s="2" t="s">
        <v>61</v>
      </c>
      <c r="AP189" s="2">
        <v>54</v>
      </c>
      <c r="AQ189" s="19" t="str">
        <f t="shared" si="37"/>
        <v>1</v>
      </c>
      <c r="AR189" s="2">
        <v>1</v>
      </c>
      <c r="AS189" s="2">
        <v>1</v>
      </c>
      <c r="AT189" s="2">
        <v>1</v>
      </c>
      <c r="AU189" s="2">
        <v>1</v>
      </c>
      <c r="AV189" s="2">
        <v>1</v>
      </c>
      <c r="AW189" s="2" t="s">
        <v>61</v>
      </c>
      <c r="AX189" s="2">
        <v>1</v>
      </c>
      <c r="AY189" s="2">
        <v>2009</v>
      </c>
      <c r="AZ189" s="2">
        <f t="shared" si="38"/>
        <v>15</v>
      </c>
      <c r="BA189" s="2" t="str">
        <f t="shared" si="39"/>
        <v>2</v>
      </c>
      <c r="BB189" s="2">
        <f>(BA189+AX189+AS189+AQ189+AH189+Z189)/7</f>
        <v>1</v>
      </c>
      <c r="BC189" s="2" t="s">
        <v>107</v>
      </c>
      <c r="BD189" s="8" t="s">
        <v>120</v>
      </c>
      <c r="BE189" s="2"/>
      <c r="BF189" s="2"/>
      <c r="BG189" s="2"/>
      <c r="BH189" s="2"/>
      <c r="BI189" s="2">
        <v>2658</v>
      </c>
      <c r="BJ189" s="2">
        <v>9702</v>
      </c>
      <c r="BK189" s="2">
        <v>21</v>
      </c>
    </row>
    <row r="190" spans="1:63" ht="64" hidden="1" x14ac:dyDescent="0.2">
      <c r="A190" s="2">
        <v>20028481</v>
      </c>
      <c r="B190" s="2">
        <v>1072462800</v>
      </c>
      <c r="C190" s="2">
        <v>6500</v>
      </c>
      <c r="D190" s="2" t="s">
        <v>73</v>
      </c>
      <c r="E190" s="2" t="s">
        <v>608</v>
      </c>
      <c r="F190" s="2" t="s">
        <v>609</v>
      </c>
      <c r="G190" s="2" t="s">
        <v>58</v>
      </c>
      <c r="H190" s="2" t="s">
        <v>59</v>
      </c>
      <c r="I190" s="2" t="s">
        <v>81</v>
      </c>
      <c r="J190" s="2" t="s">
        <v>61</v>
      </c>
      <c r="K190" s="2" t="s">
        <v>66</v>
      </c>
      <c r="L190" s="2" t="s">
        <v>76</v>
      </c>
      <c r="M190" s="2" t="s">
        <v>60</v>
      </c>
      <c r="N190" s="2" t="s">
        <v>61</v>
      </c>
      <c r="O190" s="2" t="s">
        <v>83</v>
      </c>
      <c r="P190" s="21"/>
      <c r="Q190" s="21"/>
      <c r="R190" s="21"/>
      <c r="S190" s="21"/>
      <c r="T190" s="21"/>
      <c r="U190" s="21"/>
      <c r="V190" s="21"/>
      <c r="W190" s="2">
        <f t="shared" si="42"/>
        <v>0</v>
      </c>
      <c r="X190" s="2" t="str">
        <f t="shared" si="31"/>
        <v>1</v>
      </c>
      <c r="Y190" s="2" t="str">
        <f t="shared" si="43"/>
        <v>1</v>
      </c>
      <c r="Z190" s="3">
        <f t="shared" si="32"/>
        <v>1</v>
      </c>
      <c r="AA190" s="21"/>
      <c r="AB190" s="21"/>
      <c r="AC190" s="21"/>
      <c r="AD190" s="21"/>
      <c r="AE190" s="2" t="e">
        <f t="shared" si="33"/>
        <v>#DIV/0!</v>
      </c>
      <c r="AF190" s="2" t="str">
        <f t="shared" si="34"/>
        <v>5</v>
      </c>
      <c r="AG190" s="2" t="e">
        <f t="shared" si="35"/>
        <v>#DIV/0!</v>
      </c>
      <c r="AH190" s="3" t="e">
        <f t="shared" si="36"/>
        <v>#DIV/0!</v>
      </c>
      <c r="AI190" s="2">
        <v>1</v>
      </c>
      <c r="AJ190" s="2">
        <v>108.78</v>
      </c>
      <c r="AK190" s="2">
        <f>AJ190*0.5</f>
        <v>54.39</v>
      </c>
      <c r="AL190" s="2">
        <v>271.94</v>
      </c>
      <c r="AM190" s="2">
        <f>AL190*0.5</f>
        <v>135.97</v>
      </c>
      <c r="AN190" s="2" t="s">
        <v>61</v>
      </c>
      <c r="AO190" s="2" t="s">
        <v>61</v>
      </c>
      <c r="AP190" s="2">
        <v>50</v>
      </c>
      <c r="AQ190" s="19" t="str">
        <f t="shared" si="37"/>
        <v>1</v>
      </c>
      <c r="AR190" s="2">
        <v>1</v>
      </c>
      <c r="AS190" s="2">
        <v>1</v>
      </c>
      <c r="AT190" s="2">
        <v>1</v>
      </c>
      <c r="AU190" s="2">
        <v>1</v>
      </c>
      <c r="AV190" s="2">
        <v>1</v>
      </c>
      <c r="AW190" s="2" t="s">
        <v>61</v>
      </c>
      <c r="AX190" s="2">
        <v>1</v>
      </c>
      <c r="AY190" s="2">
        <v>2023</v>
      </c>
      <c r="AZ190" s="2">
        <f t="shared" si="38"/>
        <v>1</v>
      </c>
      <c r="BA190" s="2" t="str">
        <f t="shared" si="39"/>
        <v>1</v>
      </c>
      <c r="BB190" s="3">
        <v>1</v>
      </c>
      <c r="BC190" s="2" t="s">
        <v>107</v>
      </c>
      <c r="BD190" s="8" t="s">
        <v>120</v>
      </c>
      <c r="BE190" s="2"/>
      <c r="BF190" s="2"/>
      <c r="BG190" s="2"/>
      <c r="BH190" s="2"/>
      <c r="BI190" s="21"/>
      <c r="BJ190" s="21"/>
      <c r="BK190" s="21"/>
    </row>
    <row r="191" spans="1:63" ht="48" hidden="1" x14ac:dyDescent="0.2">
      <c r="A191" s="2">
        <v>20018465</v>
      </c>
      <c r="B191" s="2" t="s">
        <v>610</v>
      </c>
      <c r="C191" s="2">
        <v>45000</v>
      </c>
      <c r="D191" s="2" t="s">
        <v>134</v>
      </c>
      <c r="E191" s="2" t="s">
        <v>611</v>
      </c>
      <c r="F191" s="2" t="s">
        <v>612</v>
      </c>
      <c r="G191" s="2" t="s">
        <v>70</v>
      </c>
      <c r="H191" s="2" t="s">
        <v>70</v>
      </c>
      <c r="I191" s="2" t="s">
        <v>81</v>
      </c>
      <c r="J191" s="2" t="s">
        <v>82</v>
      </c>
      <c r="K191" s="2" t="s">
        <v>48</v>
      </c>
      <c r="L191" s="2">
        <v>66</v>
      </c>
      <c r="M191" s="2" t="s">
        <v>60</v>
      </c>
      <c r="N191" s="2" t="s">
        <v>61</v>
      </c>
      <c r="O191" s="2" t="s">
        <v>219</v>
      </c>
      <c r="P191" s="2">
        <v>5.2</v>
      </c>
      <c r="Q191" s="2">
        <v>251</v>
      </c>
      <c r="R191" s="2">
        <v>66</v>
      </c>
      <c r="S191" s="2">
        <v>224</v>
      </c>
      <c r="T191" s="2">
        <v>2610</v>
      </c>
      <c r="U191" s="2">
        <v>5248</v>
      </c>
      <c r="V191" s="2">
        <v>0</v>
      </c>
      <c r="W191" s="2">
        <f t="shared" si="42"/>
        <v>8404.2000000000007</v>
      </c>
      <c r="X191" s="2" t="str">
        <f t="shared" si="31"/>
        <v>3</v>
      </c>
      <c r="Y191" s="2" t="str">
        <f t="shared" si="43"/>
        <v>1</v>
      </c>
      <c r="Z191" s="3">
        <f t="shared" si="32"/>
        <v>2</v>
      </c>
      <c r="AA191" s="2">
        <v>27</v>
      </c>
      <c r="AB191" s="2">
        <v>18</v>
      </c>
      <c r="AC191" s="2">
        <v>0.02</v>
      </c>
      <c r="AD191" s="2">
        <v>39.6</v>
      </c>
      <c r="AE191" s="2">
        <f t="shared" si="33"/>
        <v>1980</v>
      </c>
      <c r="AF191" s="2" t="str">
        <f t="shared" si="34"/>
        <v>3</v>
      </c>
      <c r="AG191" s="2" t="str">
        <f t="shared" si="35"/>
        <v>1</v>
      </c>
      <c r="AH191" s="3">
        <f t="shared" si="36"/>
        <v>2</v>
      </c>
      <c r="AI191" s="2">
        <v>1</v>
      </c>
      <c r="AJ191" s="2">
        <v>394</v>
      </c>
      <c r="AK191" s="2">
        <f>AJ191*0.85</f>
        <v>334.9</v>
      </c>
      <c r="AL191" s="2">
        <v>1883</v>
      </c>
      <c r="AM191" s="2">
        <f>AL191*0.85</f>
        <v>1600.55</v>
      </c>
      <c r="AN191" s="2" t="s">
        <v>61</v>
      </c>
      <c r="AO191" s="2" t="s">
        <v>61</v>
      </c>
      <c r="AP191" s="2">
        <v>85</v>
      </c>
      <c r="AQ191" s="19" t="str">
        <f t="shared" si="37"/>
        <v>3</v>
      </c>
      <c r="AR191" s="2">
        <v>1</v>
      </c>
      <c r="AS191" s="2">
        <v>1</v>
      </c>
      <c r="AT191" s="2">
        <v>1</v>
      </c>
      <c r="AU191" s="2">
        <v>1</v>
      </c>
      <c r="AV191" s="2">
        <v>1</v>
      </c>
      <c r="AW191" s="2">
        <v>1</v>
      </c>
      <c r="AX191" s="2">
        <v>1</v>
      </c>
      <c r="AY191" s="2">
        <v>1998</v>
      </c>
      <c r="AZ191" s="2">
        <f t="shared" si="38"/>
        <v>26</v>
      </c>
      <c r="BA191" s="2" t="str">
        <f t="shared" si="39"/>
        <v>3</v>
      </c>
      <c r="BB191" s="3">
        <f>(Z191+AH191+AI191+AQ191+AS191+AX191+BA191)/5</f>
        <v>2.6</v>
      </c>
      <c r="BC191" s="2" t="s">
        <v>111</v>
      </c>
      <c r="BD191" s="8" t="s">
        <v>613</v>
      </c>
      <c r="BE191" s="2" t="s">
        <v>614</v>
      </c>
      <c r="BF191" s="2">
        <v>29850000</v>
      </c>
      <c r="BG191" s="2">
        <v>145800000</v>
      </c>
      <c r="BH191" s="2">
        <v>9000000</v>
      </c>
      <c r="BI191" s="2">
        <v>319</v>
      </c>
      <c r="BJ191" s="2">
        <v>75142</v>
      </c>
      <c r="BK191" s="2">
        <v>162</v>
      </c>
    </row>
    <row r="192" spans="1:63" s="25" customFormat="1" ht="96" hidden="1" x14ac:dyDescent="0.2">
      <c r="A192" s="21">
        <v>20058482</v>
      </c>
      <c r="B192" s="21">
        <v>200031</v>
      </c>
      <c r="C192" s="21">
        <v>30000</v>
      </c>
      <c r="D192" s="21" t="s">
        <v>152</v>
      </c>
      <c r="E192" s="21" t="s">
        <v>615</v>
      </c>
      <c r="F192" s="21" t="s">
        <v>616</v>
      </c>
      <c r="G192" s="21" t="s">
        <v>125</v>
      </c>
      <c r="H192" s="21" t="s">
        <v>126</v>
      </c>
      <c r="I192" s="21" t="s">
        <v>81</v>
      </c>
      <c r="J192" s="21" t="s">
        <v>82</v>
      </c>
      <c r="K192" s="21" t="s">
        <v>48</v>
      </c>
      <c r="L192" s="21">
        <v>110</v>
      </c>
      <c r="M192" s="21" t="s">
        <v>137</v>
      </c>
      <c r="N192" s="21" t="s">
        <v>60</v>
      </c>
      <c r="O192" s="21" t="s">
        <v>243</v>
      </c>
      <c r="P192" s="21">
        <v>7.8</v>
      </c>
      <c r="Q192" s="21">
        <v>3.1</v>
      </c>
      <c r="R192" s="21">
        <v>5.4</v>
      </c>
      <c r="S192" s="21">
        <v>0.4</v>
      </c>
      <c r="T192" s="21">
        <v>146</v>
      </c>
      <c r="U192" s="21">
        <v>919</v>
      </c>
      <c r="V192" s="21">
        <v>0</v>
      </c>
      <c r="W192" s="21">
        <f t="shared" si="42"/>
        <v>1081.7</v>
      </c>
      <c r="X192" s="21" t="str">
        <f t="shared" si="31"/>
        <v>1</v>
      </c>
      <c r="Y192" s="21" t="str">
        <f t="shared" si="43"/>
        <v>1</v>
      </c>
      <c r="Z192" s="22">
        <f t="shared" si="32"/>
        <v>1</v>
      </c>
      <c r="AA192" s="25">
        <v>42</v>
      </c>
      <c r="AB192" s="25">
        <v>15</v>
      </c>
      <c r="AC192" s="25">
        <v>3.0000000000000001E-3</v>
      </c>
      <c r="AD192" s="25">
        <v>40.200000000000003</v>
      </c>
      <c r="AE192" s="21">
        <f t="shared" si="33"/>
        <v>13400</v>
      </c>
      <c r="AF192" s="21" t="str">
        <f t="shared" si="34"/>
        <v>1</v>
      </c>
      <c r="AG192" s="21" t="str">
        <f t="shared" si="35"/>
        <v>1</v>
      </c>
      <c r="AH192" s="22">
        <f t="shared" si="36"/>
        <v>1</v>
      </c>
      <c r="AI192" s="21">
        <v>1</v>
      </c>
      <c r="AJ192" s="21">
        <v>157.5</v>
      </c>
      <c r="AK192" s="21">
        <f>AJ192*0.59</f>
        <v>92.924999999999997</v>
      </c>
      <c r="AL192" s="21">
        <v>334.7</v>
      </c>
      <c r="AM192" s="21">
        <f>AL192*0.23</f>
        <v>76.980999999999995</v>
      </c>
      <c r="AN192" s="21">
        <v>627.6</v>
      </c>
      <c r="AO192" s="21">
        <f>AN192*0.92</f>
        <v>577.39200000000005</v>
      </c>
      <c r="AP192" s="21">
        <v>92</v>
      </c>
      <c r="AQ192" s="23" t="str">
        <f t="shared" si="37"/>
        <v>4</v>
      </c>
      <c r="AR192" s="21">
        <v>1</v>
      </c>
      <c r="AS192" s="21">
        <v>1</v>
      </c>
      <c r="AT192" s="21">
        <v>1</v>
      </c>
      <c r="AU192" s="21">
        <v>1</v>
      </c>
      <c r="AV192" s="21">
        <v>1</v>
      </c>
      <c r="AW192" s="21">
        <v>1</v>
      </c>
      <c r="AX192" s="21">
        <v>1</v>
      </c>
      <c r="AY192" s="21">
        <v>1998</v>
      </c>
      <c r="AZ192" s="21">
        <f t="shared" si="38"/>
        <v>26</v>
      </c>
      <c r="BA192" s="21" t="str">
        <f t="shared" si="39"/>
        <v>3</v>
      </c>
      <c r="BB192" s="22">
        <f>(Z192+AH192+AI192+AQ192+AS192+AX192+BA192)/5</f>
        <v>2.4</v>
      </c>
      <c r="BC192" s="21" t="s">
        <v>105</v>
      </c>
      <c r="BD192" s="24" t="s">
        <v>127</v>
      </c>
      <c r="BE192" s="21" t="s">
        <v>617</v>
      </c>
      <c r="BF192" s="21"/>
      <c r="BG192" s="21"/>
      <c r="BH192" s="21"/>
      <c r="BI192" s="21">
        <v>5434</v>
      </c>
      <c r="BJ192" s="21">
        <v>40375</v>
      </c>
      <c r="BK192" s="21">
        <v>1.7</v>
      </c>
    </row>
    <row r="193" spans="1:63" ht="80" hidden="1" x14ac:dyDescent="0.2">
      <c r="A193" s="2">
        <v>20038479</v>
      </c>
      <c r="B193" s="2" t="s">
        <v>618</v>
      </c>
      <c r="C193" s="2">
        <v>25000</v>
      </c>
      <c r="D193" s="2" t="s">
        <v>152</v>
      </c>
      <c r="E193" s="2" t="s">
        <v>619</v>
      </c>
      <c r="F193" s="2" t="s">
        <v>620</v>
      </c>
      <c r="G193" s="2" t="s">
        <v>125</v>
      </c>
      <c r="H193" s="2" t="s">
        <v>148</v>
      </c>
      <c r="I193" s="2" t="s">
        <v>81</v>
      </c>
      <c r="J193" s="2" t="s">
        <v>143</v>
      </c>
      <c r="K193" s="2" t="s">
        <v>48</v>
      </c>
      <c r="L193" s="2" t="s">
        <v>137</v>
      </c>
      <c r="M193" s="2" t="s">
        <v>60</v>
      </c>
      <c r="N193" s="31" t="s">
        <v>61</v>
      </c>
      <c r="O193" s="35" t="s">
        <v>295</v>
      </c>
      <c r="P193" s="2">
        <v>13</v>
      </c>
      <c r="Q193" s="2">
        <v>14.9</v>
      </c>
      <c r="R193" s="2">
        <v>88</v>
      </c>
      <c r="S193" s="2">
        <v>2.4</v>
      </c>
      <c r="T193" s="2">
        <v>961</v>
      </c>
      <c r="U193" s="2">
        <v>4289</v>
      </c>
      <c r="V193" s="2">
        <v>0</v>
      </c>
      <c r="W193" s="2">
        <f t="shared" si="42"/>
        <v>5368.3</v>
      </c>
      <c r="X193" s="2" t="str">
        <f t="shared" si="31"/>
        <v>2</v>
      </c>
      <c r="Y193" s="2" t="str">
        <f t="shared" si="43"/>
        <v>1</v>
      </c>
      <c r="Z193" s="3">
        <f t="shared" si="32"/>
        <v>1.5</v>
      </c>
      <c r="AA193" s="2">
        <v>59</v>
      </c>
      <c r="AB193" s="2">
        <v>8</v>
      </c>
      <c r="AC193" s="2">
        <v>0.02</v>
      </c>
      <c r="AD193" s="2">
        <v>43.7</v>
      </c>
      <c r="AE193" s="2">
        <f t="shared" si="33"/>
        <v>2185</v>
      </c>
      <c r="AF193" s="2" t="str">
        <f t="shared" si="34"/>
        <v>1</v>
      </c>
      <c r="AG193" s="2" t="str">
        <f t="shared" si="35"/>
        <v>1</v>
      </c>
      <c r="AH193" s="3">
        <f t="shared" si="36"/>
        <v>1</v>
      </c>
      <c r="AI193" s="2">
        <v>3</v>
      </c>
      <c r="AJ193" s="2">
        <v>418.4</v>
      </c>
      <c r="AK193" s="2">
        <f>AJ193*0.62</f>
        <v>259.40799999999996</v>
      </c>
      <c r="AL193" s="2">
        <v>1045.9000000000001</v>
      </c>
      <c r="AM193" s="2">
        <f>AL193*0.62</f>
        <v>648.45800000000008</v>
      </c>
      <c r="AN193" s="2" t="s">
        <v>61</v>
      </c>
      <c r="AO193" s="2" t="s">
        <v>61</v>
      </c>
      <c r="AP193" s="2">
        <v>62</v>
      </c>
      <c r="AQ193" s="19" t="str">
        <f t="shared" si="37"/>
        <v>1</v>
      </c>
      <c r="AR193" s="2">
        <v>1</v>
      </c>
      <c r="AS193" s="2">
        <v>1</v>
      </c>
      <c r="AT193" s="2">
        <v>1</v>
      </c>
      <c r="AU193" s="2">
        <v>1</v>
      </c>
      <c r="AV193" s="2">
        <v>1</v>
      </c>
      <c r="AW193" s="2">
        <v>1</v>
      </c>
      <c r="AX193" s="2">
        <v>1</v>
      </c>
      <c r="AY193" s="2">
        <v>1995</v>
      </c>
      <c r="AZ193" s="2">
        <f t="shared" si="38"/>
        <v>29</v>
      </c>
      <c r="BA193" s="2" t="str">
        <f t="shared" si="39"/>
        <v>3</v>
      </c>
      <c r="BB193" s="3">
        <f>(BA193+AX193+AS193+AQ193+AH193+Z193)/7</f>
        <v>1.2142857142857142</v>
      </c>
      <c r="BC193" s="2" t="s">
        <v>107</v>
      </c>
      <c r="BD193" s="8" t="s">
        <v>139</v>
      </c>
      <c r="BE193" s="2" t="s">
        <v>230</v>
      </c>
      <c r="BF193" s="31"/>
      <c r="BG193" s="31"/>
      <c r="BH193" s="31"/>
      <c r="BI193" s="2">
        <v>2660</v>
      </c>
      <c r="BJ193" s="2">
        <v>99071</v>
      </c>
      <c r="BK193" s="2">
        <v>5.9</v>
      </c>
    </row>
    <row r="194" spans="1:63" s="25" customFormat="1" ht="32" hidden="1" x14ac:dyDescent="0.2">
      <c r="A194" s="21">
        <v>20038486</v>
      </c>
      <c r="B194" s="21" t="s">
        <v>621</v>
      </c>
      <c r="C194" s="21">
        <v>60000</v>
      </c>
      <c r="D194" s="21" t="s">
        <v>134</v>
      </c>
      <c r="E194" s="21" t="s">
        <v>622</v>
      </c>
      <c r="F194" s="21" t="s">
        <v>623</v>
      </c>
      <c r="G194" s="21" t="s">
        <v>125</v>
      </c>
      <c r="H194" s="21" t="s">
        <v>148</v>
      </c>
      <c r="I194" s="21" t="s">
        <v>81</v>
      </c>
      <c r="J194" s="21" t="s">
        <v>82</v>
      </c>
      <c r="K194" s="21" t="s">
        <v>48</v>
      </c>
      <c r="L194" s="21">
        <v>110</v>
      </c>
      <c r="M194" s="21" t="s">
        <v>137</v>
      </c>
      <c r="N194" s="21" t="s">
        <v>60</v>
      </c>
      <c r="O194" s="21" t="s">
        <v>138</v>
      </c>
      <c r="P194" s="21">
        <v>9.1999999999999993</v>
      </c>
      <c r="Q194" s="21">
        <v>3.6</v>
      </c>
      <c r="R194" s="21">
        <v>9.6</v>
      </c>
      <c r="S194" s="21">
        <v>1</v>
      </c>
      <c r="T194" s="21">
        <v>233</v>
      </c>
      <c r="U194" s="21">
        <v>2760</v>
      </c>
      <c r="V194" s="21">
        <v>0</v>
      </c>
      <c r="W194" s="21">
        <f t="shared" si="42"/>
        <v>3016.4</v>
      </c>
      <c r="X194" s="21" t="str">
        <f t="shared" si="31"/>
        <v>1</v>
      </c>
      <c r="Y194" s="21" t="str">
        <f t="shared" si="43"/>
        <v>1</v>
      </c>
      <c r="Z194" s="22">
        <f t="shared" si="32"/>
        <v>1</v>
      </c>
      <c r="AA194" s="21">
        <v>27</v>
      </c>
      <c r="AB194" s="21">
        <v>23</v>
      </c>
      <c r="AC194" s="21">
        <v>0.02</v>
      </c>
      <c r="AD194" s="21">
        <v>35.700000000000003</v>
      </c>
      <c r="AE194" s="21">
        <f t="shared" si="33"/>
        <v>1785</v>
      </c>
      <c r="AF194" s="21" t="str">
        <f t="shared" si="34"/>
        <v>3</v>
      </c>
      <c r="AG194" s="21" t="str">
        <f t="shared" si="35"/>
        <v>1</v>
      </c>
      <c r="AH194" s="22">
        <f t="shared" si="36"/>
        <v>2</v>
      </c>
      <c r="AI194" s="21">
        <v>3</v>
      </c>
      <c r="AJ194" s="21">
        <v>315</v>
      </c>
      <c r="AK194" s="21">
        <f>AJ194*0.54</f>
        <v>170.10000000000002</v>
      </c>
      <c r="AL194" s="21">
        <v>837</v>
      </c>
      <c r="AM194" s="21">
        <f>AL194*0.5</f>
        <v>418.5</v>
      </c>
      <c r="AN194" s="21">
        <v>418</v>
      </c>
      <c r="AO194" s="21">
        <f>AN194*0.78</f>
        <v>326.04000000000002</v>
      </c>
      <c r="AP194" s="21">
        <v>78</v>
      </c>
      <c r="AQ194" s="23" t="str">
        <f t="shared" si="37"/>
        <v>2</v>
      </c>
      <c r="AR194" s="21">
        <v>3</v>
      </c>
      <c r="AS194" s="21">
        <v>3</v>
      </c>
      <c r="AT194" s="21">
        <v>1</v>
      </c>
      <c r="AU194" s="21">
        <v>1</v>
      </c>
      <c r="AV194" s="21">
        <v>1</v>
      </c>
      <c r="AW194" s="21">
        <v>1</v>
      </c>
      <c r="AX194" s="21">
        <v>1</v>
      </c>
      <c r="AY194" s="21">
        <v>1977</v>
      </c>
      <c r="AZ194" s="21">
        <f t="shared" si="38"/>
        <v>47</v>
      </c>
      <c r="BA194" s="21" t="str">
        <f t="shared" si="39"/>
        <v>5</v>
      </c>
      <c r="BB194" s="22">
        <f>(Z194+AH194+AI194+AQ194+AS194+AX194+BA194)/5</f>
        <v>3.4</v>
      </c>
      <c r="BC194" s="21" t="s">
        <v>111</v>
      </c>
      <c r="BD194" s="24" t="s">
        <v>315</v>
      </c>
      <c r="BE194" s="21" t="s">
        <v>624</v>
      </c>
      <c r="BF194" s="21"/>
      <c r="BG194" s="21">
        <v>89500000</v>
      </c>
      <c r="BH194" s="21">
        <v>9000000</v>
      </c>
      <c r="BI194" s="21">
        <v>29810</v>
      </c>
      <c r="BJ194" s="21">
        <v>89835</v>
      </c>
      <c r="BK194" s="21">
        <v>7.1</v>
      </c>
    </row>
    <row r="195" spans="1:63" ht="80" hidden="1" x14ac:dyDescent="0.2">
      <c r="A195" s="2">
        <v>20700072</v>
      </c>
      <c r="B195" s="2" t="s">
        <v>625</v>
      </c>
      <c r="C195" s="2">
        <v>2300</v>
      </c>
      <c r="D195" s="2" t="s">
        <v>73</v>
      </c>
      <c r="E195" s="2" t="s">
        <v>626</v>
      </c>
      <c r="F195" s="2" t="s">
        <v>627</v>
      </c>
      <c r="G195" s="2" t="s">
        <v>58</v>
      </c>
      <c r="H195" s="2" t="s">
        <v>64</v>
      </c>
      <c r="I195" s="2" t="s">
        <v>65</v>
      </c>
      <c r="J195" s="2" t="s">
        <v>61</v>
      </c>
      <c r="K195" s="2" t="s">
        <v>66</v>
      </c>
      <c r="L195" s="2" t="s">
        <v>76</v>
      </c>
      <c r="M195" s="2" t="s">
        <v>60</v>
      </c>
      <c r="N195" s="2" t="s">
        <v>61</v>
      </c>
      <c r="O195" s="2" t="s">
        <v>77</v>
      </c>
      <c r="P195" s="2">
        <v>425</v>
      </c>
      <c r="Q195" s="2">
        <v>44</v>
      </c>
      <c r="R195" s="2">
        <v>2.5</v>
      </c>
      <c r="S195" s="2">
        <v>11.4</v>
      </c>
      <c r="T195" s="2">
        <v>387</v>
      </c>
      <c r="U195" s="2">
        <v>1372</v>
      </c>
      <c r="V195" s="2">
        <v>0</v>
      </c>
      <c r="W195" s="2">
        <f t="shared" si="42"/>
        <v>2241.9</v>
      </c>
      <c r="X195" s="2" t="str">
        <f t="shared" si="31"/>
        <v>1</v>
      </c>
      <c r="Y195" s="2" t="str">
        <f t="shared" si="43"/>
        <v>1</v>
      </c>
      <c r="Z195" s="3">
        <f t="shared" si="32"/>
        <v>1</v>
      </c>
      <c r="AA195" s="2">
        <v>61</v>
      </c>
      <c r="AB195" s="2">
        <v>9</v>
      </c>
      <c r="AC195" s="2">
        <v>0.02</v>
      </c>
      <c r="AD195" s="2">
        <v>31.3</v>
      </c>
      <c r="AE195" s="2">
        <f t="shared" si="33"/>
        <v>1565</v>
      </c>
      <c r="AF195" s="2" t="str">
        <f t="shared" si="34"/>
        <v>1</v>
      </c>
      <c r="AG195" s="2" t="str">
        <f t="shared" si="35"/>
        <v>1</v>
      </c>
      <c r="AH195" s="3">
        <f t="shared" si="36"/>
        <v>1</v>
      </c>
      <c r="AI195" s="2">
        <v>3</v>
      </c>
      <c r="AJ195" s="2">
        <v>38.49</v>
      </c>
      <c r="AK195" s="2">
        <f>AJ195*0.47</f>
        <v>18.090299999999999</v>
      </c>
      <c r="AL195" s="2">
        <v>96.2</v>
      </c>
      <c r="AM195" s="2">
        <f>AL195*0.47</f>
        <v>45.213999999999999</v>
      </c>
      <c r="AN195" s="2" t="s">
        <v>61</v>
      </c>
      <c r="AO195" s="2" t="s">
        <v>61</v>
      </c>
      <c r="AP195" s="2">
        <v>47</v>
      </c>
      <c r="AQ195" s="19" t="str">
        <f t="shared" si="37"/>
        <v>1</v>
      </c>
      <c r="AR195" s="2">
        <v>1</v>
      </c>
      <c r="AS195" s="2">
        <v>1</v>
      </c>
      <c r="AT195" s="2">
        <v>1</v>
      </c>
      <c r="AU195" s="2">
        <v>1</v>
      </c>
      <c r="AV195" s="2">
        <v>1</v>
      </c>
      <c r="AW195" s="2" t="s">
        <v>61</v>
      </c>
      <c r="AX195" s="2">
        <v>1</v>
      </c>
      <c r="AY195" s="2">
        <v>2020</v>
      </c>
      <c r="AZ195" s="2">
        <f t="shared" si="38"/>
        <v>4</v>
      </c>
      <c r="BA195" s="2" t="str">
        <f t="shared" si="39"/>
        <v>1</v>
      </c>
      <c r="BB195" s="3">
        <f>(BA195+AX195+AS195+AQ195+AH195+Z195)/7</f>
        <v>0.8571428571428571</v>
      </c>
      <c r="BC195" s="2" t="s">
        <v>107</v>
      </c>
      <c r="BD195" s="8" t="s">
        <v>139</v>
      </c>
      <c r="BE195" s="2" t="s">
        <v>140</v>
      </c>
      <c r="BF195" s="2"/>
      <c r="BG195" s="2"/>
      <c r="BH195" s="2"/>
      <c r="BI195" s="2">
        <v>18567</v>
      </c>
      <c r="BJ195" s="2">
        <v>77079</v>
      </c>
      <c r="BK195" s="2">
        <v>7.9</v>
      </c>
    </row>
    <row r="196" spans="1:63" s="25" customFormat="1" ht="32" hidden="1" x14ac:dyDescent="0.2">
      <c r="A196" s="21">
        <v>20058480</v>
      </c>
      <c r="B196" s="21">
        <v>148234</v>
      </c>
      <c r="C196" s="21">
        <v>250</v>
      </c>
      <c r="D196" s="21" t="s">
        <v>73</v>
      </c>
      <c r="E196" s="21" t="s">
        <v>628</v>
      </c>
      <c r="F196" s="21" t="s">
        <v>629</v>
      </c>
      <c r="G196" s="21" t="s">
        <v>125</v>
      </c>
      <c r="H196" s="21" t="s">
        <v>126</v>
      </c>
      <c r="I196" s="21" t="s">
        <v>65</v>
      </c>
      <c r="J196" s="21" t="s">
        <v>61</v>
      </c>
      <c r="K196" s="21" t="s">
        <v>66</v>
      </c>
      <c r="L196" s="21" t="s">
        <v>76</v>
      </c>
      <c r="M196" s="21" t="s">
        <v>60</v>
      </c>
      <c r="N196" s="21" t="s">
        <v>61</v>
      </c>
      <c r="O196" s="21" t="s">
        <v>77</v>
      </c>
      <c r="P196" s="21">
        <v>22360</v>
      </c>
      <c r="Q196" s="21">
        <v>6373</v>
      </c>
      <c r="R196" s="21">
        <v>17.3</v>
      </c>
      <c r="S196" s="21">
        <v>2763</v>
      </c>
      <c r="T196" s="21">
        <v>286</v>
      </c>
      <c r="U196" s="21">
        <v>2110</v>
      </c>
      <c r="V196" s="21">
        <v>23</v>
      </c>
      <c r="W196" s="21">
        <f t="shared" si="42"/>
        <v>33909.300000000003</v>
      </c>
      <c r="X196" s="2" t="str">
        <f t="shared" si="31"/>
        <v>5</v>
      </c>
      <c r="Y196" s="2" t="str">
        <f t="shared" si="43"/>
        <v>5</v>
      </c>
      <c r="Z196" s="3">
        <f t="shared" si="32"/>
        <v>5</v>
      </c>
      <c r="AA196" s="21">
        <v>30</v>
      </c>
      <c r="AB196" s="21">
        <v>26</v>
      </c>
      <c r="AC196" s="21">
        <v>0.02</v>
      </c>
      <c r="AD196" s="21">
        <v>27.9</v>
      </c>
      <c r="AE196" s="21">
        <f t="shared" si="33"/>
        <v>1395</v>
      </c>
      <c r="AF196" s="21" t="str">
        <f t="shared" si="34"/>
        <v>2</v>
      </c>
      <c r="AG196" s="21" t="str">
        <f t="shared" si="35"/>
        <v>2</v>
      </c>
      <c r="AH196" s="22">
        <f t="shared" si="36"/>
        <v>2</v>
      </c>
      <c r="AI196" s="21">
        <v>3</v>
      </c>
      <c r="AJ196" s="21">
        <v>7.24</v>
      </c>
      <c r="AK196" s="21">
        <f>AJ196*0.35</f>
        <v>2.5339999999999998</v>
      </c>
      <c r="AL196" s="21">
        <v>31.37</v>
      </c>
      <c r="AM196" s="21">
        <f>AL196*0.35</f>
        <v>10.9795</v>
      </c>
      <c r="AN196" s="21" t="s">
        <v>61</v>
      </c>
      <c r="AO196" s="21" t="s">
        <v>61</v>
      </c>
      <c r="AP196" s="21">
        <v>35</v>
      </c>
      <c r="AQ196" s="23" t="str">
        <f t="shared" si="37"/>
        <v>1</v>
      </c>
      <c r="AR196" s="21">
        <v>1</v>
      </c>
      <c r="AS196" s="21">
        <v>1</v>
      </c>
      <c r="AT196" s="21">
        <v>1</v>
      </c>
      <c r="AU196" s="21">
        <v>1</v>
      </c>
      <c r="AV196" s="21">
        <v>1</v>
      </c>
      <c r="AW196" s="21" t="s">
        <v>61</v>
      </c>
      <c r="AX196" s="21">
        <v>1</v>
      </c>
      <c r="AY196" s="21">
        <v>2000</v>
      </c>
      <c r="AZ196" s="21">
        <f t="shared" si="38"/>
        <v>24</v>
      </c>
      <c r="BA196" s="21" t="str">
        <f t="shared" si="39"/>
        <v>3</v>
      </c>
      <c r="BB196" s="22">
        <f>(BA196+AX196+AS196+AQ196+AH196+Z196)/5</f>
        <v>2.6</v>
      </c>
      <c r="BC196" s="21" t="s">
        <v>111</v>
      </c>
      <c r="BD196" s="24" t="s">
        <v>315</v>
      </c>
      <c r="BE196" s="21" t="s">
        <v>307</v>
      </c>
      <c r="BF196" s="21">
        <v>61500000</v>
      </c>
      <c r="BG196" s="21">
        <v>25000000</v>
      </c>
      <c r="BH196" s="21">
        <v>5000000</v>
      </c>
      <c r="BI196" s="21">
        <v>344</v>
      </c>
      <c r="BJ196" s="21">
        <v>34805</v>
      </c>
      <c r="BK196" s="21">
        <v>1339</v>
      </c>
    </row>
    <row r="197" spans="1:63" s="25" customFormat="1" ht="32" hidden="1" x14ac:dyDescent="0.2">
      <c r="A197" s="21">
        <v>20058480</v>
      </c>
      <c r="B197" s="21">
        <v>148232</v>
      </c>
      <c r="C197" s="21">
        <v>250</v>
      </c>
      <c r="D197" s="21" t="s">
        <v>73</v>
      </c>
      <c r="E197" s="21" t="s">
        <v>628</v>
      </c>
      <c r="F197" s="21" t="s">
        <v>630</v>
      </c>
      <c r="G197" s="21" t="s">
        <v>125</v>
      </c>
      <c r="H197" s="21" t="s">
        <v>126</v>
      </c>
      <c r="I197" s="21" t="s">
        <v>65</v>
      </c>
      <c r="J197" s="21" t="s">
        <v>61</v>
      </c>
      <c r="K197" s="21" t="s">
        <v>66</v>
      </c>
      <c r="L197" s="21" t="s">
        <v>76</v>
      </c>
      <c r="M197" s="21" t="s">
        <v>60</v>
      </c>
      <c r="N197" s="21" t="s">
        <v>61</v>
      </c>
      <c r="O197" s="21" t="s">
        <v>77</v>
      </c>
      <c r="P197" s="21">
        <v>32057</v>
      </c>
      <c r="Q197" s="21">
        <v>9990</v>
      </c>
      <c r="R197" s="21">
        <v>2.5</v>
      </c>
      <c r="S197" s="21">
        <v>4332</v>
      </c>
      <c r="T197" s="21">
        <v>127</v>
      </c>
      <c r="U197" s="21">
        <v>369</v>
      </c>
      <c r="V197" s="21">
        <v>3.3</v>
      </c>
      <c r="W197" s="21">
        <f t="shared" si="42"/>
        <v>46877.5</v>
      </c>
      <c r="X197" s="2" t="str">
        <f t="shared" si="31"/>
        <v>5</v>
      </c>
      <c r="Y197" s="2" t="str">
        <f t="shared" si="43"/>
        <v>1</v>
      </c>
      <c r="Z197" s="3">
        <f t="shared" si="32"/>
        <v>3</v>
      </c>
      <c r="AA197" s="21">
        <v>22</v>
      </c>
      <c r="AB197" s="21">
        <v>22</v>
      </c>
      <c r="AC197" s="21">
        <v>0.02</v>
      </c>
      <c r="AD197" s="21">
        <v>38.4</v>
      </c>
      <c r="AE197" s="21">
        <f t="shared" si="33"/>
        <v>1920</v>
      </c>
      <c r="AF197" s="21" t="str">
        <f t="shared" si="34"/>
        <v>4</v>
      </c>
      <c r="AG197" s="21" t="str">
        <f t="shared" si="35"/>
        <v>1</v>
      </c>
      <c r="AH197" s="22">
        <f t="shared" si="36"/>
        <v>2.5</v>
      </c>
      <c r="AI197" s="21">
        <v>3</v>
      </c>
      <c r="AJ197" s="21">
        <v>7.24</v>
      </c>
      <c r="AK197" s="21">
        <f>AJ197*0.35</f>
        <v>2.5339999999999998</v>
      </c>
      <c r="AL197" s="21">
        <v>31.37</v>
      </c>
      <c r="AM197" s="21">
        <f>AL197*0.35</f>
        <v>10.9795</v>
      </c>
      <c r="AN197" s="21" t="s">
        <v>61</v>
      </c>
      <c r="AO197" s="21" t="s">
        <v>61</v>
      </c>
      <c r="AP197" s="21">
        <v>35</v>
      </c>
      <c r="AQ197" s="23" t="str">
        <f t="shared" si="37"/>
        <v>1</v>
      </c>
      <c r="AR197" s="21">
        <v>1</v>
      </c>
      <c r="AS197" s="21">
        <v>1</v>
      </c>
      <c r="AT197" s="21">
        <v>1</v>
      </c>
      <c r="AU197" s="21">
        <v>1</v>
      </c>
      <c r="AV197" s="21">
        <v>1</v>
      </c>
      <c r="AW197" s="21" t="s">
        <v>61</v>
      </c>
      <c r="AX197" s="21">
        <v>1</v>
      </c>
      <c r="AY197" s="21">
        <v>2000</v>
      </c>
      <c r="AZ197" s="21">
        <f t="shared" si="38"/>
        <v>24</v>
      </c>
      <c r="BA197" s="21" t="str">
        <f t="shared" si="39"/>
        <v>3</v>
      </c>
      <c r="BB197" s="22">
        <f>(BA197+AX197+AS197+AQ197+AH197+Z197)/4</f>
        <v>2.875</v>
      </c>
      <c r="BC197" s="21" t="s">
        <v>111</v>
      </c>
      <c r="BD197" s="24" t="s">
        <v>315</v>
      </c>
      <c r="BE197" s="21" t="s">
        <v>307</v>
      </c>
      <c r="BF197" s="21"/>
      <c r="BG197" s="21">
        <v>25000000</v>
      </c>
      <c r="BH197" s="21">
        <v>5000000</v>
      </c>
      <c r="BI197" s="21">
        <v>209</v>
      </c>
      <c r="BJ197" s="21">
        <v>14794</v>
      </c>
      <c r="BK197" s="21">
        <v>1685</v>
      </c>
    </row>
    <row r="198" spans="1:63" s="25" customFormat="1" ht="32" hidden="1" x14ac:dyDescent="0.2">
      <c r="A198" s="21">
        <v>20058480</v>
      </c>
      <c r="B198" s="21">
        <v>112268</v>
      </c>
      <c r="C198" s="21">
        <v>250</v>
      </c>
      <c r="D198" s="21" t="s">
        <v>73</v>
      </c>
      <c r="E198" s="21" t="s">
        <v>628</v>
      </c>
      <c r="F198" s="21" t="s">
        <v>631</v>
      </c>
      <c r="G198" s="21" t="s">
        <v>125</v>
      </c>
      <c r="H198" s="21" t="s">
        <v>126</v>
      </c>
      <c r="I198" s="21" t="s">
        <v>65</v>
      </c>
      <c r="J198" s="21" t="s">
        <v>61</v>
      </c>
      <c r="K198" s="21" t="s">
        <v>66</v>
      </c>
      <c r="L198" s="21" t="s">
        <v>76</v>
      </c>
      <c r="M198" s="21" t="s">
        <v>60</v>
      </c>
      <c r="N198" s="21" t="s">
        <v>61</v>
      </c>
      <c r="O198" s="21" t="s">
        <v>77</v>
      </c>
      <c r="P198" s="21">
        <v>1906</v>
      </c>
      <c r="Q198" s="21">
        <v>259</v>
      </c>
      <c r="R198" s="21">
        <v>1.4</v>
      </c>
      <c r="S198" s="21">
        <v>18.399999999999999</v>
      </c>
      <c r="T198" s="21">
        <v>1503</v>
      </c>
      <c r="U198" s="21">
        <v>16943</v>
      </c>
      <c r="V198" s="21">
        <v>0.1</v>
      </c>
      <c r="W198" s="21">
        <f t="shared" si="42"/>
        <v>20630.8</v>
      </c>
      <c r="X198" s="2" t="str">
        <f t="shared" ref="X198:X206" si="44">IF(W198&gt;=23546,"5",IF(W198&gt;=14870,"4",IF(W198&gt;=6185,"3",IF(W198&gt;=3943,"2","1"))))</f>
        <v>4</v>
      </c>
      <c r="Y198" s="2" t="str">
        <f t="shared" si="43"/>
        <v>1</v>
      </c>
      <c r="Z198" s="3">
        <f t="shared" ref="Z198:Z206" si="45">(X198+Y198)/2</f>
        <v>2.5</v>
      </c>
      <c r="AA198" s="21">
        <v>21</v>
      </c>
      <c r="AB198" s="21">
        <v>22</v>
      </c>
      <c r="AC198" s="21">
        <v>0.02</v>
      </c>
      <c r="AD198" s="21">
        <v>41.8</v>
      </c>
      <c r="AE198" s="21">
        <f t="shared" ref="AE198:AE206" si="46">AD198/AC198</f>
        <v>2090</v>
      </c>
      <c r="AF198" s="21" t="str">
        <f t="shared" ref="AF198:AF206" si="47">IF(AA198&lt;=19,"5",IF(AA198&lt;=23,"4",IF(AA198&lt;=27,"3",IF(AA198&lt;=33,"2","1"))))</f>
        <v>4</v>
      </c>
      <c r="AG198" s="21" t="str">
        <f t="shared" ref="AG198:AG206" si="48">IF(AE198&lt;=513,"5",IF(AE198&lt;=799,"4",IF(AE198&lt;=930,"3",IF(AE198&lt;=1499,"2","1"))))</f>
        <v>1</v>
      </c>
      <c r="AH198" s="22">
        <f t="shared" ref="AH198:AH206" si="49">(AF198+AG198)/2</f>
        <v>2.5</v>
      </c>
      <c r="AI198" s="21">
        <v>3</v>
      </c>
      <c r="AJ198" s="21">
        <v>7.24</v>
      </c>
      <c r="AK198" s="21">
        <f>AJ198*0.35</f>
        <v>2.5339999999999998</v>
      </c>
      <c r="AL198" s="21">
        <v>31.37</v>
      </c>
      <c r="AM198" s="21">
        <f>AL198*0.35</f>
        <v>10.9795</v>
      </c>
      <c r="AN198" s="21" t="s">
        <v>61</v>
      </c>
      <c r="AO198" s="21" t="s">
        <v>61</v>
      </c>
      <c r="AP198" s="21">
        <v>35</v>
      </c>
      <c r="AQ198" s="23" t="str">
        <f t="shared" ref="AQ198:AQ206" si="50">IF(AP198&lt;70,"1",IF(AP198&lt;=80,"2",IF(AP198&lt;=90,"3",IF(AP198&lt;=100,"4","5"))))</f>
        <v>1</v>
      </c>
      <c r="AR198" s="21">
        <v>1</v>
      </c>
      <c r="AS198" s="21">
        <v>1</v>
      </c>
      <c r="AT198" s="21">
        <v>1</v>
      </c>
      <c r="AU198" s="21">
        <v>1</v>
      </c>
      <c r="AV198" s="21">
        <v>1</v>
      </c>
      <c r="AW198" s="21" t="s">
        <v>61</v>
      </c>
      <c r="AX198" s="21">
        <v>1</v>
      </c>
      <c r="AY198" s="21">
        <v>2008</v>
      </c>
      <c r="AZ198" s="21">
        <f t="shared" ref="AZ198:AZ206" si="51">2024-AY198</f>
        <v>16</v>
      </c>
      <c r="BA198" s="21" t="str">
        <f t="shared" ref="BA198:BA206" si="52">IF(AZ198&gt;=36,"5",IF(AZ198&gt;=31,"4",IF(AZ198&gt;=21,"3",IF(AZ198&gt;=7,"2","1"))))</f>
        <v>2</v>
      </c>
      <c r="BB198" s="22">
        <f>(BA198+AX198+AS198+AQ198+AH198+Z198)/4</f>
        <v>2.5</v>
      </c>
      <c r="BC198" s="21" t="s">
        <v>111</v>
      </c>
      <c r="BD198" s="24" t="s">
        <v>315</v>
      </c>
      <c r="BE198" s="21" t="s">
        <v>307</v>
      </c>
      <c r="BF198" s="21"/>
      <c r="BG198" s="21">
        <v>25000000</v>
      </c>
      <c r="BH198" s="21">
        <v>5000000</v>
      </c>
      <c r="BI198" s="21">
        <v>3632</v>
      </c>
      <c r="BJ198" s="21">
        <v>82560</v>
      </c>
      <c r="BK198" s="21">
        <v>29</v>
      </c>
    </row>
    <row r="199" spans="1:63" s="25" customFormat="1" ht="48" x14ac:dyDescent="0.2">
      <c r="A199" s="21">
        <v>20700406</v>
      </c>
      <c r="B199" s="21">
        <v>24380109</v>
      </c>
      <c r="C199" s="21">
        <v>5000</v>
      </c>
      <c r="D199" s="21" t="s">
        <v>73</v>
      </c>
      <c r="E199" s="52" t="s">
        <v>632</v>
      </c>
      <c r="F199" s="21" t="s">
        <v>633</v>
      </c>
      <c r="G199" s="21" t="s">
        <v>125</v>
      </c>
      <c r="H199" s="21" t="s">
        <v>126</v>
      </c>
      <c r="I199" s="21" t="s">
        <v>65</v>
      </c>
      <c r="J199" s="21" t="s">
        <v>82</v>
      </c>
      <c r="K199" s="21" t="s">
        <v>66</v>
      </c>
      <c r="L199" s="21" t="s">
        <v>76</v>
      </c>
      <c r="M199" s="21" t="s">
        <v>60</v>
      </c>
      <c r="N199" s="21" t="s">
        <v>61</v>
      </c>
      <c r="O199" s="21" t="s">
        <v>130</v>
      </c>
      <c r="P199" s="21">
        <v>16.3</v>
      </c>
      <c r="Q199" s="21">
        <v>28</v>
      </c>
      <c r="R199" s="21">
        <v>16</v>
      </c>
      <c r="S199" s="21">
        <v>6.8</v>
      </c>
      <c r="T199" s="21">
        <v>1931</v>
      </c>
      <c r="U199" s="21">
        <v>11001</v>
      </c>
      <c r="V199" s="21">
        <v>0</v>
      </c>
      <c r="W199" s="21">
        <f t="shared" ref="W199:W206" si="53">(P199+Q199+T199+R199+S199+U199)</f>
        <v>12999.1</v>
      </c>
      <c r="X199" s="2" t="str">
        <f t="shared" si="44"/>
        <v>3</v>
      </c>
      <c r="Y199" s="2" t="str">
        <f t="shared" si="43"/>
        <v>1</v>
      </c>
      <c r="Z199" s="3">
        <f t="shared" si="45"/>
        <v>2</v>
      </c>
      <c r="AA199" s="21">
        <v>31</v>
      </c>
      <c r="AB199" s="21">
        <v>26</v>
      </c>
      <c r="AC199" s="21">
        <v>0.02</v>
      </c>
      <c r="AD199" s="21">
        <v>41.3</v>
      </c>
      <c r="AE199" s="21">
        <f t="shared" si="46"/>
        <v>2065</v>
      </c>
      <c r="AF199" s="21" t="str">
        <f t="shared" si="47"/>
        <v>2</v>
      </c>
      <c r="AG199" s="21" t="str">
        <f t="shared" si="48"/>
        <v>1</v>
      </c>
      <c r="AH199" s="22">
        <f t="shared" si="49"/>
        <v>1.5</v>
      </c>
      <c r="AI199" s="21">
        <v>1</v>
      </c>
      <c r="AJ199" s="21">
        <v>83.7</v>
      </c>
      <c r="AK199" s="21">
        <f>AJ199*1.02</f>
        <v>85.374000000000009</v>
      </c>
      <c r="AL199" s="21">
        <v>209.2</v>
      </c>
      <c r="AM199" s="21">
        <f>AL199*1.02</f>
        <v>213.38399999999999</v>
      </c>
      <c r="AN199" s="21" t="s">
        <v>61</v>
      </c>
      <c r="AO199" s="21" t="s">
        <v>61</v>
      </c>
      <c r="AP199" s="21">
        <v>102</v>
      </c>
      <c r="AQ199" s="23" t="str">
        <f t="shared" si="50"/>
        <v>5</v>
      </c>
      <c r="AR199" s="21">
        <v>1</v>
      </c>
      <c r="AS199" s="21">
        <v>1</v>
      </c>
      <c r="AT199" s="21">
        <v>1</v>
      </c>
      <c r="AU199" s="21">
        <v>1</v>
      </c>
      <c r="AV199" s="21">
        <v>1</v>
      </c>
      <c r="AW199" s="21" t="s">
        <v>61</v>
      </c>
      <c r="AX199" s="21">
        <v>1</v>
      </c>
      <c r="AY199" s="21">
        <v>2009</v>
      </c>
      <c r="AZ199" s="21">
        <f t="shared" si="51"/>
        <v>15</v>
      </c>
      <c r="BA199" s="21" t="str">
        <f t="shared" si="52"/>
        <v>2</v>
      </c>
      <c r="BB199" s="22">
        <f>(BA199+AX199+AS199+AQ199+AH199+Z199)/3</f>
        <v>4.166666666666667</v>
      </c>
      <c r="BC199" s="21" t="s">
        <v>184</v>
      </c>
      <c r="BD199" s="24" t="s">
        <v>634</v>
      </c>
      <c r="BE199" s="21" t="s">
        <v>476</v>
      </c>
      <c r="BF199" s="27">
        <v>64000000</v>
      </c>
      <c r="BG199" s="27"/>
      <c r="BH199" s="27">
        <v>18000000</v>
      </c>
      <c r="BI199" s="21">
        <v>3205</v>
      </c>
      <c r="BJ199" s="21">
        <v>85490</v>
      </c>
      <c r="BK199" s="21">
        <v>14.9</v>
      </c>
    </row>
    <row r="200" spans="1:63" ht="64" hidden="1" x14ac:dyDescent="0.2">
      <c r="A200" s="2">
        <v>20028665</v>
      </c>
      <c r="B200" s="2">
        <v>1079537104</v>
      </c>
      <c r="C200" s="2">
        <v>6500</v>
      </c>
      <c r="D200" s="2" t="s">
        <v>73</v>
      </c>
      <c r="E200" s="2" t="s">
        <v>632</v>
      </c>
      <c r="F200" s="2" t="s">
        <v>635</v>
      </c>
      <c r="G200" s="2" t="s">
        <v>58</v>
      </c>
      <c r="H200" s="2" t="s">
        <v>59</v>
      </c>
      <c r="I200" s="2" t="s">
        <v>81</v>
      </c>
      <c r="J200" s="2" t="s">
        <v>82</v>
      </c>
      <c r="K200" s="2" t="s">
        <v>66</v>
      </c>
      <c r="L200" s="2" t="s">
        <v>76</v>
      </c>
      <c r="M200" s="2" t="s">
        <v>60</v>
      </c>
      <c r="N200" s="2" t="s">
        <v>61</v>
      </c>
      <c r="O200" s="2" t="s">
        <v>83</v>
      </c>
      <c r="P200" s="2">
        <v>2.1</v>
      </c>
      <c r="Q200" s="2">
        <v>0.5</v>
      </c>
      <c r="R200" s="2">
        <v>0.1</v>
      </c>
      <c r="S200" s="2">
        <v>0.2</v>
      </c>
      <c r="T200" s="2">
        <v>26</v>
      </c>
      <c r="U200" s="2">
        <v>85</v>
      </c>
      <c r="V200" s="2">
        <v>0</v>
      </c>
      <c r="W200" s="2">
        <f t="shared" si="53"/>
        <v>113.9</v>
      </c>
      <c r="X200" s="2" t="str">
        <f t="shared" si="44"/>
        <v>1</v>
      </c>
      <c r="Y200" s="2" t="str">
        <f t="shared" si="43"/>
        <v>1</v>
      </c>
      <c r="Z200" s="3">
        <f t="shared" si="45"/>
        <v>1</v>
      </c>
      <c r="AA200" s="2">
        <v>59</v>
      </c>
      <c r="AB200" s="2">
        <v>5</v>
      </c>
      <c r="AC200" s="2">
        <v>0.02</v>
      </c>
      <c r="AD200" s="2">
        <v>46.3</v>
      </c>
      <c r="AE200" s="2">
        <f t="shared" si="46"/>
        <v>2315</v>
      </c>
      <c r="AF200" s="2" t="str">
        <f t="shared" si="47"/>
        <v>1</v>
      </c>
      <c r="AG200" s="2" t="str">
        <f t="shared" si="48"/>
        <v>1</v>
      </c>
      <c r="AH200" s="3">
        <f t="shared" si="49"/>
        <v>1</v>
      </c>
      <c r="AI200" s="2">
        <v>1</v>
      </c>
      <c r="AJ200" s="2">
        <v>108.78</v>
      </c>
      <c r="AK200" s="2">
        <f>AJ200*0.76</f>
        <v>82.672799999999995</v>
      </c>
      <c r="AL200" s="2">
        <v>271.94</v>
      </c>
      <c r="AM200" s="2">
        <f>AL200*0.76</f>
        <v>206.67439999999999</v>
      </c>
      <c r="AN200" s="2" t="s">
        <v>61</v>
      </c>
      <c r="AO200" s="2" t="s">
        <v>490</v>
      </c>
      <c r="AP200" s="2">
        <v>76</v>
      </c>
      <c r="AQ200" s="19" t="str">
        <f t="shared" si="50"/>
        <v>2</v>
      </c>
      <c r="AR200" s="2">
        <v>1</v>
      </c>
      <c r="AS200" s="2">
        <v>1</v>
      </c>
      <c r="AT200" s="2">
        <v>1</v>
      </c>
      <c r="AU200" s="2">
        <v>1</v>
      </c>
      <c r="AV200" s="2">
        <v>1</v>
      </c>
      <c r="AW200" s="2" t="s">
        <v>61</v>
      </c>
      <c r="AX200" s="2">
        <v>1</v>
      </c>
      <c r="AY200" s="2">
        <v>2023</v>
      </c>
      <c r="AZ200" s="2">
        <f t="shared" si="51"/>
        <v>1</v>
      </c>
      <c r="BA200" s="2" t="str">
        <f t="shared" si="52"/>
        <v>1</v>
      </c>
      <c r="BB200" s="3">
        <f>(BA200+AX200+AS200+AQ200+AH200+Z200)/7</f>
        <v>1</v>
      </c>
      <c r="BC200" s="2" t="s">
        <v>107</v>
      </c>
      <c r="BD200" s="8" t="s">
        <v>120</v>
      </c>
      <c r="BE200" s="2"/>
      <c r="BF200" s="2"/>
      <c r="BG200" s="2"/>
      <c r="BH200" s="2"/>
      <c r="BI200" s="2">
        <v>4765</v>
      </c>
      <c r="BJ200" s="2">
        <v>20778</v>
      </c>
      <c r="BK200" s="2">
        <v>0</v>
      </c>
    </row>
    <row r="201" spans="1:63" ht="64" hidden="1" x14ac:dyDescent="0.2">
      <c r="A201" s="2">
        <v>20700275</v>
      </c>
      <c r="B201" s="2">
        <v>1081030760</v>
      </c>
      <c r="C201" s="2">
        <v>50000</v>
      </c>
      <c r="D201" s="2" t="s">
        <v>134</v>
      </c>
      <c r="E201" s="2" t="s">
        <v>636</v>
      </c>
      <c r="F201" s="2" t="s">
        <v>637</v>
      </c>
      <c r="G201" s="2" t="s">
        <v>70</v>
      </c>
      <c r="H201" s="2" t="s">
        <v>70</v>
      </c>
      <c r="I201" s="2" t="s">
        <v>81</v>
      </c>
      <c r="J201" s="2" t="s">
        <v>82</v>
      </c>
      <c r="K201" s="2" t="s">
        <v>48</v>
      </c>
      <c r="L201" s="2">
        <v>66</v>
      </c>
      <c r="M201" s="2" t="s">
        <v>60</v>
      </c>
      <c r="N201" s="2" t="s">
        <v>61</v>
      </c>
      <c r="O201" s="2" t="s">
        <v>219</v>
      </c>
      <c r="P201" s="2">
        <v>0</v>
      </c>
      <c r="Q201" s="2">
        <v>0</v>
      </c>
      <c r="R201" s="2">
        <v>0</v>
      </c>
      <c r="S201" s="2">
        <v>0</v>
      </c>
      <c r="T201" s="2">
        <v>0</v>
      </c>
      <c r="U201" s="2">
        <v>19</v>
      </c>
      <c r="V201" s="2">
        <v>0</v>
      </c>
      <c r="W201" s="2">
        <f t="shared" si="53"/>
        <v>19</v>
      </c>
      <c r="X201" s="2" t="str">
        <f t="shared" si="44"/>
        <v>1</v>
      </c>
      <c r="Y201" s="2" t="str">
        <f t="shared" si="43"/>
        <v>1</v>
      </c>
      <c r="Z201" s="3">
        <f t="shared" si="45"/>
        <v>1</v>
      </c>
      <c r="AA201" s="2">
        <v>83</v>
      </c>
      <c r="AB201" s="2">
        <v>4.2</v>
      </c>
      <c r="AC201" s="2">
        <v>0.01</v>
      </c>
      <c r="AD201" s="2">
        <v>46.1</v>
      </c>
      <c r="AE201" s="2">
        <f t="shared" si="46"/>
        <v>4610</v>
      </c>
      <c r="AF201" s="2" t="str">
        <f t="shared" si="47"/>
        <v>1</v>
      </c>
      <c r="AG201" s="2" t="str">
        <f t="shared" si="48"/>
        <v>1</v>
      </c>
      <c r="AH201" s="3">
        <f t="shared" si="49"/>
        <v>1</v>
      </c>
      <c r="AI201" s="2">
        <v>1</v>
      </c>
      <c r="AJ201" s="2">
        <v>437.4</v>
      </c>
      <c r="AK201" s="2">
        <f>AJ201*0.62</f>
        <v>271.18799999999999</v>
      </c>
      <c r="AL201" s="2">
        <v>2091.8000000000002</v>
      </c>
      <c r="AM201" s="2">
        <f>AL201*0.62</f>
        <v>1296.9160000000002</v>
      </c>
      <c r="AN201" s="2">
        <v>0</v>
      </c>
      <c r="AO201" s="2">
        <v>0</v>
      </c>
      <c r="AP201" s="2">
        <v>62</v>
      </c>
      <c r="AQ201" s="19" t="str">
        <f t="shared" si="50"/>
        <v>1</v>
      </c>
      <c r="AR201" s="2">
        <v>1</v>
      </c>
      <c r="AS201" s="2">
        <v>1</v>
      </c>
      <c r="AT201" s="2">
        <v>1</v>
      </c>
      <c r="AU201" s="2">
        <v>1</v>
      </c>
      <c r="AV201" s="2">
        <v>1</v>
      </c>
      <c r="AW201" s="2">
        <v>1</v>
      </c>
      <c r="AX201" s="2">
        <v>1</v>
      </c>
      <c r="AY201" s="2">
        <v>2023</v>
      </c>
      <c r="AZ201" s="2">
        <f t="shared" si="51"/>
        <v>1</v>
      </c>
      <c r="BA201" s="2" t="str">
        <f t="shared" si="52"/>
        <v>1</v>
      </c>
      <c r="BB201" s="3">
        <f>(Z201+AH201+AI201+AQ201+AS201+AX201+BA201)/7</f>
        <v>1</v>
      </c>
      <c r="BC201" s="2" t="s">
        <v>107</v>
      </c>
      <c r="BD201" s="8" t="s">
        <v>120</v>
      </c>
      <c r="BE201" s="2"/>
      <c r="BF201" s="2"/>
      <c r="BG201" s="2"/>
      <c r="BH201" s="2"/>
      <c r="BI201" s="2">
        <v>3172</v>
      </c>
      <c r="BJ201" s="2">
        <v>12756</v>
      </c>
      <c r="BK201" s="2">
        <v>0</v>
      </c>
    </row>
    <row r="202" spans="1:63" ht="32" hidden="1" x14ac:dyDescent="0.2">
      <c r="A202" s="2">
        <v>20019077</v>
      </c>
      <c r="B202" s="2" t="s">
        <v>638</v>
      </c>
      <c r="C202" s="2">
        <v>48000</v>
      </c>
      <c r="D202" s="2" t="s">
        <v>134</v>
      </c>
      <c r="E202" s="2" t="s">
        <v>639</v>
      </c>
      <c r="F202" s="2" t="s">
        <v>640</v>
      </c>
      <c r="G202" s="2" t="s">
        <v>70</v>
      </c>
      <c r="H202" s="2" t="s">
        <v>70</v>
      </c>
      <c r="I202" s="2" t="s">
        <v>81</v>
      </c>
      <c r="J202" s="2" t="s">
        <v>82</v>
      </c>
      <c r="K202" s="2" t="s">
        <v>66</v>
      </c>
      <c r="L202" s="2">
        <v>66</v>
      </c>
      <c r="M202" s="2" t="s">
        <v>137</v>
      </c>
      <c r="N202" s="2" t="s">
        <v>60</v>
      </c>
      <c r="O202" s="2" t="s">
        <v>311</v>
      </c>
      <c r="P202" s="2">
        <v>2.1</v>
      </c>
      <c r="Q202" s="2">
        <v>3</v>
      </c>
      <c r="R202" s="2">
        <v>37</v>
      </c>
      <c r="S202" s="2">
        <v>1</v>
      </c>
      <c r="T202" s="2">
        <v>318</v>
      </c>
      <c r="U202" s="2">
        <v>1875</v>
      </c>
      <c r="V202" s="2">
        <v>0</v>
      </c>
      <c r="W202" s="2">
        <f t="shared" si="53"/>
        <v>2236.1</v>
      </c>
      <c r="X202" s="2" t="str">
        <f t="shared" si="44"/>
        <v>1</v>
      </c>
      <c r="Y202" s="2" t="str">
        <f t="shared" si="43"/>
        <v>1</v>
      </c>
      <c r="Z202" s="3">
        <f t="shared" si="45"/>
        <v>1</v>
      </c>
      <c r="AA202" s="2">
        <v>25</v>
      </c>
      <c r="AB202" s="2">
        <v>19</v>
      </c>
      <c r="AC202" s="2">
        <v>0.02</v>
      </c>
      <c r="AD202" s="2">
        <v>40.4</v>
      </c>
      <c r="AE202" s="2">
        <f t="shared" si="46"/>
        <v>2020</v>
      </c>
      <c r="AF202" s="2" t="str">
        <f t="shared" si="47"/>
        <v>3</v>
      </c>
      <c r="AG202" s="2" t="str">
        <f t="shared" si="48"/>
        <v>1</v>
      </c>
      <c r="AH202" s="3">
        <f t="shared" si="49"/>
        <v>2</v>
      </c>
      <c r="AI202" s="2">
        <v>1</v>
      </c>
      <c r="AJ202" s="2">
        <v>419.9</v>
      </c>
      <c r="AK202" s="2">
        <f>AJ202*0.31</f>
        <v>130.16899999999998</v>
      </c>
      <c r="AL202" s="2">
        <v>401.6</v>
      </c>
      <c r="AM202" s="2">
        <f>AL202*0.83</f>
        <v>333.32799999999997</v>
      </c>
      <c r="AN202" s="2">
        <v>1004.1</v>
      </c>
      <c r="AO202" s="2">
        <v>0</v>
      </c>
      <c r="AP202" s="2">
        <v>31</v>
      </c>
      <c r="AQ202" s="19" t="str">
        <f t="shared" si="50"/>
        <v>1</v>
      </c>
      <c r="AR202" s="2">
        <v>1</v>
      </c>
      <c r="AS202" s="2">
        <v>1</v>
      </c>
      <c r="AT202" s="2">
        <v>1</v>
      </c>
      <c r="AU202" s="2">
        <v>1</v>
      </c>
      <c r="AV202" s="2">
        <v>1</v>
      </c>
      <c r="AW202" s="2">
        <v>1</v>
      </c>
      <c r="AX202" s="2">
        <v>1</v>
      </c>
      <c r="AY202" s="2">
        <v>1996</v>
      </c>
      <c r="AZ202" s="2">
        <f t="shared" si="51"/>
        <v>28</v>
      </c>
      <c r="BA202" s="2" t="str">
        <f t="shared" si="52"/>
        <v>3</v>
      </c>
      <c r="BB202" s="3">
        <f>(Z202+AH202+AI202+AQ202+AS202+AX202+BA202)/4</f>
        <v>2.5</v>
      </c>
      <c r="BC202" s="2" t="s">
        <v>111</v>
      </c>
      <c r="BD202" s="8" t="s">
        <v>315</v>
      </c>
      <c r="BE202" s="2" t="s">
        <v>641</v>
      </c>
      <c r="BF202" s="2"/>
      <c r="BG202" s="2">
        <v>280000000</v>
      </c>
      <c r="BH202" s="2">
        <v>21000000</v>
      </c>
      <c r="BI202" s="2">
        <v>27618</v>
      </c>
      <c r="BJ202" s="2">
        <v>73676</v>
      </c>
      <c r="BK202" s="2">
        <v>7.7</v>
      </c>
    </row>
    <row r="203" spans="1:63" ht="16" x14ac:dyDescent="0.2">
      <c r="A203" s="2">
        <v>20019077</v>
      </c>
      <c r="B203" s="2" t="s">
        <v>642</v>
      </c>
      <c r="C203" s="2">
        <v>6000</v>
      </c>
      <c r="D203" s="2" t="s">
        <v>73</v>
      </c>
      <c r="E203" s="53" t="s">
        <v>639</v>
      </c>
      <c r="F203" s="2" t="s">
        <v>643</v>
      </c>
      <c r="G203" s="2" t="s">
        <v>70</v>
      </c>
      <c r="H203" s="2" t="s">
        <v>70</v>
      </c>
      <c r="I203" s="2" t="s">
        <v>65</v>
      </c>
      <c r="J203" s="2" t="s">
        <v>61</v>
      </c>
      <c r="K203" s="2" t="s">
        <v>66</v>
      </c>
      <c r="L203" s="2">
        <v>66</v>
      </c>
      <c r="M203" s="2" t="s">
        <v>60</v>
      </c>
      <c r="N203" s="2" t="s">
        <v>61</v>
      </c>
      <c r="O203" s="2" t="s">
        <v>644</v>
      </c>
      <c r="P203" s="2">
        <v>3.9</v>
      </c>
      <c r="Q203" s="2">
        <v>2.5</v>
      </c>
      <c r="R203" s="2">
        <v>7.5</v>
      </c>
      <c r="S203" s="2">
        <v>0.6</v>
      </c>
      <c r="T203" s="2">
        <v>242</v>
      </c>
      <c r="U203" s="2">
        <v>3476</v>
      </c>
      <c r="V203" s="2">
        <v>0</v>
      </c>
      <c r="W203" s="2">
        <f t="shared" si="53"/>
        <v>3732.5</v>
      </c>
      <c r="X203" s="2" t="str">
        <f t="shared" si="44"/>
        <v>1</v>
      </c>
      <c r="Y203" s="2" t="str">
        <f t="shared" si="43"/>
        <v>1</v>
      </c>
      <c r="Z203" s="3">
        <f t="shared" si="45"/>
        <v>1</v>
      </c>
      <c r="AA203" s="2">
        <v>14</v>
      </c>
      <c r="AB203" s="2">
        <v>35</v>
      </c>
      <c r="AC203" s="2">
        <v>0.02</v>
      </c>
      <c r="AD203" s="2">
        <v>39.6</v>
      </c>
      <c r="AE203" s="2">
        <f t="shared" si="46"/>
        <v>1980</v>
      </c>
      <c r="AF203" s="2" t="str">
        <f t="shared" si="47"/>
        <v>5</v>
      </c>
      <c r="AG203" s="2" t="str">
        <f t="shared" si="48"/>
        <v>1</v>
      </c>
      <c r="AH203" s="3">
        <f t="shared" si="49"/>
        <v>3</v>
      </c>
      <c r="AI203" s="2">
        <v>5</v>
      </c>
      <c r="AJ203" s="2">
        <v>52</v>
      </c>
      <c r="AK203" s="2">
        <f>AJ203*0.7</f>
        <v>36.4</v>
      </c>
      <c r="AL203" s="2">
        <v>248</v>
      </c>
      <c r="AM203" s="2">
        <f>AL203*0.7</f>
        <v>173.6</v>
      </c>
      <c r="AN203" s="2">
        <v>0</v>
      </c>
      <c r="AO203" s="2">
        <v>0</v>
      </c>
      <c r="AP203" s="2">
        <v>70</v>
      </c>
      <c r="AQ203" s="19" t="str">
        <f t="shared" si="50"/>
        <v>2</v>
      </c>
      <c r="AR203" s="2">
        <v>1</v>
      </c>
      <c r="AS203" s="2">
        <v>1</v>
      </c>
      <c r="AT203" s="2">
        <v>1</v>
      </c>
      <c r="AU203" s="2">
        <v>1</v>
      </c>
      <c r="AV203" s="2">
        <v>1</v>
      </c>
      <c r="AW203" s="2" t="s">
        <v>61</v>
      </c>
      <c r="AX203" s="2">
        <v>1</v>
      </c>
      <c r="AY203" s="2">
        <v>1971</v>
      </c>
      <c r="AZ203" s="2">
        <f t="shared" si="51"/>
        <v>53</v>
      </c>
      <c r="BA203" s="2" t="str">
        <f t="shared" si="52"/>
        <v>5</v>
      </c>
      <c r="BB203" s="3">
        <f>(Z203+AH203+AI203+AQ203+AS203+AX203+BA203)/5</f>
        <v>3.6</v>
      </c>
      <c r="BC203" s="2" t="s">
        <v>184</v>
      </c>
      <c r="BD203" s="8" t="s">
        <v>570</v>
      </c>
      <c r="BE203" s="2" t="s">
        <v>429</v>
      </c>
      <c r="BF203" s="26"/>
      <c r="BG203" s="26">
        <v>45600000</v>
      </c>
      <c r="BH203" s="26">
        <v>9000000</v>
      </c>
      <c r="BI203" s="2">
        <v>30287</v>
      </c>
      <c r="BJ203" s="2">
        <v>72055</v>
      </c>
      <c r="BK203" s="2">
        <v>1.9</v>
      </c>
    </row>
    <row r="204" spans="1:63" ht="64" hidden="1" x14ac:dyDescent="0.2">
      <c r="A204" s="2">
        <v>20019071</v>
      </c>
      <c r="B204" s="2">
        <v>1057474110</v>
      </c>
      <c r="C204" s="2">
        <v>35000</v>
      </c>
      <c r="D204" s="2" t="s">
        <v>152</v>
      </c>
      <c r="E204" s="2" t="s">
        <v>645</v>
      </c>
      <c r="F204" s="2" t="s">
        <v>646</v>
      </c>
      <c r="G204" s="2" t="s">
        <v>70</v>
      </c>
      <c r="H204" s="2" t="s">
        <v>70</v>
      </c>
      <c r="I204" s="2" t="s">
        <v>81</v>
      </c>
      <c r="J204" s="2" t="s">
        <v>82</v>
      </c>
      <c r="K204" s="2" t="s">
        <v>48</v>
      </c>
      <c r="L204" s="2">
        <v>66</v>
      </c>
      <c r="M204" s="2" t="s">
        <v>60</v>
      </c>
      <c r="N204" s="2" t="s">
        <v>61</v>
      </c>
      <c r="O204" s="2" t="s">
        <v>155</v>
      </c>
      <c r="P204" s="2">
        <v>21</v>
      </c>
      <c r="Q204" s="2">
        <v>8.1</v>
      </c>
      <c r="R204" s="2">
        <v>0.7</v>
      </c>
      <c r="S204" s="2">
        <v>1.2</v>
      </c>
      <c r="T204" s="2">
        <v>687</v>
      </c>
      <c r="U204" s="2">
        <v>2087</v>
      </c>
      <c r="V204" s="2">
        <v>0</v>
      </c>
      <c r="W204" s="2">
        <f t="shared" si="53"/>
        <v>2805</v>
      </c>
      <c r="X204" s="2" t="str">
        <f t="shared" si="44"/>
        <v>1</v>
      </c>
      <c r="Y204" s="2" t="str">
        <f t="shared" si="43"/>
        <v>1</v>
      </c>
      <c r="Z204" s="3">
        <f t="shared" si="45"/>
        <v>1</v>
      </c>
      <c r="AA204" s="2">
        <v>64</v>
      </c>
      <c r="AB204" s="2">
        <v>6</v>
      </c>
      <c r="AC204" s="2">
        <v>0.02</v>
      </c>
      <c r="AD204" s="2">
        <v>46.6</v>
      </c>
      <c r="AE204" s="2">
        <f t="shared" si="46"/>
        <v>2330</v>
      </c>
      <c r="AF204" s="2" t="str">
        <f t="shared" si="47"/>
        <v>1</v>
      </c>
      <c r="AG204" s="2" t="str">
        <f t="shared" si="48"/>
        <v>1</v>
      </c>
      <c r="AH204" s="3">
        <f t="shared" si="49"/>
        <v>1</v>
      </c>
      <c r="AI204" s="2">
        <v>1</v>
      </c>
      <c r="AJ204" s="2">
        <v>306</v>
      </c>
      <c r="AK204" s="2">
        <f>AJ204*0.3</f>
        <v>91.8</v>
      </c>
      <c r="AL204" s="2">
        <v>1464.3</v>
      </c>
      <c r="AM204" s="2">
        <f>AL204*0.3</f>
        <v>439.28999999999996</v>
      </c>
      <c r="AN204" s="2" t="s">
        <v>61</v>
      </c>
      <c r="AO204" s="2" t="s">
        <v>61</v>
      </c>
      <c r="AP204" s="2">
        <v>30</v>
      </c>
      <c r="AQ204" s="19" t="str">
        <f t="shared" si="50"/>
        <v>1</v>
      </c>
      <c r="AR204" s="2">
        <v>1</v>
      </c>
      <c r="AS204" s="2">
        <v>1</v>
      </c>
      <c r="AT204" s="2">
        <v>1</v>
      </c>
      <c r="AU204" s="2">
        <v>1</v>
      </c>
      <c r="AV204" s="2">
        <v>1</v>
      </c>
      <c r="AW204" s="2">
        <v>1</v>
      </c>
      <c r="AX204" s="2">
        <v>1</v>
      </c>
      <c r="AY204" s="2">
        <v>2021</v>
      </c>
      <c r="AZ204" s="2">
        <f t="shared" si="51"/>
        <v>3</v>
      </c>
      <c r="BA204" s="2" t="str">
        <f t="shared" si="52"/>
        <v>1</v>
      </c>
      <c r="BB204" s="3">
        <f>(Z204+AH204+AI204+AQ204+AS204+AX204+BA204)/5</f>
        <v>1.4</v>
      </c>
      <c r="BC204" s="2" t="s">
        <v>107</v>
      </c>
      <c r="BD204" s="8" t="s">
        <v>120</v>
      </c>
      <c r="BE204" s="2"/>
      <c r="BF204" s="2"/>
      <c r="BG204" s="2"/>
      <c r="BH204" s="2"/>
      <c r="BI204" s="2">
        <v>8528</v>
      </c>
      <c r="BJ204" s="2">
        <v>72767</v>
      </c>
      <c r="BK204" s="2">
        <v>2.1</v>
      </c>
    </row>
    <row r="205" spans="1:63" ht="32" hidden="1" x14ac:dyDescent="0.2">
      <c r="A205" s="2">
        <v>20019071</v>
      </c>
      <c r="B205" s="2" t="s">
        <v>647</v>
      </c>
      <c r="C205" s="2">
        <v>35000</v>
      </c>
      <c r="D205" s="2" t="s">
        <v>152</v>
      </c>
      <c r="E205" s="2" t="s">
        <v>645</v>
      </c>
      <c r="F205" s="2" t="s">
        <v>648</v>
      </c>
      <c r="G205" s="2" t="s">
        <v>70</v>
      </c>
      <c r="H205" s="2" t="s">
        <v>70</v>
      </c>
      <c r="I205" s="2" t="s">
        <v>81</v>
      </c>
      <c r="J205" s="2" t="s">
        <v>82</v>
      </c>
      <c r="K205" s="2" t="s">
        <v>48</v>
      </c>
      <c r="L205" s="2">
        <v>66</v>
      </c>
      <c r="M205" s="2" t="s">
        <v>60</v>
      </c>
      <c r="N205" s="2" t="s">
        <v>61</v>
      </c>
      <c r="O205" s="2" t="s">
        <v>155</v>
      </c>
      <c r="P205" s="2">
        <v>12</v>
      </c>
      <c r="Q205" s="2">
        <v>10.3</v>
      </c>
      <c r="R205" s="2">
        <v>157</v>
      </c>
      <c r="S205" s="2">
        <v>2.5</v>
      </c>
      <c r="T205" s="2">
        <v>804</v>
      </c>
      <c r="U205" s="2">
        <v>11000</v>
      </c>
      <c r="V205" s="2">
        <v>0</v>
      </c>
      <c r="W205" s="2">
        <f t="shared" si="53"/>
        <v>11985.8</v>
      </c>
      <c r="X205" s="2" t="str">
        <f t="shared" si="44"/>
        <v>3</v>
      </c>
      <c r="Y205" s="2" t="str">
        <f t="shared" si="43"/>
        <v>1</v>
      </c>
      <c r="Z205" s="3">
        <f t="shared" si="45"/>
        <v>2</v>
      </c>
      <c r="AA205" s="2">
        <v>14</v>
      </c>
      <c r="AB205" s="2">
        <v>37</v>
      </c>
      <c r="AC205" s="2">
        <v>0.03</v>
      </c>
      <c r="AD205" s="2">
        <v>37.700000000000003</v>
      </c>
      <c r="AE205" s="2">
        <f t="shared" si="46"/>
        <v>1256.6666666666667</v>
      </c>
      <c r="AF205" s="2" t="str">
        <f t="shared" si="47"/>
        <v>5</v>
      </c>
      <c r="AG205" s="2" t="str">
        <f t="shared" si="48"/>
        <v>2</v>
      </c>
      <c r="AH205" s="3">
        <f t="shared" si="49"/>
        <v>3.5</v>
      </c>
      <c r="AI205" s="2">
        <v>3</v>
      </c>
      <c r="AJ205" s="2">
        <v>318.2</v>
      </c>
      <c r="AK205" s="2">
        <f>AJ205*0.6</f>
        <v>190.92</v>
      </c>
      <c r="AL205" s="2">
        <v>1464.3</v>
      </c>
      <c r="AM205" s="2">
        <f>AL205*0.6</f>
        <v>878.57999999999993</v>
      </c>
      <c r="AN205" s="2" t="s">
        <v>61</v>
      </c>
      <c r="AO205" s="2" t="s">
        <v>61</v>
      </c>
      <c r="AP205" s="2">
        <v>60</v>
      </c>
      <c r="AQ205" s="19" t="str">
        <f t="shared" si="50"/>
        <v>1</v>
      </c>
      <c r="AR205" s="2">
        <v>1</v>
      </c>
      <c r="AS205" s="2">
        <v>1</v>
      </c>
      <c r="AT205" s="2">
        <v>5</v>
      </c>
      <c r="AU205" s="2">
        <v>1</v>
      </c>
      <c r="AV205" s="2">
        <v>1</v>
      </c>
      <c r="AW205" s="2">
        <v>1</v>
      </c>
      <c r="AX205" s="2">
        <v>2</v>
      </c>
      <c r="AY205" s="2">
        <v>1992</v>
      </c>
      <c r="AZ205" s="2">
        <f t="shared" si="51"/>
        <v>32</v>
      </c>
      <c r="BA205" s="2" t="str">
        <f t="shared" si="52"/>
        <v>4</v>
      </c>
      <c r="BB205" s="3">
        <f>(Z205+AH205+AI205+AQ205+AS205+AX205+BA205)/5</f>
        <v>3.3</v>
      </c>
      <c r="BC205" s="2" t="s">
        <v>111</v>
      </c>
      <c r="BD205" s="8" t="s">
        <v>649</v>
      </c>
      <c r="BE205" s="2" t="s">
        <v>228</v>
      </c>
      <c r="BF205" s="2"/>
      <c r="BG205" s="2"/>
      <c r="BH205" s="2">
        <v>25000000</v>
      </c>
      <c r="BI205" s="2">
        <v>3497</v>
      </c>
      <c r="BJ205" s="2">
        <v>65791</v>
      </c>
      <c r="BK205" s="2">
        <v>7.2</v>
      </c>
    </row>
    <row r="206" spans="1:63" s="25" customFormat="1" ht="32" x14ac:dyDescent="0.2">
      <c r="A206" s="21">
        <v>20019071</v>
      </c>
      <c r="B206" s="21" t="s">
        <v>650</v>
      </c>
      <c r="C206" s="21">
        <v>35000</v>
      </c>
      <c r="D206" s="21" t="s">
        <v>152</v>
      </c>
      <c r="E206" s="53" t="s">
        <v>645</v>
      </c>
      <c r="F206" s="21" t="s">
        <v>651</v>
      </c>
      <c r="G206" s="21" t="s">
        <v>70</v>
      </c>
      <c r="H206" s="21" t="s">
        <v>70</v>
      </c>
      <c r="I206" s="21" t="s">
        <v>81</v>
      </c>
      <c r="J206" s="21" t="s">
        <v>82</v>
      </c>
      <c r="K206" s="21" t="s">
        <v>48</v>
      </c>
      <c r="L206" s="21">
        <v>66</v>
      </c>
      <c r="M206" s="21" t="s">
        <v>60</v>
      </c>
      <c r="N206" s="21" t="s">
        <v>61</v>
      </c>
      <c r="O206" s="21" t="s">
        <v>155</v>
      </c>
      <c r="P206" s="21">
        <v>31</v>
      </c>
      <c r="Q206" s="21">
        <v>23</v>
      </c>
      <c r="R206" s="21">
        <v>3.3</v>
      </c>
      <c r="S206" s="21">
        <v>6.2</v>
      </c>
      <c r="T206" s="21">
        <v>1089</v>
      </c>
      <c r="U206" s="21">
        <v>17459</v>
      </c>
      <c r="V206" s="21">
        <v>0</v>
      </c>
      <c r="W206" s="21">
        <f t="shared" si="53"/>
        <v>18611.5</v>
      </c>
      <c r="X206" s="21" t="str">
        <f t="shared" si="44"/>
        <v>4</v>
      </c>
      <c r="Y206" s="21" t="str">
        <f t="shared" si="43"/>
        <v>1</v>
      </c>
      <c r="Z206" s="22">
        <f t="shared" si="45"/>
        <v>2.5</v>
      </c>
      <c r="AA206" s="21">
        <v>29</v>
      </c>
      <c r="AB206" s="21">
        <v>22</v>
      </c>
      <c r="AC206" s="21">
        <v>0.02</v>
      </c>
      <c r="AD206" s="21">
        <v>44.5</v>
      </c>
      <c r="AE206" s="21">
        <f t="shared" si="46"/>
        <v>2225</v>
      </c>
      <c r="AF206" s="21" t="str">
        <f t="shared" si="47"/>
        <v>2</v>
      </c>
      <c r="AG206" s="21" t="str">
        <f t="shared" si="48"/>
        <v>1</v>
      </c>
      <c r="AH206" s="22">
        <f t="shared" si="49"/>
        <v>1.5</v>
      </c>
      <c r="AI206" s="21">
        <v>1</v>
      </c>
      <c r="AJ206" s="21">
        <v>318.2</v>
      </c>
      <c r="AK206" s="21">
        <f>AJ206*0.6</f>
        <v>190.92</v>
      </c>
      <c r="AL206" s="21">
        <v>1464.3</v>
      </c>
      <c r="AM206" s="21">
        <f>AL206*0.6</f>
        <v>878.57999999999993</v>
      </c>
      <c r="AN206" s="21" t="s">
        <v>61</v>
      </c>
      <c r="AO206" s="21" t="s">
        <v>61</v>
      </c>
      <c r="AP206" s="21">
        <v>60</v>
      </c>
      <c r="AQ206" s="23" t="str">
        <f t="shared" si="50"/>
        <v>1</v>
      </c>
      <c r="AR206" s="21">
        <v>1</v>
      </c>
      <c r="AS206" s="21">
        <v>1</v>
      </c>
      <c r="AT206" s="21">
        <v>1</v>
      </c>
      <c r="AU206" s="21">
        <v>1</v>
      </c>
      <c r="AV206" s="21">
        <v>1</v>
      </c>
      <c r="AW206" s="21">
        <v>1</v>
      </c>
      <c r="AX206" s="21">
        <v>1</v>
      </c>
      <c r="AY206" s="21">
        <v>1992</v>
      </c>
      <c r="AZ206" s="21">
        <f t="shared" si="51"/>
        <v>32</v>
      </c>
      <c r="BA206" s="21" t="str">
        <f t="shared" si="52"/>
        <v>4</v>
      </c>
      <c r="BB206" s="22">
        <f>(Z206+AH206+AI206+AQ206+AS206+AX206+BA206)/3</f>
        <v>4</v>
      </c>
      <c r="BC206" s="21" t="s">
        <v>184</v>
      </c>
      <c r="BD206" s="24" t="s">
        <v>652</v>
      </c>
      <c r="BE206" s="21" t="s">
        <v>653</v>
      </c>
      <c r="BF206" s="21"/>
      <c r="BG206" s="21"/>
      <c r="BH206" s="21"/>
      <c r="BI206" s="21">
        <v>1623</v>
      </c>
      <c r="BJ206" s="21">
        <v>71864</v>
      </c>
      <c r="BK206" s="21">
        <v>5.6</v>
      </c>
    </row>
    <row r="207" spans="1:63" x14ac:dyDescent="0.2">
      <c r="BC207" s="2"/>
    </row>
    <row r="208" spans="1:63" ht="16" thickBot="1" x14ac:dyDescent="0.25"/>
    <row r="209" spans="63:71" ht="17" thickBot="1" x14ac:dyDescent="0.25">
      <c r="BK209" s="121" t="s">
        <v>654</v>
      </c>
      <c r="BL209" s="122"/>
      <c r="BM209" s="122"/>
      <c r="BN209" s="123"/>
      <c r="BP209" s="121" t="s">
        <v>655</v>
      </c>
      <c r="BQ209" s="122"/>
      <c r="BR209" s="122"/>
      <c r="BS209" s="123"/>
    </row>
    <row r="210" spans="63:71" ht="16" thickBot="1" x14ac:dyDescent="0.25">
      <c r="BK210" s="41" t="s">
        <v>656</v>
      </c>
      <c r="BL210" s="42" t="s">
        <v>100</v>
      </c>
      <c r="BM210" s="43" t="s">
        <v>97</v>
      </c>
      <c r="BN210" s="125" t="s">
        <v>73</v>
      </c>
      <c r="BP210" s="41" t="s">
        <v>656</v>
      </c>
      <c r="BQ210" s="42" t="s">
        <v>100</v>
      </c>
      <c r="BR210" s="43" t="s">
        <v>97</v>
      </c>
      <c r="BS210" s="125" t="s">
        <v>73</v>
      </c>
    </row>
    <row r="211" spans="63:71" ht="16" thickBot="1" x14ac:dyDescent="0.25">
      <c r="BK211" s="44">
        <f>BG23+BG69+BG70+BG73+BG89+BG112+BG113+BG132+BG139+BG140+BG141+BG153+BG167+BG175+BG180+BG203</f>
        <v>1927600000</v>
      </c>
      <c r="BL211" s="45">
        <f>BF10+BF69+BF112+BF89+BF134+BF139+BF140+BF141+BF153+BF166+BF199</f>
        <v>859300000</v>
      </c>
      <c r="BM211" s="46">
        <f>BH10+BH23+BH31+BH69+BH70+BH73+BH89+BH112+BH113+BH132+BH134+BH139+BH140+BH141+BH153+BH166+BH167+BH175+BH180+BH199+BH203</f>
        <v>236500000</v>
      </c>
      <c r="BN211" s="125"/>
      <c r="BP211" s="44">
        <f>BG5+BG12+BG25+BG42+BG49+BG62+BG72+BG100+BG109+BG110+BG131+BG138+BG149+BG155+BG160+BG173+BG186+BG196+BG197+BG198</f>
        <v>975370000</v>
      </c>
      <c r="BQ211" s="45">
        <f>BF25+BF62+BF72+BF100+BF109+BF138+BF196</f>
        <v>313700000</v>
      </c>
      <c r="BR211" s="46">
        <f>BH5+BH12+BH13+BH25+BH42+BH49+BH60+BH62+BH72+BH100+BH109+BH110+BH138+BH149+BH155+BH160+BH186+BH196+BH197+BH198</f>
        <v>282000000</v>
      </c>
      <c r="BS211" s="125"/>
    </row>
    <row r="212" spans="63:71" ht="16" thickBot="1" x14ac:dyDescent="0.25">
      <c r="BK212" s="41" t="s">
        <v>657</v>
      </c>
      <c r="BL212" s="42" t="s">
        <v>100</v>
      </c>
      <c r="BM212" s="43" t="s">
        <v>97</v>
      </c>
      <c r="BN212" s="125" t="s">
        <v>152</v>
      </c>
      <c r="BP212" s="41" t="s">
        <v>657</v>
      </c>
      <c r="BQ212" s="42" t="s">
        <v>100</v>
      </c>
      <c r="BR212" s="43" t="s">
        <v>97</v>
      </c>
      <c r="BS212" s="125" t="s">
        <v>152</v>
      </c>
    </row>
    <row r="213" spans="63:71" ht="16" thickBot="1" x14ac:dyDescent="0.25">
      <c r="BK213" s="44">
        <f>BG14+BG15+BG21+BG50+BG76+BG81+BG96+BG102+BG103+BG114</f>
        <v>2303380000</v>
      </c>
      <c r="BL213" s="45">
        <f>BF21+BF50+BF76+BF96+BF103+BF114</f>
        <v>407600000</v>
      </c>
      <c r="BM213" s="46">
        <f>BH14+BH15+BH21+BH50+BH76+BH81+BH96+BH99+BH102+BH103+BH114</f>
        <v>240000000</v>
      </c>
      <c r="BN213" s="125"/>
      <c r="BP213" s="44">
        <f>BG20+BG66+BG80+BG88+BG115</f>
        <v>379600000</v>
      </c>
      <c r="BQ213" s="45">
        <f>BF66+BF80+BF86</f>
        <v>110600000</v>
      </c>
      <c r="BR213" s="46">
        <f>BH20+BH66+BH80+BH86+BH88+BH115+BH205</f>
        <v>119000000</v>
      </c>
      <c r="BS213" s="125"/>
    </row>
    <row r="214" spans="63:71" ht="16" thickBot="1" x14ac:dyDescent="0.25">
      <c r="BK214" s="41" t="s">
        <v>658</v>
      </c>
      <c r="BL214" s="42" t="s">
        <v>100</v>
      </c>
      <c r="BM214" s="43" t="s">
        <v>97</v>
      </c>
      <c r="BN214" s="125" t="s">
        <v>134</v>
      </c>
      <c r="BP214" s="41" t="s">
        <v>658</v>
      </c>
      <c r="BQ214" s="42" t="s">
        <v>100</v>
      </c>
      <c r="BR214" s="43" t="s">
        <v>97</v>
      </c>
      <c r="BS214" s="125" t="s">
        <v>134</v>
      </c>
    </row>
    <row r="215" spans="63:71" ht="16" thickBot="1" x14ac:dyDescent="0.25">
      <c r="BK215" s="44">
        <f>BG120+BG121</f>
        <v>1375000000</v>
      </c>
      <c r="BL215" s="45">
        <f>BF120+BF121</f>
        <v>54000000</v>
      </c>
      <c r="BM215" s="46">
        <f>BH120+BH121</f>
        <v>24000000</v>
      </c>
      <c r="BN215" s="125"/>
      <c r="BP215" s="44">
        <f>BG86+BG53+BG146+BG191+BG194+BG202</f>
        <v>2409800000</v>
      </c>
      <c r="BQ215" s="45">
        <f>BF146+BF191</f>
        <v>72350000</v>
      </c>
      <c r="BR215" s="46">
        <f>BH53+BH146+BH191+BH194+BH202</f>
        <v>65000000</v>
      </c>
      <c r="BS215" s="125"/>
    </row>
    <row r="480" spans="8:8" x14ac:dyDescent="0.2">
      <c r="H480" s="13" t="s">
        <v>659</v>
      </c>
    </row>
  </sheetData>
  <autoFilter ref="A2:BK206" xr:uid="{00000000-0009-0000-0000-000003000000}">
    <filterColumn colId="53">
      <filters>
        <filter val="4"/>
      </filters>
    </filterColumn>
  </autoFilter>
  <mergeCells count="12">
    <mergeCell ref="BN210:BN211"/>
    <mergeCell ref="BS210:BS211"/>
    <mergeCell ref="BN212:BN213"/>
    <mergeCell ref="BS212:BS213"/>
    <mergeCell ref="BN214:BN215"/>
    <mergeCell ref="BS214:BS215"/>
    <mergeCell ref="BP209:BS209"/>
    <mergeCell ref="P1:V1"/>
    <mergeCell ref="AA1:AE1"/>
    <mergeCell ref="AJ1:AO1"/>
    <mergeCell ref="AT1:AW1"/>
    <mergeCell ref="BK209:BN209"/>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AB5E5-35FA-2547-8C6E-52452F389AA7}">
  <sheetPr codeName="Hoja5"/>
  <dimension ref="A1:CU27"/>
  <sheetViews>
    <sheetView topLeftCell="B1" zoomScale="175" zoomScaleNormal="55" workbookViewId="0">
      <selection activeCell="B21" sqref="B21"/>
    </sheetView>
  </sheetViews>
  <sheetFormatPr baseColWidth="10" defaultColWidth="11.5" defaultRowHeight="15" x14ac:dyDescent="0.2"/>
  <cols>
    <col min="1" max="1" width="39.33203125" style="61" hidden="1" customWidth="1"/>
    <col min="2" max="2" width="17.33203125" style="61" bestFit="1" customWidth="1"/>
    <col min="3" max="3" width="31.33203125" style="61" bestFit="1" customWidth="1"/>
    <col min="4" max="4" width="56.33203125" style="61" bestFit="1" customWidth="1"/>
    <col min="5" max="5" width="27.6640625" style="61" bestFit="1" customWidth="1"/>
    <col min="6" max="6" width="24.83203125" style="61" bestFit="1" customWidth="1"/>
    <col min="7" max="7" width="17.1640625" style="61" bestFit="1" customWidth="1"/>
    <col min="8" max="8" width="31" style="61" bestFit="1" customWidth="1"/>
    <col min="9" max="18" width="9.33203125" style="61" customWidth="1"/>
    <col min="19" max="30" width="31" style="61" customWidth="1"/>
    <col min="31" max="31" width="31.6640625" style="61" customWidth="1"/>
    <col min="32" max="34" width="31" style="61" customWidth="1"/>
    <col min="35" max="35" width="30.6640625" style="61" bestFit="1" customWidth="1"/>
    <col min="36" max="36" width="27.33203125" style="61" bestFit="1" customWidth="1"/>
    <col min="37" max="37" width="26.1640625" style="61" bestFit="1" customWidth="1"/>
    <col min="38" max="38" width="13.33203125" style="61" hidden="1" customWidth="1"/>
    <col min="39" max="40" width="13.5" style="61" hidden="1" customWidth="1"/>
    <col min="41" max="41" width="15" style="61" hidden="1" customWidth="1"/>
    <col min="42" max="42" width="13.6640625" style="61" hidden="1" customWidth="1"/>
    <col min="43" max="43" width="15.33203125" style="61" hidden="1" customWidth="1"/>
    <col min="44" max="47" width="16.5" style="61" hidden="1" customWidth="1"/>
    <col min="48" max="48" width="17.1640625" style="61" hidden="1" customWidth="1"/>
    <col min="49" max="49" width="22.6640625" style="61" hidden="1" customWidth="1"/>
    <col min="50" max="50" width="22.1640625" style="61" hidden="1" customWidth="1"/>
    <col min="51" max="51" width="15.5" style="61" hidden="1" customWidth="1"/>
    <col min="52" max="52" width="37.5" style="61" hidden="1" customWidth="1"/>
    <col min="53" max="53" width="38.33203125" style="61" hidden="1" customWidth="1"/>
    <col min="54" max="54" width="48" style="61" hidden="1" customWidth="1"/>
    <col min="55" max="55" width="38.33203125" style="61" hidden="1" customWidth="1"/>
    <col min="56" max="56" width="12.6640625" style="61" hidden="1" customWidth="1"/>
    <col min="57" max="57" width="37.5" style="61" hidden="1" customWidth="1"/>
    <col min="58" max="58" width="18.5" style="61" hidden="1" customWidth="1"/>
    <col min="59" max="59" width="17.1640625" style="61" hidden="1" customWidth="1"/>
    <col min="60" max="60" width="25.1640625" style="61" hidden="1" customWidth="1"/>
    <col min="61" max="61" width="44.5" style="61" hidden="1" customWidth="1"/>
    <col min="62" max="62" width="38" style="61" hidden="1" customWidth="1"/>
    <col min="63" max="63" width="48.33203125" style="61" hidden="1" customWidth="1"/>
    <col min="64" max="64" width="41.6640625" style="61" hidden="1" customWidth="1"/>
    <col min="65" max="65" width="46.33203125" style="61" hidden="1" customWidth="1"/>
    <col min="66" max="66" width="39" style="61" hidden="1" customWidth="1"/>
    <col min="67" max="67" width="29.1640625" style="61" hidden="1" customWidth="1"/>
    <col min="68" max="68" width="31.6640625" style="61" hidden="1" customWidth="1"/>
    <col min="69" max="70" width="18.83203125" style="61" hidden="1" customWidth="1"/>
    <col min="71" max="71" width="26.33203125" style="61" hidden="1" customWidth="1"/>
    <col min="72" max="72" width="30" style="61" hidden="1" customWidth="1"/>
    <col min="73" max="73" width="22.6640625" style="61" hidden="1" customWidth="1"/>
    <col min="74" max="74" width="16.5" style="61" hidden="1" customWidth="1"/>
    <col min="75" max="75" width="29.1640625" style="61" hidden="1" customWidth="1"/>
    <col min="76" max="76" width="37.6640625" style="61" hidden="1" customWidth="1"/>
    <col min="77" max="77" width="17.1640625" style="61" hidden="1" customWidth="1"/>
    <col min="78" max="78" width="22.6640625" style="61" hidden="1" customWidth="1"/>
    <col min="79" max="79" width="16.5" style="61" customWidth="1"/>
    <col min="80" max="80" width="17.83203125" style="61" customWidth="1"/>
    <col min="81" max="81" width="13.83203125" style="61" customWidth="1"/>
    <col min="82" max="82" width="9.5" style="61" customWidth="1"/>
    <col min="83" max="83" width="27" style="61" customWidth="1"/>
    <col min="84" max="84" width="23.1640625" style="61" customWidth="1"/>
    <col min="85" max="85" width="14.1640625" style="61" customWidth="1"/>
    <col min="86" max="86" width="19" style="61" customWidth="1"/>
    <col min="87" max="87" width="18.33203125" style="61" customWidth="1"/>
    <col min="88" max="88" width="16.1640625" style="61" customWidth="1"/>
    <col min="89" max="89" width="28.5" style="61" bestFit="1" customWidth="1"/>
    <col min="90" max="90" width="25.1640625" style="61" bestFit="1" customWidth="1"/>
    <col min="91" max="91" width="17.33203125" style="61" bestFit="1" customWidth="1"/>
    <col min="92" max="92" width="17.1640625" style="61" customWidth="1"/>
    <col min="93" max="93" width="31" style="61" customWidth="1"/>
    <col min="94" max="94" width="33.1640625" style="61" customWidth="1"/>
    <col min="95" max="95" width="31.6640625" style="61" customWidth="1"/>
    <col min="96" max="96" width="20.83203125" style="61" customWidth="1"/>
    <col min="97" max="97" width="16" style="61" customWidth="1"/>
    <col min="98" max="98" width="15.1640625" style="61" customWidth="1"/>
    <col min="99" max="16384" width="11.5" style="61"/>
  </cols>
  <sheetData>
    <row r="1" spans="1:99" x14ac:dyDescent="0.2">
      <c r="A1" s="13"/>
      <c r="B1" s="13"/>
      <c r="C1" s="13"/>
      <c r="D1" s="13"/>
      <c r="E1" s="13"/>
      <c r="F1" s="13"/>
      <c r="G1" s="13"/>
      <c r="H1" s="13"/>
      <c r="I1" s="13"/>
      <c r="J1" s="13"/>
      <c r="K1" s="13"/>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124" t="s">
        <v>84</v>
      </c>
      <c r="AM1" s="124"/>
      <c r="AN1" s="124"/>
      <c r="AO1" s="124"/>
      <c r="AP1" s="124"/>
      <c r="AQ1" s="124"/>
      <c r="AR1" s="124"/>
      <c r="AS1" s="124"/>
      <c r="AT1" s="124"/>
      <c r="AU1" s="124"/>
      <c r="AV1" s="14"/>
      <c r="AW1" s="14" t="s">
        <v>85</v>
      </c>
      <c r="AX1" s="14" t="s">
        <v>86</v>
      </c>
      <c r="AY1" s="14" t="s">
        <v>87</v>
      </c>
      <c r="AZ1" s="124" t="s">
        <v>88</v>
      </c>
      <c r="BA1" s="124"/>
      <c r="BB1" s="124"/>
      <c r="BC1" s="124"/>
      <c r="BD1" s="124"/>
      <c r="BE1" s="13" t="s">
        <v>89</v>
      </c>
      <c r="BF1" s="13" t="s">
        <v>90</v>
      </c>
      <c r="BG1" s="13" t="s">
        <v>87</v>
      </c>
      <c r="BH1" s="13"/>
      <c r="BI1" s="124" t="s">
        <v>91</v>
      </c>
      <c r="BJ1" s="124"/>
      <c r="BK1" s="124"/>
      <c r="BL1" s="124"/>
      <c r="BM1" s="124"/>
      <c r="BN1" s="124"/>
      <c r="BO1" s="13" t="s">
        <v>92</v>
      </c>
      <c r="BP1" s="13" t="s">
        <v>44</v>
      </c>
      <c r="BQ1" s="13"/>
      <c r="BR1" s="13" t="s">
        <v>87</v>
      </c>
      <c r="BS1" s="124" t="s">
        <v>93</v>
      </c>
      <c r="BT1" s="124"/>
      <c r="BU1" s="124"/>
      <c r="BV1" s="124"/>
      <c r="BW1" s="13" t="s">
        <v>87</v>
      </c>
      <c r="BX1" s="13"/>
      <c r="BY1" s="13"/>
      <c r="BZ1" s="13" t="s">
        <v>94</v>
      </c>
      <c r="CA1" s="13"/>
      <c r="CB1" s="13"/>
      <c r="CC1" s="13"/>
      <c r="CD1" s="13"/>
      <c r="CE1" s="13"/>
      <c r="CF1" s="13"/>
      <c r="CG1" s="13"/>
      <c r="CH1" s="13"/>
      <c r="CI1" s="13"/>
      <c r="CJ1" s="13"/>
      <c r="CK1" s="13"/>
      <c r="CL1" s="13"/>
      <c r="CM1" s="13"/>
    </row>
    <row r="2" spans="1:99" x14ac:dyDescent="0.2">
      <c r="A2" s="1" t="s">
        <v>0</v>
      </c>
      <c r="B2" s="80" t="s">
        <v>1</v>
      </c>
      <c r="C2" s="80" t="s">
        <v>720</v>
      </c>
      <c r="D2" s="80" t="s">
        <v>721</v>
      </c>
      <c r="E2" s="80" t="s">
        <v>3</v>
      </c>
      <c r="F2" s="80" t="s">
        <v>4</v>
      </c>
      <c r="G2" s="80" t="s">
        <v>5</v>
      </c>
      <c r="H2" s="80" t="s">
        <v>6</v>
      </c>
      <c r="I2" s="80" t="s">
        <v>14</v>
      </c>
      <c r="J2" s="80" t="s">
        <v>15</v>
      </c>
      <c r="K2" s="80" t="s">
        <v>19</v>
      </c>
      <c r="L2" s="80" t="s">
        <v>16</v>
      </c>
      <c r="M2" s="80" t="s">
        <v>17</v>
      </c>
      <c r="N2" s="80" t="s">
        <v>104</v>
      </c>
      <c r="O2" s="80" t="s">
        <v>102</v>
      </c>
      <c r="P2" s="80" t="s">
        <v>103</v>
      </c>
      <c r="Q2" s="80" t="s">
        <v>20</v>
      </c>
      <c r="R2" s="80" t="s">
        <v>24</v>
      </c>
      <c r="S2" s="80" t="s">
        <v>18</v>
      </c>
      <c r="T2" s="80" t="s">
        <v>746</v>
      </c>
      <c r="U2" s="80" t="s">
        <v>747</v>
      </c>
      <c r="V2" s="80" t="s">
        <v>748</v>
      </c>
      <c r="W2" s="80" t="s">
        <v>749</v>
      </c>
      <c r="X2" s="80" t="s">
        <v>757</v>
      </c>
      <c r="Y2" s="80" t="s">
        <v>27</v>
      </c>
      <c r="Z2" s="80" t="s">
        <v>750</v>
      </c>
      <c r="AA2" s="80" t="s">
        <v>751</v>
      </c>
      <c r="AB2" s="80" t="s">
        <v>30</v>
      </c>
      <c r="AC2" s="80" t="s">
        <v>31</v>
      </c>
      <c r="AD2" s="80" t="s">
        <v>35</v>
      </c>
      <c r="AE2" s="80" t="s">
        <v>752</v>
      </c>
      <c r="AF2" s="80" t="s">
        <v>753</v>
      </c>
      <c r="AG2" s="80" t="s">
        <v>754</v>
      </c>
      <c r="AH2" s="80" t="s">
        <v>739</v>
      </c>
      <c r="AI2" s="80" t="s">
        <v>11</v>
      </c>
      <c r="AJ2" s="80" t="s">
        <v>12</v>
      </c>
      <c r="AK2" s="80" t="s">
        <v>13</v>
      </c>
      <c r="AL2" s="80" t="s">
        <v>759</v>
      </c>
      <c r="AM2" s="80" t="s">
        <v>760</v>
      </c>
      <c r="AN2" s="80" t="s">
        <v>761</v>
      </c>
      <c r="AO2" s="80" t="s">
        <v>762</v>
      </c>
      <c r="AP2" s="80" t="s">
        <v>763</v>
      </c>
      <c r="AQ2" s="80" t="s">
        <v>764</v>
      </c>
      <c r="AR2" s="80" t="s">
        <v>765</v>
      </c>
      <c r="AS2" s="80" t="s">
        <v>766</v>
      </c>
      <c r="AT2" s="80" t="s">
        <v>767</v>
      </c>
      <c r="AU2" s="80" t="s">
        <v>768</v>
      </c>
      <c r="AV2" s="80" t="s">
        <v>769</v>
      </c>
      <c r="AW2" s="80" t="s">
        <v>770</v>
      </c>
      <c r="AX2" s="80" t="s">
        <v>771</v>
      </c>
      <c r="AY2" s="80" t="s">
        <v>95</v>
      </c>
      <c r="AZ2" s="80" t="s">
        <v>772</v>
      </c>
      <c r="BA2" s="80" t="s">
        <v>28</v>
      </c>
      <c r="BB2" s="80" t="s">
        <v>29</v>
      </c>
      <c r="BC2" s="80" t="s">
        <v>773</v>
      </c>
      <c r="BD2" s="80" t="s">
        <v>774</v>
      </c>
      <c r="BE2" s="80" t="s">
        <v>775</v>
      </c>
      <c r="BF2" s="80" t="s">
        <v>776</v>
      </c>
      <c r="BG2" s="80" t="s">
        <v>96</v>
      </c>
      <c r="BH2" s="80" t="s">
        <v>97</v>
      </c>
      <c r="BI2" s="80" t="s">
        <v>37</v>
      </c>
      <c r="BJ2" s="80" t="s">
        <v>38</v>
      </c>
      <c r="BK2" s="80" t="s">
        <v>39</v>
      </c>
      <c r="BL2" s="80" t="s">
        <v>40</v>
      </c>
      <c r="BM2" s="80" t="s">
        <v>41</v>
      </c>
      <c r="BN2" s="80" t="s">
        <v>42</v>
      </c>
      <c r="BO2" s="80" t="s">
        <v>43</v>
      </c>
      <c r="BP2" s="80" t="s">
        <v>777</v>
      </c>
      <c r="BQ2" s="80" t="s">
        <v>98</v>
      </c>
      <c r="BR2" s="80" t="s">
        <v>778</v>
      </c>
      <c r="BS2" s="80" t="s">
        <v>45</v>
      </c>
      <c r="BT2" s="80" t="s">
        <v>46</v>
      </c>
      <c r="BU2" s="80" t="s">
        <v>47</v>
      </c>
      <c r="BV2" s="80" t="s">
        <v>48</v>
      </c>
      <c r="BW2" s="80" t="s">
        <v>99</v>
      </c>
      <c r="BX2" s="80" t="s">
        <v>50</v>
      </c>
      <c r="BY2" s="80" t="s">
        <v>51</v>
      </c>
      <c r="BZ2" s="80" t="s">
        <v>779</v>
      </c>
      <c r="CA2" s="80" t="s">
        <v>780</v>
      </c>
      <c r="CB2" s="80" t="s">
        <v>781</v>
      </c>
      <c r="CC2" s="80" t="s">
        <v>782</v>
      </c>
      <c r="CD2" s="80" t="s">
        <v>783</v>
      </c>
      <c r="CE2" s="80" t="s">
        <v>49</v>
      </c>
      <c r="CF2" s="80" t="s">
        <v>813</v>
      </c>
      <c r="CG2" s="80" t="s">
        <v>784</v>
      </c>
      <c r="CH2" s="80" t="s">
        <v>756</v>
      </c>
      <c r="CI2" s="80" t="s">
        <v>755</v>
      </c>
      <c r="CJ2" s="80" t="s">
        <v>758</v>
      </c>
      <c r="CK2" s="80" t="s">
        <v>54</v>
      </c>
      <c r="CL2" s="80" t="s">
        <v>55</v>
      </c>
      <c r="CM2" s="80" t="s">
        <v>56</v>
      </c>
      <c r="CN2" s="80" t="s">
        <v>57</v>
      </c>
      <c r="CO2" s="80" t="s">
        <v>7</v>
      </c>
      <c r="CP2" s="80" t="s">
        <v>8</v>
      </c>
      <c r="CQ2" s="80" t="s">
        <v>9</v>
      </c>
      <c r="CR2" s="80" t="s">
        <v>100</v>
      </c>
      <c r="CS2" s="80" t="s">
        <v>101</v>
      </c>
      <c r="CT2" s="80" t="s">
        <v>785</v>
      </c>
      <c r="CU2" s="80" t="s">
        <v>10</v>
      </c>
    </row>
    <row r="3" spans="1:99" x14ac:dyDescent="0.2">
      <c r="A3" s="10"/>
      <c r="B3" s="81">
        <v>7740131</v>
      </c>
      <c r="C3" s="57">
        <f>7875/1000</f>
        <v>7.875</v>
      </c>
      <c r="D3" s="57" t="s">
        <v>722</v>
      </c>
      <c r="E3" s="55" t="s">
        <v>309</v>
      </c>
      <c r="F3" s="55" t="s">
        <v>683</v>
      </c>
      <c r="G3" s="57" t="s">
        <v>58</v>
      </c>
      <c r="H3" s="57" t="s">
        <v>59</v>
      </c>
      <c r="I3" s="2"/>
      <c r="J3" s="2"/>
      <c r="K3" s="2"/>
      <c r="L3" s="2"/>
      <c r="M3" s="2"/>
      <c r="N3" s="2"/>
      <c r="O3" s="2"/>
      <c r="P3" s="2"/>
      <c r="Q3" s="2"/>
      <c r="R3" s="2"/>
      <c r="S3" s="2">
        <f>SUM(I3+J3+L3+M3)</f>
        <v>0</v>
      </c>
      <c r="T3" s="2" t="str">
        <f>IF(S3&gt;=401,"5",IF(S3&gt;=301,"4",IF(S3&gt;=201,"3",IF(S3&gt;=95,"2","1"))))</f>
        <v>1</v>
      </c>
      <c r="U3" s="2" t="str">
        <f>IF(K3&gt;=750,"5",IF(K3&gt;=550,"4",IF(K3&gt;=300,"3",IF(K3&gt;=100,"2","1"))))</f>
        <v>1</v>
      </c>
      <c r="V3" s="2" t="str">
        <f>IF(Q3&gt;=7001,"5",IF(Q3&gt;=5000,"4",IF(Q3&gt;=3000,"3",IF(Q3&gt;=1500,"2","1"))))</f>
        <v>1</v>
      </c>
      <c r="W3" s="2" t="str">
        <f>IF(R3&gt;=7,"5",IF(R3&gt;=6,"4",IF(R3&gt;=5,"3",IF(R3&gt;=2,"2","1"))))</f>
        <v>1</v>
      </c>
      <c r="X3" s="2">
        <f>(T3+U3+V3+W3)/5</f>
        <v>0.8</v>
      </c>
      <c r="Y3" s="2"/>
      <c r="Z3" s="2"/>
      <c r="AA3" s="2"/>
      <c r="AB3" s="2"/>
      <c r="AC3" s="2" t="e">
        <f>AB3/AA3</f>
        <v>#DIV/0!</v>
      </c>
      <c r="AD3" s="2"/>
      <c r="AE3" s="2" t="str">
        <f>IF(Y3&lt;=16,"5",IF(Y3&lt;=20,"4",IF(Y3&lt;=25,"3",IF(Y3&lt;=33,"2","1"))))</f>
        <v>5</v>
      </c>
      <c r="AF3" s="2" t="e">
        <f>IF(AC3&lt;=713,"5",IF(AC3&lt;=999,"4",IF(AC3&lt;=1130,"3",IF(AC3&lt;=1499,"2","1"))))</f>
        <v>#DIV/0!</v>
      </c>
      <c r="AG3" s="2" t="e">
        <f>AE3*0.8+AF3*0.2</f>
        <v>#DIV/0!</v>
      </c>
      <c r="AH3" s="2" t="str">
        <f>IF(AD3&gt;=5500,"5",IF(AD3&gt;=4800,"4",IF(AD3&gt;=3600,"3",IF(AD3&gt;=2400,"2","1"))))</f>
        <v>1</v>
      </c>
      <c r="AI3" s="2" t="s">
        <v>81</v>
      </c>
      <c r="AJ3" s="2" t="s">
        <v>82</v>
      </c>
      <c r="AK3" s="2" t="s">
        <v>66</v>
      </c>
      <c r="AL3" s="10">
        <v>3</v>
      </c>
      <c r="AM3" s="10">
        <v>20091</v>
      </c>
      <c r="AN3" s="10">
        <v>55038</v>
      </c>
      <c r="AO3" s="10">
        <v>3</v>
      </c>
      <c r="AP3" s="10">
        <v>265</v>
      </c>
      <c r="AQ3" s="10">
        <v>5905</v>
      </c>
      <c r="AR3" s="10">
        <v>4.5</v>
      </c>
      <c r="AS3" s="10">
        <v>1.5</v>
      </c>
      <c r="AT3" s="10">
        <v>0</v>
      </c>
      <c r="AU3" s="10">
        <v>5</v>
      </c>
      <c r="AV3" s="10">
        <f t="shared" ref="AV3:AV18" si="0">(AL3+AO3+AP3+AR3+AS3+AQ3)</f>
        <v>6182</v>
      </c>
      <c r="AW3" s="10" t="str">
        <f t="shared" ref="AW3:AW18" si="1">IF(AV3&gt;=23546,"5",IF(AV3&gt;=14870,"4",IF(AV3&gt;=6185,"3",IF(AV3&gt;=3943,"2","1"))))</f>
        <v>2</v>
      </c>
      <c r="AX3" s="10" t="str">
        <f t="shared" ref="AX3:AX18" si="2">IF(AT3&gt;=16,"5",IF(AT3&gt;=15,"4",IF(AT3&gt;=12,"3",IF(AT3&gt;=7,"2","1"))))</f>
        <v>1</v>
      </c>
      <c r="AY3" s="11">
        <f t="shared" ref="AY3:AY18" si="3">(AW3+AX3)/2</f>
        <v>1.5</v>
      </c>
      <c r="AZ3" s="10">
        <v>23</v>
      </c>
      <c r="BA3" s="10">
        <v>26</v>
      </c>
      <c r="BB3" s="10">
        <v>1.4999999999999999E-2</v>
      </c>
      <c r="BC3" s="10">
        <v>41.9</v>
      </c>
      <c r="BD3" s="11">
        <f t="shared" ref="BD3:BD18" si="4">BC3/BB3</f>
        <v>2793.3333333333335</v>
      </c>
      <c r="BE3" s="10" t="str">
        <f t="shared" ref="BE3:BE18" si="5">IF(AZ3&lt;=19,"5",IF(AZ3&lt;=23,"4",IF(AZ3&lt;=27,"3",IF(AZ3&lt;=33,"2","1"))))</f>
        <v>4</v>
      </c>
      <c r="BF3" s="10" t="str">
        <f t="shared" ref="BF3:BF18" si="6">IF(BD3&lt;=513,"5",IF(BD3&lt;=799,"4",IF(BD3&lt;=930,"3",IF(BD3&lt;=1499,"2","1"))))</f>
        <v>1</v>
      </c>
      <c r="BG3" s="2">
        <f t="shared" ref="BG3:BG18" si="7">(BE3+BF3)/2</f>
        <v>2.5</v>
      </c>
      <c r="BH3" s="10">
        <v>1</v>
      </c>
      <c r="BI3" s="10">
        <v>131.80000000000001</v>
      </c>
      <c r="BJ3" s="10"/>
      <c r="BK3" s="10">
        <v>344.4</v>
      </c>
      <c r="BL3" s="10"/>
      <c r="BM3" s="10" t="s">
        <v>61</v>
      </c>
      <c r="BN3" s="10" t="s">
        <v>61</v>
      </c>
      <c r="BO3" s="10" t="s">
        <v>61</v>
      </c>
      <c r="BP3" s="10"/>
      <c r="BQ3" s="10">
        <v>1</v>
      </c>
      <c r="BR3" s="10">
        <v>1</v>
      </c>
      <c r="BS3" s="10">
        <v>1</v>
      </c>
      <c r="BT3" s="10">
        <v>1</v>
      </c>
      <c r="BU3" s="10">
        <v>1</v>
      </c>
      <c r="BV3" s="10" t="s">
        <v>61</v>
      </c>
      <c r="BW3" s="10">
        <v>1</v>
      </c>
      <c r="BX3" s="10">
        <v>1978</v>
      </c>
      <c r="BY3" s="10">
        <f ca="1">YEAR(TODAY())-BX3</f>
        <v>48</v>
      </c>
      <c r="BZ3" s="10" t="str">
        <f ca="1">IF(BY3&gt;=36,"5",IF(BY3&gt;=31,"4",IF(BY3&gt;=21,"3",IF(BY3&gt;=7,"2","1"))))</f>
        <v>5</v>
      </c>
      <c r="CA3" s="10">
        <v>1</v>
      </c>
      <c r="CB3" s="10">
        <v>1</v>
      </c>
      <c r="CC3" s="10">
        <v>1</v>
      </c>
      <c r="CD3" s="10">
        <v>1</v>
      </c>
      <c r="CE3" s="2">
        <v>1</v>
      </c>
      <c r="CF3" s="8"/>
      <c r="CG3" s="10">
        <f ca="1">YEAR(TODAY())-CF3</f>
        <v>2026</v>
      </c>
      <c r="CH3" s="10" t="str">
        <f ca="1">IF(CG3&gt;=30,"5",IF(CG3&gt;=26,"4",IF(CG3&gt;=19,"3",IF(CG3&gt;=7,"2","1"))))</f>
        <v>5</v>
      </c>
      <c r="CI3" s="10">
        <v>1</v>
      </c>
      <c r="CJ3" s="10">
        <v>1</v>
      </c>
      <c r="CK3" s="10" t="e">
        <f t="shared" ref="CK3:CK27" ca="1" si="8">(X3*0.2)+(AG3*0.23)+(AH3*0.05)+(CI3*0.1)+(CE3*0.18)+(CH3*0.05)+(CJ3*0.19)</f>
        <v>#DIV/0!</v>
      </c>
      <c r="CL3" s="10"/>
      <c r="CM3" s="10"/>
      <c r="CN3" s="10"/>
      <c r="CO3" s="10" t="s">
        <v>137</v>
      </c>
      <c r="CP3" s="10" t="s">
        <v>723</v>
      </c>
      <c r="CQ3" s="10"/>
      <c r="CR3" s="10"/>
      <c r="CS3" s="10"/>
      <c r="CT3" s="10"/>
      <c r="CU3" s="10"/>
    </row>
    <row r="4" spans="1:99" x14ac:dyDescent="0.2">
      <c r="A4" s="10"/>
      <c r="B4" s="57" t="s">
        <v>724</v>
      </c>
      <c r="C4" s="82">
        <v>38880</v>
      </c>
      <c r="D4" s="57" t="s">
        <v>725</v>
      </c>
      <c r="E4" s="55" t="s">
        <v>639</v>
      </c>
      <c r="F4" s="55" t="s">
        <v>683</v>
      </c>
      <c r="G4" s="57" t="s">
        <v>70</v>
      </c>
      <c r="H4" s="57" t="s">
        <v>70</v>
      </c>
      <c r="I4" s="2"/>
      <c r="J4" s="2"/>
      <c r="K4" s="2"/>
      <c r="L4" s="2"/>
      <c r="M4" s="2"/>
      <c r="N4" s="2"/>
      <c r="O4" s="2"/>
      <c r="P4" s="2"/>
      <c r="Q4" s="2"/>
      <c r="R4" s="2"/>
      <c r="S4" s="2">
        <f t="shared" ref="S4:S19" si="9">SUM(I4+J4+L4+M4)</f>
        <v>0</v>
      </c>
      <c r="T4" s="2" t="str">
        <f t="shared" ref="T4:T26" si="10">IF(S4&gt;=401,"5",IF(S4&gt;=301,"4",IF(S4&gt;=201,"3",IF(S4&gt;=95,"2","1"))))</f>
        <v>1</v>
      </c>
      <c r="U4" s="2" t="str">
        <f t="shared" ref="U4:U19" si="11">IF(K4&gt;=750,"5",IF(K4&gt;=550,"4",IF(K4&gt;=300,"3",IF(K4&gt;=100,"2","1"))))</f>
        <v>1</v>
      </c>
      <c r="V4" s="2" t="str">
        <f t="shared" ref="V4:V19" si="12">IF(Q4&gt;=7001,"5",IF(Q4&gt;=5000,"4",IF(Q4&gt;=3000,"3",IF(Q4&gt;=1500,"2","1"))))</f>
        <v>1</v>
      </c>
      <c r="W4" s="2" t="str">
        <f t="shared" ref="W4:W19" si="13">IF(R4&gt;=7,"5",IF(R4&gt;=6,"4",IF(R4&gt;=5,"3",IF(R4&gt;=2,"2","1"))))</f>
        <v>1</v>
      </c>
      <c r="X4" s="2">
        <f t="shared" ref="X4:X19" si="14">(T4+U4+V4+W4)/5</f>
        <v>0.8</v>
      </c>
      <c r="Y4" s="2"/>
      <c r="Z4" s="2"/>
      <c r="AA4" s="2"/>
      <c r="AB4" s="2"/>
      <c r="AC4" s="2" t="e">
        <f t="shared" ref="AC4:AC19" si="15">AB4/AA4</f>
        <v>#DIV/0!</v>
      </c>
      <c r="AD4" s="2"/>
      <c r="AE4" s="2" t="str">
        <f t="shared" ref="AE4:AE19" si="16">IF(Y4&lt;=16,"5",IF(Y4&lt;=20,"4",IF(Y4&lt;=25,"3",IF(Y4&lt;=33,"2","1"))))</f>
        <v>5</v>
      </c>
      <c r="AF4" s="2" t="e">
        <f t="shared" ref="AF4:AF19" si="17">IF(AC4&lt;=713,"5",IF(AC4&lt;=999,"4",IF(AC4&lt;=1130,"3",IF(AC4&lt;=1499,"2","1"))))</f>
        <v>#DIV/0!</v>
      </c>
      <c r="AG4" s="2" t="e">
        <f t="shared" ref="AG4:AG19" si="18">AE4*0.8+AF4*0.2</f>
        <v>#DIV/0!</v>
      </c>
      <c r="AH4" s="2" t="str">
        <f t="shared" ref="AH4:AH19" si="19">IF(AD4&gt;=5500,"5",IF(AD4&gt;=4800,"4",IF(AD4&gt;=3600,"3",IF(AD4&gt;=2400,"2","1"))))</f>
        <v>1</v>
      </c>
      <c r="AI4" s="2" t="s">
        <v>81</v>
      </c>
      <c r="AJ4" s="2" t="s">
        <v>143</v>
      </c>
      <c r="AK4" s="2" t="s">
        <v>48</v>
      </c>
      <c r="AL4" s="10">
        <v>3</v>
      </c>
      <c r="AM4" s="10">
        <v>21557</v>
      </c>
      <c r="AN4" s="10">
        <v>62946</v>
      </c>
      <c r="AO4" s="10">
        <v>2.7</v>
      </c>
      <c r="AP4" s="10">
        <v>183</v>
      </c>
      <c r="AQ4" s="10">
        <v>1454</v>
      </c>
      <c r="AR4" s="10">
        <v>8.6999999999999993</v>
      </c>
      <c r="AS4" s="10">
        <v>0.4</v>
      </c>
      <c r="AT4" s="10">
        <v>2</v>
      </c>
      <c r="AU4" s="10">
        <v>1.9</v>
      </c>
      <c r="AV4" s="10">
        <f t="shared" si="0"/>
        <v>1651.8</v>
      </c>
      <c r="AW4" s="10" t="str">
        <f t="shared" si="1"/>
        <v>1</v>
      </c>
      <c r="AX4" s="10" t="str">
        <f t="shared" si="2"/>
        <v>1</v>
      </c>
      <c r="AY4" s="11">
        <f t="shared" si="3"/>
        <v>1</v>
      </c>
      <c r="AZ4" s="10">
        <v>34</v>
      </c>
      <c r="BA4" s="10">
        <v>13</v>
      </c>
      <c r="BB4" s="10">
        <v>6.0000000000000001E-3</v>
      </c>
      <c r="BC4" s="10">
        <v>38.700000000000003</v>
      </c>
      <c r="BD4" s="11">
        <f t="shared" si="4"/>
        <v>6450</v>
      </c>
      <c r="BE4" s="10" t="str">
        <f t="shared" si="5"/>
        <v>1</v>
      </c>
      <c r="BF4" s="10" t="str">
        <f t="shared" si="6"/>
        <v>1</v>
      </c>
      <c r="BG4" s="2">
        <f t="shared" si="7"/>
        <v>1</v>
      </c>
      <c r="BH4" s="10">
        <v>3</v>
      </c>
      <c r="BI4" s="10">
        <v>63</v>
      </c>
      <c r="BJ4" s="10"/>
      <c r="BK4" s="10">
        <v>100.4</v>
      </c>
      <c r="BL4" s="10"/>
      <c r="BM4" s="10">
        <v>251</v>
      </c>
      <c r="BN4" s="10"/>
      <c r="BO4" s="10"/>
      <c r="BP4" s="10"/>
      <c r="BQ4" s="10">
        <v>1</v>
      </c>
      <c r="BR4" s="10">
        <v>1</v>
      </c>
      <c r="BS4" s="10">
        <v>1</v>
      </c>
      <c r="BT4" s="10">
        <v>1</v>
      </c>
      <c r="BU4" s="10">
        <v>1</v>
      </c>
      <c r="BV4" s="10">
        <v>1</v>
      </c>
      <c r="BW4" s="10">
        <v>1</v>
      </c>
      <c r="BX4" s="10">
        <v>1980</v>
      </c>
      <c r="BY4" s="10">
        <f t="shared" ref="BY4:BY18" ca="1" si="20">YEAR(TODAY())-BX4</f>
        <v>46</v>
      </c>
      <c r="BZ4" s="10" t="str">
        <f t="shared" ref="BZ4:BZ18" ca="1" si="21">IF(BY4&gt;=36,"5",IF(BY4&gt;=31,"4",IF(BY4&gt;=21,"3",IF(BY4&gt;=7,"2","1"))))</f>
        <v>5</v>
      </c>
      <c r="CA4" s="10">
        <v>1</v>
      </c>
      <c r="CB4" s="10">
        <v>1</v>
      </c>
      <c r="CC4" s="10">
        <v>1</v>
      </c>
      <c r="CD4" s="10">
        <v>1</v>
      </c>
      <c r="CE4" s="2">
        <v>1</v>
      </c>
      <c r="CF4" s="8">
        <v>1984</v>
      </c>
      <c r="CG4" s="10">
        <f t="shared" ref="CG4:CG27" ca="1" si="22">YEAR(TODAY())-CF4</f>
        <v>42</v>
      </c>
      <c r="CH4" s="10" t="str">
        <f t="shared" ref="CH4:CH27" ca="1" si="23">IF(CG4&gt;=30,"5",IF(CG4&gt;=26,"4",IF(CG4&gt;=19,"3",IF(CG4&gt;=7,"2","1"))))</f>
        <v>5</v>
      </c>
      <c r="CI4" s="10">
        <v>1</v>
      </c>
      <c r="CJ4" s="10">
        <v>1</v>
      </c>
      <c r="CK4" s="10" t="e">
        <f t="shared" ca="1" si="8"/>
        <v>#DIV/0!</v>
      </c>
      <c r="CL4" s="10"/>
      <c r="CM4" s="10"/>
      <c r="CN4" s="10"/>
      <c r="CO4" s="10">
        <v>110</v>
      </c>
      <c r="CP4" s="10" t="s">
        <v>137</v>
      </c>
      <c r="CQ4" s="10" t="s">
        <v>60</v>
      </c>
      <c r="CR4" s="10"/>
      <c r="CS4" s="10"/>
      <c r="CT4" s="10"/>
      <c r="CU4" s="10"/>
    </row>
    <row r="5" spans="1:99" x14ac:dyDescent="0.2">
      <c r="A5" s="10"/>
      <c r="B5" s="57">
        <v>266762</v>
      </c>
      <c r="C5" s="57">
        <v>6500</v>
      </c>
      <c r="D5" s="57" t="s">
        <v>726</v>
      </c>
      <c r="E5" s="55" t="s">
        <v>498</v>
      </c>
      <c r="F5" s="55" t="s">
        <v>683</v>
      </c>
      <c r="G5" s="57" t="s">
        <v>125</v>
      </c>
      <c r="H5" s="57" t="s">
        <v>126</v>
      </c>
      <c r="I5" s="2"/>
      <c r="J5" s="2"/>
      <c r="K5" s="2"/>
      <c r="L5" s="2"/>
      <c r="M5" s="2"/>
      <c r="N5" s="2"/>
      <c r="O5" s="2"/>
      <c r="P5" s="2"/>
      <c r="Q5" s="2"/>
      <c r="R5" s="2"/>
      <c r="S5" s="2">
        <f t="shared" si="9"/>
        <v>0</v>
      </c>
      <c r="T5" s="2" t="str">
        <f t="shared" si="10"/>
        <v>1</v>
      </c>
      <c r="U5" s="2" t="str">
        <f t="shared" si="11"/>
        <v>1</v>
      </c>
      <c r="V5" s="2" t="str">
        <f t="shared" si="12"/>
        <v>1</v>
      </c>
      <c r="W5" s="2" t="str">
        <f t="shared" si="13"/>
        <v>1</v>
      </c>
      <c r="X5" s="2">
        <f t="shared" si="14"/>
        <v>0.8</v>
      </c>
      <c r="Y5" s="2"/>
      <c r="Z5" s="2"/>
      <c r="AA5" s="2"/>
      <c r="AB5" s="2"/>
      <c r="AC5" s="2" t="e">
        <f t="shared" si="15"/>
        <v>#DIV/0!</v>
      </c>
      <c r="AD5" s="2"/>
      <c r="AE5" s="2" t="str">
        <f t="shared" si="16"/>
        <v>5</v>
      </c>
      <c r="AF5" s="2" t="e">
        <f t="shared" si="17"/>
        <v>#DIV/0!</v>
      </c>
      <c r="AG5" s="2" t="e">
        <f t="shared" si="18"/>
        <v>#DIV/0!</v>
      </c>
      <c r="AH5" s="2" t="str">
        <f t="shared" si="19"/>
        <v>1</v>
      </c>
      <c r="AI5" s="2" t="s">
        <v>81</v>
      </c>
      <c r="AJ5" s="2" t="s">
        <v>82</v>
      </c>
      <c r="AK5" s="2" t="s">
        <v>66</v>
      </c>
      <c r="AL5" s="10">
        <v>327</v>
      </c>
      <c r="AM5" s="10">
        <v>694</v>
      </c>
      <c r="AN5" s="10">
        <v>84187</v>
      </c>
      <c r="AO5" s="10">
        <v>1243</v>
      </c>
      <c r="AP5" s="10">
        <v>1359</v>
      </c>
      <c r="AQ5" s="10">
        <v>11604</v>
      </c>
      <c r="AR5" s="10">
        <v>1617</v>
      </c>
      <c r="AS5" s="10">
        <v>888</v>
      </c>
      <c r="AT5" s="10">
        <v>0.1</v>
      </c>
      <c r="AU5" s="10">
        <v>3661</v>
      </c>
      <c r="AV5" s="10">
        <f t="shared" si="0"/>
        <v>17038</v>
      </c>
      <c r="AW5" s="10" t="str">
        <f t="shared" si="1"/>
        <v>4</v>
      </c>
      <c r="AX5" s="10" t="str">
        <f t="shared" si="2"/>
        <v>1</v>
      </c>
      <c r="AY5" s="11">
        <f t="shared" si="3"/>
        <v>2.5</v>
      </c>
      <c r="AZ5" s="10">
        <v>16</v>
      </c>
      <c r="BA5" s="10">
        <v>45</v>
      </c>
      <c r="BB5" s="10">
        <v>0.11</v>
      </c>
      <c r="BC5" s="10">
        <v>25.7</v>
      </c>
      <c r="BD5" s="11">
        <f t="shared" si="4"/>
        <v>233.63636363636363</v>
      </c>
      <c r="BE5" s="10" t="str">
        <f t="shared" si="5"/>
        <v>5</v>
      </c>
      <c r="BF5" s="10" t="str">
        <f t="shared" si="6"/>
        <v>5</v>
      </c>
      <c r="BG5" s="2">
        <f t="shared" si="7"/>
        <v>5</v>
      </c>
      <c r="BH5" s="10">
        <v>3</v>
      </c>
      <c r="BI5" s="10">
        <v>108.77</v>
      </c>
      <c r="BJ5" s="10"/>
      <c r="BK5" s="10">
        <v>271.94</v>
      </c>
      <c r="BL5" s="10"/>
      <c r="BM5" s="10" t="s">
        <v>61</v>
      </c>
      <c r="BN5" s="10" t="s">
        <v>61</v>
      </c>
      <c r="BO5" s="10"/>
      <c r="BP5" s="10"/>
      <c r="BQ5" s="10">
        <v>5</v>
      </c>
      <c r="BR5" s="10">
        <v>5</v>
      </c>
      <c r="BS5" s="10">
        <v>5</v>
      </c>
      <c r="BT5" s="10">
        <v>5</v>
      </c>
      <c r="BU5" s="10">
        <v>5</v>
      </c>
      <c r="BV5" s="10" t="s">
        <v>61</v>
      </c>
      <c r="BW5" s="10">
        <v>5</v>
      </c>
      <c r="BX5" s="10">
        <v>2006</v>
      </c>
      <c r="BY5" s="10">
        <f t="shared" ca="1" si="20"/>
        <v>20</v>
      </c>
      <c r="BZ5" s="10" t="str">
        <f t="shared" ca="1" si="21"/>
        <v>2</v>
      </c>
      <c r="CA5" s="10">
        <v>1</v>
      </c>
      <c r="CB5" s="10">
        <v>1</v>
      </c>
      <c r="CC5" s="10">
        <v>1</v>
      </c>
      <c r="CD5" s="10">
        <v>1</v>
      </c>
      <c r="CE5" s="2">
        <v>1</v>
      </c>
      <c r="CF5" s="62"/>
      <c r="CG5" s="10">
        <f t="shared" ca="1" si="22"/>
        <v>2026</v>
      </c>
      <c r="CH5" s="10" t="str">
        <f t="shared" ca="1" si="23"/>
        <v>5</v>
      </c>
      <c r="CI5" s="10">
        <v>1</v>
      </c>
      <c r="CJ5" s="10">
        <v>1</v>
      </c>
      <c r="CK5" s="10" t="e">
        <f t="shared" ca="1" si="8"/>
        <v>#DIV/0!</v>
      </c>
      <c r="CL5" s="10"/>
      <c r="CM5" s="10"/>
      <c r="CN5" s="10"/>
      <c r="CO5" s="10" t="s">
        <v>137</v>
      </c>
      <c r="CP5" s="10" t="s">
        <v>60</v>
      </c>
      <c r="CQ5" s="10"/>
      <c r="CR5" s="10"/>
      <c r="CS5" s="10"/>
      <c r="CT5" s="10"/>
      <c r="CU5" s="10"/>
    </row>
    <row r="6" spans="1:99" x14ac:dyDescent="0.2">
      <c r="A6" s="10"/>
      <c r="B6" s="57">
        <v>176780</v>
      </c>
      <c r="C6" s="57">
        <v>4000</v>
      </c>
      <c r="D6" s="57" t="s">
        <v>726</v>
      </c>
      <c r="E6" s="55" t="s">
        <v>438</v>
      </c>
      <c r="F6" s="55" t="s">
        <v>683</v>
      </c>
      <c r="G6" s="57" t="s">
        <v>125</v>
      </c>
      <c r="H6" s="57" t="s">
        <v>126</v>
      </c>
      <c r="I6" s="2"/>
      <c r="J6" s="2"/>
      <c r="K6" s="2"/>
      <c r="L6" s="2"/>
      <c r="M6" s="2"/>
      <c r="N6" s="2"/>
      <c r="O6" s="2"/>
      <c r="P6" s="2"/>
      <c r="Q6" s="2"/>
      <c r="R6" s="2"/>
      <c r="S6" s="2">
        <f t="shared" si="9"/>
        <v>0</v>
      </c>
      <c r="T6" s="2" t="str">
        <f t="shared" si="10"/>
        <v>1</v>
      </c>
      <c r="U6" s="2" t="str">
        <f t="shared" si="11"/>
        <v>1</v>
      </c>
      <c r="V6" s="2" t="str">
        <f t="shared" si="12"/>
        <v>1</v>
      </c>
      <c r="W6" s="2" t="str">
        <f t="shared" si="13"/>
        <v>1</v>
      </c>
      <c r="X6" s="2">
        <f t="shared" si="14"/>
        <v>0.8</v>
      </c>
      <c r="Y6" s="2"/>
      <c r="Z6" s="2"/>
      <c r="AA6" s="2"/>
      <c r="AB6" s="2"/>
      <c r="AC6" s="2" t="e">
        <f t="shared" si="15"/>
        <v>#DIV/0!</v>
      </c>
      <c r="AD6" s="2"/>
      <c r="AE6" s="2" t="str">
        <f t="shared" si="16"/>
        <v>5</v>
      </c>
      <c r="AF6" s="2" t="e">
        <f t="shared" si="17"/>
        <v>#DIV/0!</v>
      </c>
      <c r="AG6" s="2" t="e">
        <f t="shared" si="18"/>
        <v>#DIV/0!</v>
      </c>
      <c r="AH6" s="2" t="str">
        <f t="shared" si="19"/>
        <v>1</v>
      </c>
      <c r="AI6" s="2" t="s">
        <v>65</v>
      </c>
      <c r="AJ6" s="2" t="s">
        <v>61</v>
      </c>
      <c r="AK6" s="2" t="s">
        <v>66</v>
      </c>
      <c r="AL6" s="10">
        <v>2.7</v>
      </c>
      <c r="AM6" s="10">
        <v>31737</v>
      </c>
      <c r="AN6" s="10">
        <v>83525</v>
      </c>
      <c r="AO6" s="10">
        <v>2.2999999999999998</v>
      </c>
      <c r="AP6" s="10">
        <v>123</v>
      </c>
      <c r="AQ6" s="10">
        <v>1256</v>
      </c>
      <c r="AR6" s="10">
        <v>6.9</v>
      </c>
      <c r="AS6" s="10">
        <v>6.4</v>
      </c>
      <c r="AT6" s="10">
        <v>0.9</v>
      </c>
      <c r="AU6" s="10">
        <v>27</v>
      </c>
      <c r="AV6" s="10">
        <f t="shared" si="0"/>
        <v>1397.3</v>
      </c>
      <c r="AW6" s="10" t="str">
        <f t="shared" si="1"/>
        <v>1</v>
      </c>
      <c r="AX6" s="10" t="str">
        <f t="shared" si="2"/>
        <v>1</v>
      </c>
      <c r="AY6" s="11">
        <f t="shared" si="3"/>
        <v>1</v>
      </c>
      <c r="AZ6" s="10">
        <v>45</v>
      </c>
      <c r="BA6" s="10">
        <v>14</v>
      </c>
      <c r="BB6" s="10">
        <v>2.1999999999999999E-2</v>
      </c>
      <c r="BC6" s="10">
        <v>37.549999999999997</v>
      </c>
      <c r="BD6" s="11">
        <f t="shared" si="4"/>
        <v>1706.8181818181818</v>
      </c>
      <c r="BE6" s="10" t="str">
        <f t="shared" si="5"/>
        <v>1</v>
      </c>
      <c r="BF6" s="10" t="str">
        <f t="shared" si="6"/>
        <v>1</v>
      </c>
      <c r="BG6" s="2">
        <f t="shared" si="7"/>
        <v>1</v>
      </c>
      <c r="BH6" s="10">
        <v>1</v>
      </c>
      <c r="BI6" s="10">
        <v>66.94</v>
      </c>
      <c r="BJ6" s="10"/>
      <c r="BK6" s="10">
        <v>167</v>
      </c>
      <c r="BL6" s="10"/>
      <c r="BM6" s="10" t="s">
        <v>61</v>
      </c>
      <c r="BN6" s="10" t="s">
        <v>61</v>
      </c>
      <c r="BO6" s="10"/>
      <c r="BP6" s="10"/>
      <c r="BQ6" s="10">
        <v>1</v>
      </c>
      <c r="BR6" s="10">
        <v>1</v>
      </c>
      <c r="BS6" s="10">
        <v>1</v>
      </c>
      <c r="BT6" s="10">
        <v>1</v>
      </c>
      <c r="BU6" s="10">
        <v>1</v>
      </c>
      <c r="BV6" s="10" t="s">
        <v>61</v>
      </c>
      <c r="BW6" s="10">
        <v>1</v>
      </c>
      <c r="BX6" s="10">
        <v>1994</v>
      </c>
      <c r="BY6" s="10">
        <f t="shared" ca="1" si="20"/>
        <v>32</v>
      </c>
      <c r="BZ6" s="10" t="str">
        <f t="shared" ca="1" si="21"/>
        <v>4</v>
      </c>
      <c r="CA6" s="10">
        <v>1</v>
      </c>
      <c r="CB6" s="10">
        <v>1</v>
      </c>
      <c r="CC6" s="10">
        <v>1</v>
      </c>
      <c r="CD6" s="10">
        <v>1</v>
      </c>
      <c r="CE6" s="2">
        <v>1</v>
      </c>
      <c r="CF6" s="62"/>
      <c r="CG6" s="10">
        <f t="shared" ca="1" si="22"/>
        <v>2026</v>
      </c>
      <c r="CH6" s="10" t="str">
        <f t="shared" ca="1" si="23"/>
        <v>5</v>
      </c>
      <c r="CI6" s="10">
        <v>1</v>
      </c>
      <c r="CJ6" s="10">
        <v>1</v>
      </c>
      <c r="CK6" s="10" t="e">
        <f t="shared" ca="1" si="8"/>
        <v>#DIV/0!</v>
      </c>
      <c r="CL6" s="10"/>
      <c r="CM6" s="10"/>
      <c r="CN6" s="10"/>
      <c r="CO6" s="10" t="s">
        <v>137</v>
      </c>
      <c r="CP6" s="10" t="s">
        <v>60</v>
      </c>
      <c r="CQ6" s="10"/>
      <c r="CR6" s="10"/>
      <c r="CS6" s="10"/>
      <c r="CT6" s="10"/>
      <c r="CU6" s="10"/>
    </row>
    <row r="7" spans="1:99" x14ac:dyDescent="0.2">
      <c r="A7" s="10"/>
      <c r="B7" s="57">
        <v>450108</v>
      </c>
      <c r="C7" s="57" t="s">
        <v>727</v>
      </c>
      <c r="D7" s="57" t="s">
        <v>728</v>
      </c>
      <c r="E7" s="55" t="s">
        <v>425</v>
      </c>
      <c r="F7" s="55" t="s">
        <v>683</v>
      </c>
      <c r="G7" s="57" t="s">
        <v>70</v>
      </c>
      <c r="H7" s="57" t="s">
        <v>70</v>
      </c>
      <c r="I7" s="2"/>
      <c r="J7" s="2"/>
      <c r="K7" s="2"/>
      <c r="L7" s="2"/>
      <c r="M7" s="2"/>
      <c r="N7" s="2"/>
      <c r="O7" s="2"/>
      <c r="P7" s="2"/>
      <c r="Q7" s="2"/>
      <c r="R7" s="2"/>
      <c r="S7" s="2">
        <f t="shared" si="9"/>
        <v>0</v>
      </c>
      <c r="T7" s="2" t="str">
        <f t="shared" si="10"/>
        <v>1</v>
      </c>
      <c r="U7" s="2" t="str">
        <f t="shared" si="11"/>
        <v>1</v>
      </c>
      <c r="V7" s="2" t="str">
        <f t="shared" si="12"/>
        <v>1</v>
      </c>
      <c r="W7" s="2" t="str">
        <f t="shared" si="13"/>
        <v>1</v>
      </c>
      <c r="X7" s="2">
        <f t="shared" si="14"/>
        <v>0.8</v>
      </c>
      <c r="Y7" s="2"/>
      <c r="Z7" s="2"/>
      <c r="AA7" s="2"/>
      <c r="AB7" s="2"/>
      <c r="AC7" s="2" t="e">
        <f t="shared" si="15"/>
        <v>#DIV/0!</v>
      </c>
      <c r="AD7" s="2"/>
      <c r="AE7" s="2" t="str">
        <f t="shared" si="16"/>
        <v>5</v>
      </c>
      <c r="AF7" s="2" t="e">
        <f t="shared" si="17"/>
        <v>#DIV/0!</v>
      </c>
      <c r="AG7" s="2" t="e">
        <f t="shared" si="18"/>
        <v>#DIV/0!</v>
      </c>
      <c r="AH7" s="2" t="str">
        <f t="shared" si="19"/>
        <v>1</v>
      </c>
      <c r="AI7" s="2" t="s">
        <v>81</v>
      </c>
      <c r="AJ7" s="2" t="s">
        <v>82</v>
      </c>
      <c r="AK7" s="2" t="s">
        <v>48</v>
      </c>
      <c r="AL7" s="10">
        <v>4</v>
      </c>
      <c r="AM7" s="10">
        <v>21157</v>
      </c>
      <c r="AN7" s="10">
        <v>74496</v>
      </c>
      <c r="AO7" s="10">
        <v>3.5</v>
      </c>
      <c r="AP7" s="10">
        <v>511</v>
      </c>
      <c r="AQ7" s="10">
        <v>1304</v>
      </c>
      <c r="AR7" s="10">
        <v>1.9</v>
      </c>
      <c r="AS7" s="10">
        <v>0.4</v>
      </c>
      <c r="AT7" s="10">
        <v>0</v>
      </c>
      <c r="AU7" s="10">
        <v>2</v>
      </c>
      <c r="AV7" s="10">
        <f t="shared" si="0"/>
        <v>1824.8</v>
      </c>
      <c r="AW7" s="10" t="str">
        <f t="shared" si="1"/>
        <v>1</v>
      </c>
      <c r="AX7" s="10" t="str">
        <f t="shared" si="2"/>
        <v>1</v>
      </c>
      <c r="AY7" s="11">
        <f t="shared" si="3"/>
        <v>1</v>
      </c>
      <c r="AZ7" s="10">
        <v>48</v>
      </c>
      <c r="BA7" s="10">
        <v>14</v>
      </c>
      <c r="BB7" s="10">
        <v>0.03</v>
      </c>
      <c r="BC7" s="10">
        <v>45</v>
      </c>
      <c r="BD7" s="11">
        <f t="shared" si="4"/>
        <v>1500</v>
      </c>
      <c r="BE7" s="10" t="str">
        <f t="shared" si="5"/>
        <v>1</v>
      </c>
      <c r="BF7" s="10" t="str">
        <f t="shared" si="6"/>
        <v>1</v>
      </c>
      <c r="BG7" s="2">
        <f t="shared" si="7"/>
        <v>1</v>
      </c>
      <c r="BH7" s="10">
        <v>1</v>
      </c>
      <c r="BI7" s="10">
        <v>181.8</v>
      </c>
      <c r="BJ7" s="10"/>
      <c r="BK7" s="10">
        <v>334.7</v>
      </c>
      <c r="BL7" s="10"/>
      <c r="BM7" s="10">
        <v>836.7</v>
      </c>
      <c r="BN7" s="10" t="s">
        <v>61</v>
      </c>
      <c r="BO7" s="10"/>
      <c r="BP7" s="10"/>
      <c r="BQ7" s="10">
        <v>1</v>
      </c>
      <c r="BR7" s="10">
        <v>1</v>
      </c>
      <c r="BS7" s="10">
        <v>1</v>
      </c>
      <c r="BT7" s="10">
        <v>1</v>
      </c>
      <c r="BU7" s="10">
        <v>1</v>
      </c>
      <c r="BV7" s="10">
        <v>1</v>
      </c>
      <c r="BW7" s="10">
        <v>1</v>
      </c>
      <c r="BX7" s="10">
        <v>1999</v>
      </c>
      <c r="BY7" s="10">
        <f t="shared" ca="1" si="20"/>
        <v>27</v>
      </c>
      <c r="BZ7" s="10" t="str">
        <f t="shared" ca="1" si="21"/>
        <v>3</v>
      </c>
      <c r="CA7" s="10">
        <v>1</v>
      </c>
      <c r="CB7" s="10">
        <v>1</v>
      </c>
      <c r="CC7" s="10">
        <v>1</v>
      </c>
      <c r="CD7" s="10">
        <v>1</v>
      </c>
      <c r="CE7" s="2">
        <v>1</v>
      </c>
      <c r="CF7" s="62"/>
      <c r="CG7" s="10">
        <f t="shared" ca="1" si="22"/>
        <v>2026</v>
      </c>
      <c r="CH7" s="10" t="str">
        <f t="shared" ca="1" si="23"/>
        <v>5</v>
      </c>
      <c r="CI7" s="10">
        <v>1</v>
      </c>
      <c r="CJ7" s="10">
        <v>1</v>
      </c>
      <c r="CK7" s="10" t="e">
        <f t="shared" ca="1" si="8"/>
        <v>#DIV/0!</v>
      </c>
      <c r="CL7" s="10"/>
      <c r="CM7" s="10"/>
      <c r="CN7" s="10"/>
      <c r="CO7" s="10" t="s">
        <v>729</v>
      </c>
      <c r="CP7" s="10" t="s">
        <v>137</v>
      </c>
      <c r="CQ7" s="10" t="s">
        <v>60</v>
      </c>
      <c r="CR7" s="10"/>
      <c r="CS7" s="10"/>
      <c r="CT7" s="10"/>
      <c r="CU7" s="10"/>
    </row>
    <row r="8" spans="1:99" x14ac:dyDescent="0.2">
      <c r="A8" s="10"/>
      <c r="B8" s="2" t="s">
        <v>730</v>
      </c>
      <c r="C8" s="2" t="s">
        <v>727</v>
      </c>
      <c r="D8" s="2" t="s">
        <v>728</v>
      </c>
      <c r="E8" s="10" t="s">
        <v>438</v>
      </c>
      <c r="F8" s="10" t="s">
        <v>683</v>
      </c>
      <c r="G8" s="2" t="s">
        <v>125</v>
      </c>
      <c r="H8" s="2" t="s">
        <v>126</v>
      </c>
      <c r="I8" s="2">
        <v>1.2</v>
      </c>
      <c r="J8" s="2">
        <v>2.8</v>
      </c>
      <c r="K8" s="2">
        <v>158</v>
      </c>
      <c r="L8" s="2">
        <v>17.399999999999999</v>
      </c>
      <c r="M8" s="2">
        <v>2.8</v>
      </c>
      <c r="N8" s="2">
        <v>28</v>
      </c>
      <c r="O8" s="2">
        <v>26621</v>
      </c>
      <c r="P8" s="2">
        <v>60122</v>
      </c>
      <c r="Q8" s="2">
        <v>2364</v>
      </c>
      <c r="R8" s="2">
        <v>0.8</v>
      </c>
      <c r="S8" s="2">
        <f t="shared" si="9"/>
        <v>24.2</v>
      </c>
      <c r="T8" s="2" t="str">
        <f t="shared" si="10"/>
        <v>1</v>
      </c>
      <c r="U8" s="2" t="str">
        <f t="shared" si="11"/>
        <v>2</v>
      </c>
      <c r="V8" s="2" t="str">
        <f t="shared" si="12"/>
        <v>2</v>
      </c>
      <c r="W8" s="2" t="str">
        <f t="shared" si="13"/>
        <v>1</v>
      </c>
      <c r="X8" s="2">
        <f t="shared" si="14"/>
        <v>1.2</v>
      </c>
      <c r="Y8" s="2">
        <v>56</v>
      </c>
      <c r="Z8" s="2">
        <v>7</v>
      </c>
      <c r="AA8" s="2">
        <v>0.02</v>
      </c>
      <c r="AB8" s="2">
        <v>37.700000000000003</v>
      </c>
      <c r="AC8" s="2">
        <f t="shared" si="15"/>
        <v>1885</v>
      </c>
      <c r="AD8" s="2"/>
      <c r="AE8" s="2" t="str">
        <f t="shared" si="16"/>
        <v>1</v>
      </c>
      <c r="AF8" s="2" t="str">
        <f t="shared" si="17"/>
        <v>1</v>
      </c>
      <c r="AG8" s="2">
        <f t="shared" si="18"/>
        <v>1</v>
      </c>
      <c r="AH8" s="2" t="str">
        <f t="shared" si="19"/>
        <v>1</v>
      </c>
      <c r="AI8" s="2" t="s">
        <v>81</v>
      </c>
      <c r="AJ8" s="2" t="s">
        <v>82</v>
      </c>
      <c r="AK8" s="2" t="s">
        <v>48</v>
      </c>
      <c r="AL8" s="10">
        <v>2.64</v>
      </c>
      <c r="AM8" s="10">
        <v>26535</v>
      </c>
      <c r="AN8" s="10">
        <v>60543</v>
      </c>
      <c r="AO8" s="10">
        <v>6.27</v>
      </c>
      <c r="AP8" s="10">
        <v>258</v>
      </c>
      <c r="AQ8" s="10">
        <v>4184.3999999999996</v>
      </c>
      <c r="AR8" s="10">
        <v>34</v>
      </c>
      <c r="AS8" s="10">
        <v>4.9000000000000004</v>
      </c>
      <c r="AT8" s="10">
        <v>1.8</v>
      </c>
      <c r="AU8" s="10">
        <v>35</v>
      </c>
      <c r="AV8" s="10">
        <f t="shared" si="0"/>
        <v>4490.21</v>
      </c>
      <c r="AW8" s="10" t="str">
        <f t="shared" si="1"/>
        <v>2</v>
      </c>
      <c r="AX8" s="10" t="str">
        <f t="shared" si="2"/>
        <v>1</v>
      </c>
      <c r="AY8" s="11">
        <f t="shared" si="3"/>
        <v>1.5</v>
      </c>
      <c r="AZ8" s="10">
        <v>43</v>
      </c>
      <c r="BA8" s="10">
        <v>8</v>
      </c>
      <c r="BB8" s="10">
        <v>0.02</v>
      </c>
      <c r="BC8" s="10">
        <v>38.9</v>
      </c>
      <c r="BD8" s="11">
        <f t="shared" si="4"/>
        <v>1945</v>
      </c>
      <c r="BE8" s="10" t="str">
        <f t="shared" si="5"/>
        <v>1</v>
      </c>
      <c r="BF8" s="10" t="str">
        <f t="shared" si="6"/>
        <v>1</v>
      </c>
      <c r="BG8" s="2">
        <f t="shared" si="7"/>
        <v>1</v>
      </c>
      <c r="BH8" s="10">
        <v>1</v>
      </c>
      <c r="BI8" s="10">
        <v>181.8</v>
      </c>
      <c r="BJ8" s="10"/>
      <c r="BK8" s="10">
        <v>334.7</v>
      </c>
      <c r="BL8" s="10"/>
      <c r="BM8" s="10">
        <v>836.7</v>
      </c>
      <c r="BN8" s="10" t="s">
        <v>61</v>
      </c>
      <c r="BO8" s="10"/>
      <c r="BP8" s="10"/>
      <c r="BQ8" s="10">
        <v>1</v>
      </c>
      <c r="BR8" s="10">
        <v>1</v>
      </c>
      <c r="BS8" s="10">
        <v>1</v>
      </c>
      <c r="BT8" s="10">
        <v>1</v>
      </c>
      <c r="BU8" s="10">
        <v>5</v>
      </c>
      <c r="BV8" s="10">
        <v>1</v>
      </c>
      <c r="BW8" s="10">
        <v>5</v>
      </c>
      <c r="BX8" s="10">
        <v>2013</v>
      </c>
      <c r="BY8" s="10">
        <f t="shared" ca="1" si="20"/>
        <v>13</v>
      </c>
      <c r="BZ8" s="10" t="str">
        <f t="shared" ca="1" si="21"/>
        <v>2</v>
      </c>
      <c r="CA8" s="10">
        <v>1</v>
      </c>
      <c r="CB8" s="10">
        <v>1</v>
      </c>
      <c r="CC8" s="10">
        <v>1</v>
      </c>
      <c r="CD8" s="10">
        <v>1</v>
      </c>
      <c r="CE8" s="2">
        <v>1</v>
      </c>
      <c r="CF8" s="10"/>
      <c r="CG8" s="10">
        <f t="shared" ca="1" si="22"/>
        <v>2026</v>
      </c>
      <c r="CH8" s="10" t="str">
        <f t="shared" ca="1" si="23"/>
        <v>5</v>
      </c>
      <c r="CI8" s="10">
        <v>1</v>
      </c>
      <c r="CJ8" s="10">
        <v>1</v>
      </c>
      <c r="CK8" s="10">
        <f t="shared" ca="1" si="8"/>
        <v>1.24</v>
      </c>
      <c r="CL8" s="10"/>
      <c r="CM8" s="10"/>
      <c r="CN8" s="10"/>
      <c r="CO8" s="10" t="s">
        <v>729</v>
      </c>
      <c r="CP8" s="10" t="s">
        <v>137</v>
      </c>
      <c r="CQ8" s="10" t="s">
        <v>60</v>
      </c>
      <c r="CR8" s="10"/>
      <c r="CS8" s="10"/>
      <c r="CT8" s="10"/>
      <c r="CU8" s="10"/>
    </row>
    <row r="9" spans="1:99" x14ac:dyDescent="0.2">
      <c r="A9" s="10"/>
      <c r="B9" s="57" t="s">
        <v>731</v>
      </c>
      <c r="C9" s="57">
        <v>10000</v>
      </c>
      <c r="D9" s="57" t="s">
        <v>726</v>
      </c>
      <c r="E9" s="55" t="s">
        <v>561</v>
      </c>
      <c r="F9" s="55" t="s">
        <v>683</v>
      </c>
      <c r="G9" s="57" t="s">
        <v>125</v>
      </c>
      <c r="H9" s="57" t="s">
        <v>148</v>
      </c>
      <c r="I9" s="2"/>
      <c r="J9" s="2"/>
      <c r="K9" s="2"/>
      <c r="L9" s="2"/>
      <c r="M9" s="2"/>
      <c r="N9" s="2"/>
      <c r="O9" s="2"/>
      <c r="P9" s="2"/>
      <c r="Q9" s="2"/>
      <c r="R9" s="2"/>
      <c r="S9" s="2">
        <f t="shared" si="9"/>
        <v>0</v>
      </c>
      <c r="T9" s="2" t="str">
        <f t="shared" si="10"/>
        <v>1</v>
      </c>
      <c r="U9" s="2" t="str">
        <f t="shared" si="11"/>
        <v>1</v>
      </c>
      <c r="V9" s="2" t="str">
        <f t="shared" si="12"/>
        <v>1</v>
      </c>
      <c r="W9" s="2" t="str">
        <f t="shared" si="13"/>
        <v>1</v>
      </c>
      <c r="X9" s="2">
        <f t="shared" si="14"/>
        <v>0.8</v>
      </c>
      <c r="Y9" s="2"/>
      <c r="Z9" s="2"/>
      <c r="AA9" s="2"/>
      <c r="AB9" s="2"/>
      <c r="AC9" s="2" t="e">
        <f t="shared" si="15"/>
        <v>#DIV/0!</v>
      </c>
      <c r="AD9" s="2"/>
      <c r="AE9" s="2" t="str">
        <f t="shared" si="16"/>
        <v>5</v>
      </c>
      <c r="AF9" s="2" t="e">
        <f t="shared" si="17"/>
        <v>#DIV/0!</v>
      </c>
      <c r="AG9" s="2" t="e">
        <f t="shared" si="18"/>
        <v>#DIV/0!</v>
      </c>
      <c r="AH9" s="2" t="str">
        <f t="shared" si="19"/>
        <v>1</v>
      </c>
      <c r="AI9" s="2" t="s">
        <v>81</v>
      </c>
      <c r="AJ9" s="2" t="s">
        <v>143</v>
      </c>
      <c r="AK9" s="2" t="s">
        <v>66</v>
      </c>
      <c r="AL9" s="10">
        <v>12.6</v>
      </c>
      <c r="AM9" s="10">
        <v>8217</v>
      </c>
      <c r="AN9" s="10">
        <v>83644</v>
      </c>
      <c r="AO9" s="10">
        <v>6.9</v>
      </c>
      <c r="AP9" s="10">
        <v>695</v>
      </c>
      <c r="AQ9" s="10">
        <v>5971</v>
      </c>
      <c r="AR9" s="10">
        <v>26</v>
      </c>
      <c r="AS9" s="10">
        <v>1.4</v>
      </c>
      <c r="AT9" s="10">
        <v>0</v>
      </c>
      <c r="AU9" s="10">
        <v>8.6999999999999993</v>
      </c>
      <c r="AV9" s="10">
        <f t="shared" si="0"/>
        <v>6712.9</v>
      </c>
      <c r="AW9" s="10" t="str">
        <f t="shared" si="1"/>
        <v>3</v>
      </c>
      <c r="AX9" s="10" t="str">
        <f t="shared" si="2"/>
        <v>1</v>
      </c>
      <c r="AY9" s="11">
        <f t="shared" si="3"/>
        <v>2</v>
      </c>
      <c r="AZ9" s="10">
        <v>14</v>
      </c>
      <c r="BA9" s="10">
        <v>36</v>
      </c>
      <c r="BB9" s="10">
        <v>8.9999999999999993E-3</v>
      </c>
      <c r="BC9" s="10">
        <v>44.2</v>
      </c>
      <c r="BD9" s="11">
        <f t="shared" si="4"/>
        <v>4911.1111111111122</v>
      </c>
      <c r="BE9" s="10" t="str">
        <f t="shared" si="5"/>
        <v>5</v>
      </c>
      <c r="BF9" s="10" t="str">
        <f t="shared" si="6"/>
        <v>1</v>
      </c>
      <c r="BG9" s="2">
        <f t="shared" si="7"/>
        <v>3</v>
      </c>
      <c r="BH9" s="10">
        <v>3</v>
      </c>
      <c r="BI9" s="10">
        <v>108.77</v>
      </c>
      <c r="BJ9" s="10"/>
      <c r="BK9" s="10">
        <v>271.94</v>
      </c>
      <c r="BL9" s="10"/>
      <c r="BM9" s="10" t="s">
        <v>61</v>
      </c>
      <c r="BN9" s="10" t="s">
        <v>61</v>
      </c>
      <c r="BO9" s="10"/>
      <c r="BP9" s="10"/>
      <c r="BQ9" s="10">
        <v>5</v>
      </c>
      <c r="BR9" s="10">
        <v>5</v>
      </c>
      <c r="BS9" s="10">
        <v>5</v>
      </c>
      <c r="BT9" s="10">
        <v>5</v>
      </c>
      <c r="BU9" s="10">
        <v>5</v>
      </c>
      <c r="BV9" s="10" t="s">
        <v>61</v>
      </c>
      <c r="BW9" s="10">
        <v>5</v>
      </c>
      <c r="BX9" s="10">
        <v>1985</v>
      </c>
      <c r="BY9" s="10">
        <f t="shared" ca="1" si="20"/>
        <v>41</v>
      </c>
      <c r="BZ9" s="10" t="str">
        <f t="shared" ca="1" si="21"/>
        <v>5</v>
      </c>
      <c r="CA9" s="10">
        <v>1</v>
      </c>
      <c r="CB9" s="10">
        <v>1</v>
      </c>
      <c r="CC9" s="10">
        <v>1</v>
      </c>
      <c r="CD9" s="10">
        <v>1</v>
      </c>
      <c r="CE9" s="2">
        <v>1</v>
      </c>
      <c r="CF9" s="62"/>
      <c r="CG9" s="10">
        <f t="shared" ca="1" si="22"/>
        <v>2026</v>
      </c>
      <c r="CH9" s="10" t="str">
        <f t="shared" ca="1" si="23"/>
        <v>5</v>
      </c>
      <c r="CI9" s="10">
        <v>1</v>
      </c>
      <c r="CJ9" s="10">
        <v>1</v>
      </c>
      <c r="CK9" s="10" t="e">
        <f t="shared" ca="1" si="8"/>
        <v>#DIV/0!</v>
      </c>
      <c r="CL9" s="10"/>
      <c r="CM9" s="10"/>
      <c r="CN9" s="10"/>
      <c r="CO9" s="10" t="s">
        <v>137</v>
      </c>
      <c r="CP9" s="10" t="s">
        <v>60</v>
      </c>
      <c r="CQ9" s="10"/>
      <c r="CR9" s="10"/>
      <c r="CS9" s="10"/>
      <c r="CT9" s="10"/>
      <c r="CU9" s="10"/>
    </row>
    <row r="10" spans="1:99" x14ac:dyDescent="0.2">
      <c r="A10" s="10"/>
      <c r="B10" s="2" t="s">
        <v>682</v>
      </c>
      <c r="C10" s="83" t="s">
        <v>732</v>
      </c>
      <c r="D10" s="2" t="s">
        <v>725</v>
      </c>
      <c r="E10" s="10" t="s">
        <v>351</v>
      </c>
      <c r="F10" s="10" t="s">
        <v>683</v>
      </c>
      <c r="G10" s="2" t="s">
        <v>58</v>
      </c>
      <c r="H10" s="2" t="s">
        <v>59</v>
      </c>
      <c r="I10" s="2">
        <v>8.3000000000000007</v>
      </c>
      <c r="J10" s="2">
        <v>6.8</v>
      </c>
      <c r="K10" s="2">
        <v>1011</v>
      </c>
      <c r="L10" s="2">
        <v>121</v>
      </c>
      <c r="M10" s="2">
        <v>1.5</v>
      </c>
      <c r="N10" s="2">
        <v>4.2</v>
      </c>
      <c r="O10" s="2">
        <v>7942</v>
      </c>
      <c r="P10" s="2">
        <v>66302</v>
      </c>
      <c r="Q10" s="2">
        <v>2621</v>
      </c>
      <c r="R10" s="2">
        <v>0.1</v>
      </c>
      <c r="S10" s="2">
        <f t="shared" si="9"/>
        <v>137.6</v>
      </c>
      <c r="T10" s="2" t="str">
        <f t="shared" si="10"/>
        <v>2</v>
      </c>
      <c r="U10" s="2" t="str">
        <f t="shared" si="11"/>
        <v>5</v>
      </c>
      <c r="V10" s="2" t="str">
        <f t="shared" si="12"/>
        <v>2</v>
      </c>
      <c r="W10" s="2" t="str">
        <f t="shared" si="13"/>
        <v>1</v>
      </c>
      <c r="X10" s="2">
        <f t="shared" si="14"/>
        <v>2</v>
      </c>
      <c r="Y10" s="2">
        <v>63</v>
      </c>
      <c r="Z10" s="2">
        <v>8</v>
      </c>
      <c r="AA10" s="2">
        <v>0.02</v>
      </c>
      <c r="AB10" s="2">
        <v>37.299999999999997</v>
      </c>
      <c r="AC10" s="2">
        <f t="shared" si="15"/>
        <v>1864.9999999999998</v>
      </c>
      <c r="AD10" s="2">
        <v>23</v>
      </c>
      <c r="AE10" s="2" t="str">
        <f t="shared" si="16"/>
        <v>1</v>
      </c>
      <c r="AF10" s="2" t="str">
        <f t="shared" si="17"/>
        <v>1</v>
      </c>
      <c r="AG10" s="2">
        <f t="shared" si="18"/>
        <v>1</v>
      </c>
      <c r="AH10" s="2" t="str">
        <f t="shared" si="19"/>
        <v>1</v>
      </c>
      <c r="AI10" s="2" t="s">
        <v>81</v>
      </c>
      <c r="AJ10" s="2" t="s">
        <v>143</v>
      </c>
      <c r="AK10" s="2" t="s">
        <v>48</v>
      </c>
      <c r="AL10" s="12">
        <v>2.4</v>
      </c>
      <c r="AM10" s="12">
        <v>6704</v>
      </c>
      <c r="AN10" s="12">
        <v>34446</v>
      </c>
      <c r="AO10" s="12">
        <v>0.1</v>
      </c>
      <c r="AP10" s="12">
        <v>98</v>
      </c>
      <c r="AQ10" s="12">
        <v>667</v>
      </c>
      <c r="AR10" s="12">
        <v>8.8000000000000007</v>
      </c>
      <c r="AS10" s="12">
        <v>0.3</v>
      </c>
      <c r="AT10" s="12">
        <v>0</v>
      </c>
      <c r="AU10" s="12">
        <v>0</v>
      </c>
      <c r="AV10" s="12">
        <f t="shared" si="0"/>
        <v>776.6</v>
      </c>
      <c r="AW10" s="12" t="str">
        <f t="shared" si="1"/>
        <v>1</v>
      </c>
      <c r="AX10" s="12" t="str">
        <f t="shared" si="2"/>
        <v>1</v>
      </c>
      <c r="AY10" s="65">
        <f t="shared" si="3"/>
        <v>1</v>
      </c>
      <c r="AZ10" s="12">
        <v>53</v>
      </c>
      <c r="BA10" s="12">
        <v>12</v>
      </c>
      <c r="BB10" s="12">
        <v>4.0000000000000001E-3</v>
      </c>
      <c r="BC10" s="12">
        <v>37.700000000000003</v>
      </c>
      <c r="BD10" s="65">
        <f t="shared" si="4"/>
        <v>9425</v>
      </c>
      <c r="BE10" s="12" t="str">
        <f t="shared" si="5"/>
        <v>1</v>
      </c>
      <c r="BF10" s="12" t="str">
        <f t="shared" si="6"/>
        <v>1</v>
      </c>
      <c r="BG10" s="5">
        <f t="shared" si="7"/>
        <v>1</v>
      </c>
      <c r="BH10" s="12">
        <v>3</v>
      </c>
      <c r="BI10" s="12">
        <v>63</v>
      </c>
      <c r="BJ10" s="12"/>
      <c r="BK10" s="12">
        <v>200.8</v>
      </c>
      <c r="BL10" s="12"/>
      <c r="BM10" s="12">
        <v>167.4</v>
      </c>
      <c r="BN10" s="12"/>
      <c r="BO10" s="12"/>
      <c r="BP10" s="12"/>
      <c r="BQ10" s="12">
        <v>1</v>
      </c>
      <c r="BR10" s="12">
        <v>1</v>
      </c>
      <c r="BS10" s="12">
        <v>1</v>
      </c>
      <c r="BT10" s="12">
        <v>1</v>
      </c>
      <c r="BU10" s="12">
        <v>1</v>
      </c>
      <c r="BV10" s="12">
        <v>1</v>
      </c>
      <c r="BW10" s="12">
        <v>1</v>
      </c>
      <c r="BX10" s="12">
        <v>1980</v>
      </c>
      <c r="BY10" s="12">
        <f t="shared" ca="1" si="20"/>
        <v>46</v>
      </c>
      <c r="BZ10" s="12" t="str">
        <f t="shared" ca="1" si="21"/>
        <v>5</v>
      </c>
      <c r="CA10" s="10">
        <v>1</v>
      </c>
      <c r="CB10" s="10">
        <v>1</v>
      </c>
      <c r="CC10" s="10">
        <v>1</v>
      </c>
      <c r="CD10" s="10">
        <v>1</v>
      </c>
      <c r="CE10" s="2">
        <v>1</v>
      </c>
      <c r="CF10" s="62">
        <v>1984</v>
      </c>
      <c r="CG10" s="10">
        <f t="shared" ca="1" si="22"/>
        <v>42</v>
      </c>
      <c r="CH10" s="10" t="str">
        <f t="shared" ca="1" si="23"/>
        <v>5</v>
      </c>
      <c r="CI10" s="10">
        <v>1</v>
      </c>
      <c r="CJ10" s="10">
        <v>1</v>
      </c>
      <c r="CK10" s="10">
        <f t="shared" ca="1" si="8"/>
        <v>1.4</v>
      </c>
      <c r="CL10" s="10"/>
      <c r="CM10" s="10"/>
      <c r="CN10" s="10"/>
      <c r="CO10" s="10">
        <v>110</v>
      </c>
      <c r="CP10" s="10" t="s">
        <v>137</v>
      </c>
      <c r="CQ10" s="10" t="s">
        <v>60</v>
      </c>
      <c r="CR10" s="10"/>
      <c r="CS10" s="10"/>
      <c r="CT10" s="10"/>
      <c r="CU10" s="10"/>
    </row>
    <row r="11" spans="1:99" x14ac:dyDescent="0.2">
      <c r="A11" s="10"/>
      <c r="B11" s="2" t="s">
        <v>733</v>
      </c>
      <c r="C11" s="2" t="s">
        <v>734</v>
      </c>
      <c r="D11" s="2" t="s">
        <v>725</v>
      </c>
      <c r="E11" s="10" t="s">
        <v>278</v>
      </c>
      <c r="F11" s="10" t="s">
        <v>683</v>
      </c>
      <c r="G11" s="2" t="s">
        <v>58</v>
      </c>
      <c r="H11" s="2" t="s">
        <v>64</v>
      </c>
      <c r="I11" s="2">
        <v>86</v>
      </c>
      <c r="J11" s="2">
        <v>4314</v>
      </c>
      <c r="K11" s="2">
        <v>780</v>
      </c>
      <c r="L11" s="2">
        <v>810</v>
      </c>
      <c r="M11" s="2">
        <v>2244</v>
      </c>
      <c r="N11" s="2">
        <v>4234</v>
      </c>
      <c r="O11" s="2">
        <v>178</v>
      </c>
      <c r="P11" s="2">
        <v>69151</v>
      </c>
      <c r="Q11" s="2">
        <v>16578</v>
      </c>
      <c r="R11" s="2">
        <v>0</v>
      </c>
      <c r="S11" s="2">
        <f t="shared" si="9"/>
        <v>7454</v>
      </c>
      <c r="T11" s="2" t="str">
        <f t="shared" si="10"/>
        <v>5</v>
      </c>
      <c r="U11" s="2" t="str">
        <f t="shared" si="11"/>
        <v>5</v>
      </c>
      <c r="V11" s="2" t="str">
        <f t="shared" si="12"/>
        <v>5</v>
      </c>
      <c r="W11" s="2" t="str">
        <f t="shared" si="13"/>
        <v>1</v>
      </c>
      <c r="X11" s="2">
        <f t="shared" si="14"/>
        <v>3.2</v>
      </c>
      <c r="Y11" s="2">
        <v>47</v>
      </c>
      <c r="Z11" s="2">
        <v>9</v>
      </c>
      <c r="AA11" s="2">
        <v>0.02</v>
      </c>
      <c r="AB11" s="2">
        <v>41</v>
      </c>
      <c r="AC11" s="2">
        <f t="shared" si="15"/>
        <v>2050</v>
      </c>
      <c r="AD11" s="2">
        <v>168</v>
      </c>
      <c r="AE11" s="2" t="str">
        <f t="shared" si="16"/>
        <v>1</v>
      </c>
      <c r="AF11" s="2" t="str">
        <f t="shared" si="17"/>
        <v>1</v>
      </c>
      <c r="AG11" s="2">
        <f t="shared" si="18"/>
        <v>1</v>
      </c>
      <c r="AH11" s="2" t="str">
        <f t="shared" si="19"/>
        <v>1</v>
      </c>
      <c r="AI11" s="2" t="s">
        <v>81</v>
      </c>
      <c r="AJ11" s="2" t="s">
        <v>143</v>
      </c>
      <c r="AK11" s="2" t="s">
        <v>48</v>
      </c>
      <c r="AL11" s="12">
        <v>337</v>
      </c>
      <c r="AM11" s="12">
        <v>322</v>
      </c>
      <c r="AN11" s="12">
        <v>80493</v>
      </c>
      <c r="AO11" s="12">
        <v>3903</v>
      </c>
      <c r="AP11" s="12">
        <v>720</v>
      </c>
      <c r="AQ11" s="12">
        <v>17698</v>
      </c>
      <c r="AR11" s="12">
        <v>795</v>
      </c>
      <c r="AS11" s="12">
        <v>2204</v>
      </c>
      <c r="AT11" s="12">
        <v>0</v>
      </c>
      <c r="AU11" s="12">
        <v>4119</v>
      </c>
      <c r="AV11" s="12">
        <v>0</v>
      </c>
      <c r="AW11" s="12" t="str">
        <f t="shared" si="1"/>
        <v>1</v>
      </c>
      <c r="AX11" s="12" t="str">
        <f t="shared" si="2"/>
        <v>1</v>
      </c>
      <c r="AY11" s="65">
        <f t="shared" si="3"/>
        <v>1</v>
      </c>
      <c r="AZ11" s="12">
        <v>41</v>
      </c>
      <c r="BA11" s="12">
        <v>16</v>
      </c>
      <c r="BB11" s="12">
        <v>0.02</v>
      </c>
      <c r="BC11" s="12">
        <v>41.9</v>
      </c>
      <c r="BD11" s="65">
        <f t="shared" si="4"/>
        <v>2095</v>
      </c>
      <c r="BE11" s="12" t="str">
        <f t="shared" si="5"/>
        <v>1</v>
      </c>
      <c r="BF11" s="12" t="str">
        <f t="shared" si="6"/>
        <v>1</v>
      </c>
      <c r="BG11" s="5">
        <f t="shared" si="7"/>
        <v>1</v>
      </c>
      <c r="BH11" s="12">
        <v>3</v>
      </c>
      <c r="BI11" s="12">
        <v>236.2</v>
      </c>
      <c r="BJ11" s="12"/>
      <c r="BK11" s="12">
        <v>502</v>
      </c>
      <c r="BL11" s="12"/>
      <c r="BM11" s="12">
        <v>628</v>
      </c>
      <c r="BN11" s="12"/>
      <c r="BO11" s="12"/>
      <c r="BP11" s="12"/>
      <c r="BQ11" s="12">
        <v>1</v>
      </c>
      <c r="BR11" s="12">
        <v>1</v>
      </c>
      <c r="BS11" s="12">
        <v>1</v>
      </c>
      <c r="BT11" s="12">
        <v>1</v>
      </c>
      <c r="BU11" s="12">
        <v>1</v>
      </c>
      <c r="BV11" s="12">
        <v>1</v>
      </c>
      <c r="BW11" s="12">
        <v>1</v>
      </c>
      <c r="BX11" s="12">
        <v>1998</v>
      </c>
      <c r="BY11" s="12">
        <f t="shared" ca="1" si="20"/>
        <v>28</v>
      </c>
      <c r="BZ11" s="12" t="str">
        <f t="shared" ca="1" si="21"/>
        <v>3</v>
      </c>
      <c r="CA11" s="10">
        <v>1</v>
      </c>
      <c r="CB11" s="10">
        <v>1</v>
      </c>
      <c r="CC11" s="10">
        <v>1</v>
      </c>
      <c r="CD11" s="10">
        <v>1</v>
      </c>
      <c r="CE11" s="2">
        <v>1</v>
      </c>
      <c r="CF11" s="62">
        <v>1998</v>
      </c>
      <c r="CG11" s="10">
        <f t="shared" ca="1" si="22"/>
        <v>28</v>
      </c>
      <c r="CH11" s="10" t="str">
        <f t="shared" ca="1" si="23"/>
        <v>4</v>
      </c>
      <c r="CI11" s="10">
        <v>1</v>
      </c>
      <c r="CJ11" s="10">
        <v>1</v>
      </c>
      <c r="CK11" s="10">
        <f t="shared" ca="1" si="8"/>
        <v>1.59</v>
      </c>
      <c r="CL11" s="10"/>
      <c r="CM11" s="10"/>
      <c r="CN11" s="10"/>
      <c r="CO11" s="10">
        <v>110</v>
      </c>
      <c r="CP11" s="10" t="s">
        <v>137</v>
      </c>
      <c r="CQ11" s="10" t="s">
        <v>60</v>
      </c>
      <c r="CR11" s="10"/>
      <c r="CS11" s="10"/>
      <c r="CT11" s="10"/>
      <c r="CU11" s="10"/>
    </row>
    <row r="12" spans="1:99" x14ac:dyDescent="0.2">
      <c r="A12" s="10"/>
      <c r="B12" s="57">
        <v>6818</v>
      </c>
      <c r="C12" s="57">
        <v>30000</v>
      </c>
      <c r="D12" s="57" t="s">
        <v>735</v>
      </c>
      <c r="E12" s="55" t="s">
        <v>636</v>
      </c>
      <c r="F12" s="55" t="s">
        <v>683</v>
      </c>
      <c r="G12" s="57" t="s">
        <v>70</v>
      </c>
      <c r="H12" s="57" t="s">
        <v>70</v>
      </c>
      <c r="I12" s="2"/>
      <c r="J12" s="2"/>
      <c r="K12" s="2"/>
      <c r="L12" s="2"/>
      <c r="M12" s="2"/>
      <c r="N12" s="2"/>
      <c r="O12" s="2"/>
      <c r="P12" s="2"/>
      <c r="Q12" s="2"/>
      <c r="R12" s="2"/>
      <c r="S12" s="2">
        <f t="shared" si="9"/>
        <v>0</v>
      </c>
      <c r="T12" s="2" t="str">
        <f t="shared" si="10"/>
        <v>1</v>
      </c>
      <c r="U12" s="2" t="str">
        <f t="shared" si="11"/>
        <v>1</v>
      </c>
      <c r="V12" s="2" t="str">
        <f t="shared" si="12"/>
        <v>1</v>
      </c>
      <c r="W12" s="2" t="str">
        <f t="shared" si="13"/>
        <v>1</v>
      </c>
      <c r="X12" s="2">
        <f t="shared" si="14"/>
        <v>0.8</v>
      </c>
      <c r="Y12" s="2"/>
      <c r="Z12" s="2"/>
      <c r="AA12" s="2"/>
      <c r="AB12" s="2"/>
      <c r="AC12" s="2" t="e">
        <f t="shared" si="15"/>
        <v>#DIV/0!</v>
      </c>
      <c r="AD12" s="2"/>
      <c r="AE12" s="2" t="str">
        <f t="shared" si="16"/>
        <v>5</v>
      </c>
      <c r="AF12" s="2" t="e">
        <f t="shared" si="17"/>
        <v>#DIV/0!</v>
      </c>
      <c r="AG12" s="2" t="e">
        <f t="shared" si="18"/>
        <v>#DIV/0!</v>
      </c>
      <c r="AH12" s="2" t="str">
        <f t="shared" si="19"/>
        <v>1</v>
      </c>
      <c r="AI12" s="2" t="s">
        <v>81</v>
      </c>
      <c r="AJ12" s="2" t="s">
        <v>143</v>
      </c>
      <c r="AK12" s="2" t="s">
        <v>48</v>
      </c>
      <c r="AL12" s="10">
        <v>8.1</v>
      </c>
      <c r="AM12" s="10">
        <v>2127</v>
      </c>
      <c r="AN12" s="10">
        <v>71784</v>
      </c>
      <c r="AO12" s="10">
        <v>40</v>
      </c>
      <c r="AP12" s="10">
        <v>1843</v>
      </c>
      <c r="AQ12" s="10">
        <v>9370</v>
      </c>
      <c r="AR12" s="10">
        <v>5</v>
      </c>
      <c r="AS12" s="10">
        <v>9.5</v>
      </c>
      <c r="AT12" s="10">
        <v>0.1</v>
      </c>
      <c r="AU12" s="10">
        <v>17.100000000000001</v>
      </c>
      <c r="AV12" s="10">
        <f t="shared" si="0"/>
        <v>11275.6</v>
      </c>
      <c r="AW12" s="10" t="str">
        <f t="shared" si="1"/>
        <v>3</v>
      </c>
      <c r="AX12" s="10" t="str">
        <f t="shared" si="2"/>
        <v>1</v>
      </c>
      <c r="AY12" s="11">
        <f t="shared" si="3"/>
        <v>2</v>
      </c>
      <c r="AZ12" s="10">
        <v>51</v>
      </c>
      <c r="BA12" s="10">
        <v>11</v>
      </c>
      <c r="BB12" s="10">
        <v>0.02</v>
      </c>
      <c r="BC12" s="10">
        <v>42.2</v>
      </c>
      <c r="BD12" s="11">
        <f t="shared" si="4"/>
        <v>2110</v>
      </c>
      <c r="BE12" s="10" t="str">
        <f t="shared" si="5"/>
        <v>1</v>
      </c>
      <c r="BF12" s="10" t="str">
        <f t="shared" si="6"/>
        <v>1</v>
      </c>
      <c r="BG12" s="2">
        <f t="shared" si="7"/>
        <v>1</v>
      </c>
      <c r="BH12" s="10">
        <v>1</v>
      </c>
      <c r="BI12" s="10">
        <v>262.39999999999998</v>
      </c>
      <c r="BJ12" s="10"/>
      <c r="BK12" s="10">
        <v>1255.0999999999999</v>
      </c>
      <c r="BL12" s="10"/>
      <c r="BM12" s="10" t="s">
        <v>61</v>
      </c>
      <c r="BN12" s="10"/>
      <c r="BO12" s="10"/>
      <c r="BP12" s="10"/>
      <c r="BQ12" s="10">
        <v>1</v>
      </c>
      <c r="BR12" s="10">
        <v>1</v>
      </c>
      <c r="BS12" s="10">
        <v>1</v>
      </c>
      <c r="BT12" s="10">
        <v>1</v>
      </c>
      <c r="BU12" s="10">
        <v>1</v>
      </c>
      <c r="BV12" s="10">
        <v>1</v>
      </c>
      <c r="BW12" s="10">
        <v>1</v>
      </c>
      <c r="BX12" s="10">
        <v>1997</v>
      </c>
      <c r="BY12" s="10">
        <f t="shared" ca="1" si="20"/>
        <v>29</v>
      </c>
      <c r="BZ12" s="10" t="str">
        <f t="shared" ca="1" si="21"/>
        <v>3</v>
      </c>
      <c r="CA12" s="10">
        <v>1</v>
      </c>
      <c r="CB12" s="10">
        <v>1</v>
      </c>
      <c r="CC12" s="10">
        <v>1</v>
      </c>
      <c r="CD12" s="10">
        <v>1</v>
      </c>
      <c r="CE12" s="2">
        <v>1</v>
      </c>
      <c r="CF12" s="62"/>
      <c r="CG12" s="10">
        <f t="shared" ca="1" si="22"/>
        <v>2026</v>
      </c>
      <c r="CH12" s="10" t="str">
        <f t="shared" ca="1" si="23"/>
        <v>5</v>
      </c>
      <c r="CI12" s="10">
        <v>1</v>
      </c>
      <c r="CJ12" s="10">
        <v>1</v>
      </c>
      <c r="CK12" s="10" t="e">
        <f t="shared" ca="1" si="8"/>
        <v>#DIV/0!</v>
      </c>
      <c r="CL12" s="10"/>
      <c r="CM12" s="10"/>
      <c r="CN12" s="10"/>
      <c r="CO12" s="10">
        <v>66</v>
      </c>
      <c r="CP12" s="10" t="s">
        <v>60</v>
      </c>
      <c r="CQ12" s="10"/>
      <c r="CR12" s="10"/>
      <c r="CS12" s="10"/>
      <c r="CT12" s="10"/>
      <c r="CU12" s="10"/>
    </row>
    <row r="13" spans="1:99" x14ac:dyDescent="0.2">
      <c r="A13" s="10"/>
      <c r="B13" s="57">
        <v>72093</v>
      </c>
      <c r="C13" s="57">
        <v>10000</v>
      </c>
      <c r="D13" s="57" t="s">
        <v>735</v>
      </c>
      <c r="E13" s="55" t="s">
        <v>187</v>
      </c>
      <c r="F13" s="55" t="s">
        <v>683</v>
      </c>
      <c r="G13" s="57" t="s">
        <v>70</v>
      </c>
      <c r="H13" s="57" t="s">
        <v>70</v>
      </c>
      <c r="I13" s="2"/>
      <c r="J13" s="2"/>
      <c r="K13" s="2"/>
      <c r="L13" s="2"/>
      <c r="M13" s="2"/>
      <c r="N13" s="2"/>
      <c r="O13" s="2"/>
      <c r="P13" s="2"/>
      <c r="Q13" s="2"/>
      <c r="R13" s="2"/>
      <c r="S13" s="2">
        <f t="shared" si="9"/>
        <v>0</v>
      </c>
      <c r="T13" s="2" t="str">
        <f t="shared" si="10"/>
        <v>1</v>
      </c>
      <c r="U13" s="2" t="str">
        <f t="shared" si="11"/>
        <v>1</v>
      </c>
      <c r="V13" s="2" t="str">
        <f t="shared" si="12"/>
        <v>1</v>
      </c>
      <c r="W13" s="2" t="str">
        <f t="shared" si="13"/>
        <v>1</v>
      </c>
      <c r="X13" s="2">
        <f t="shared" si="14"/>
        <v>0.8</v>
      </c>
      <c r="Y13" s="2"/>
      <c r="Z13" s="2"/>
      <c r="AA13" s="2"/>
      <c r="AB13" s="2"/>
      <c r="AC13" s="2" t="e">
        <f t="shared" si="15"/>
        <v>#DIV/0!</v>
      </c>
      <c r="AD13" s="2"/>
      <c r="AE13" s="2" t="str">
        <f t="shared" si="16"/>
        <v>5</v>
      </c>
      <c r="AF13" s="2" t="e">
        <f t="shared" si="17"/>
        <v>#DIV/0!</v>
      </c>
      <c r="AG13" s="2" t="e">
        <f t="shared" si="18"/>
        <v>#DIV/0!</v>
      </c>
      <c r="AH13" s="2" t="str">
        <f t="shared" si="19"/>
        <v>1</v>
      </c>
      <c r="AI13" s="2" t="s">
        <v>65</v>
      </c>
      <c r="AJ13" s="2" t="s">
        <v>61</v>
      </c>
      <c r="AK13" s="2" t="s">
        <v>66</v>
      </c>
      <c r="AL13" s="10">
        <v>7.2</v>
      </c>
      <c r="AM13" s="10">
        <v>15600</v>
      </c>
      <c r="AN13" s="10">
        <v>65094</v>
      </c>
      <c r="AO13" s="10">
        <v>3</v>
      </c>
      <c r="AP13" s="10">
        <v>396</v>
      </c>
      <c r="AQ13" s="10">
        <v>3944</v>
      </c>
      <c r="AR13" s="10">
        <v>91</v>
      </c>
      <c r="AS13" s="10">
        <v>1.3</v>
      </c>
      <c r="AT13" s="10">
        <v>0</v>
      </c>
      <c r="AU13" s="10">
        <v>36</v>
      </c>
      <c r="AV13" s="10">
        <f t="shared" si="0"/>
        <v>4442.5</v>
      </c>
      <c r="AW13" s="10" t="str">
        <f t="shared" si="1"/>
        <v>2</v>
      </c>
      <c r="AX13" s="10" t="str">
        <f t="shared" si="2"/>
        <v>1</v>
      </c>
      <c r="AY13" s="11">
        <f t="shared" si="3"/>
        <v>1.5</v>
      </c>
      <c r="AZ13" s="10">
        <v>30</v>
      </c>
      <c r="BA13" s="10">
        <v>24</v>
      </c>
      <c r="BB13" s="10">
        <v>8.7999999999999995E-2</v>
      </c>
      <c r="BC13" s="10">
        <v>28.3</v>
      </c>
      <c r="BD13" s="11">
        <f t="shared" si="4"/>
        <v>321.59090909090912</v>
      </c>
      <c r="BE13" s="10" t="str">
        <f t="shared" si="5"/>
        <v>2</v>
      </c>
      <c r="BF13" s="10" t="str">
        <f t="shared" si="6"/>
        <v>5</v>
      </c>
      <c r="BG13" s="2">
        <f t="shared" si="7"/>
        <v>3.5</v>
      </c>
      <c r="BH13" s="10">
        <v>3</v>
      </c>
      <c r="BI13" s="10">
        <v>87.5</v>
      </c>
      <c r="BJ13" s="10"/>
      <c r="BK13" s="10">
        <v>418</v>
      </c>
      <c r="BL13" s="10"/>
      <c r="BM13" s="10" t="s">
        <v>61</v>
      </c>
      <c r="BN13" s="10"/>
      <c r="BO13" s="10"/>
      <c r="BP13" s="10"/>
      <c r="BQ13" s="10">
        <v>5</v>
      </c>
      <c r="BR13" s="10">
        <v>5</v>
      </c>
      <c r="BS13" s="10">
        <v>5</v>
      </c>
      <c r="BT13" s="10">
        <v>5</v>
      </c>
      <c r="BU13" s="10">
        <v>5</v>
      </c>
      <c r="BV13" s="10" t="s">
        <v>61</v>
      </c>
      <c r="BW13" s="10">
        <v>5</v>
      </c>
      <c r="BX13" s="10">
        <v>1984</v>
      </c>
      <c r="BY13" s="10">
        <f t="shared" ca="1" si="20"/>
        <v>42</v>
      </c>
      <c r="BZ13" s="10" t="str">
        <f t="shared" ca="1" si="21"/>
        <v>5</v>
      </c>
      <c r="CA13" s="10">
        <v>1</v>
      </c>
      <c r="CB13" s="10">
        <v>1</v>
      </c>
      <c r="CC13" s="10">
        <v>1</v>
      </c>
      <c r="CD13" s="10">
        <v>1</v>
      </c>
      <c r="CE13" s="2">
        <v>1</v>
      </c>
      <c r="CF13" s="62"/>
      <c r="CG13" s="10">
        <f t="shared" ca="1" si="22"/>
        <v>2026</v>
      </c>
      <c r="CH13" s="10" t="str">
        <f t="shared" ca="1" si="23"/>
        <v>5</v>
      </c>
      <c r="CI13" s="10">
        <v>1</v>
      </c>
      <c r="CJ13" s="10">
        <v>1</v>
      </c>
      <c r="CK13" s="10" t="e">
        <f t="shared" ca="1" si="8"/>
        <v>#DIV/0!</v>
      </c>
      <c r="CL13" s="10"/>
      <c r="CM13" s="10"/>
      <c r="CN13" s="10"/>
      <c r="CO13" s="10">
        <v>66</v>
      </c>
      <c r="CP13" s="10" t="s">
        <v>60</v>
      </c>
      <c r="CQ13" s="10"/>
      <c r="CR13" s="10"/>
      <c r="CS13" s="10"/>
      <c r="CT13" s="10"/>
      <c r="CU13" s="10"/>
    </row>
    <row r="14" spans="1:99" x14ac:dyDescent="0.2">
      <c r="A14" s="10"/>
      <c r="B14" s="57">
        <v>586355</v>
      </c>
      <c r="C14" s="57">
        <v>15000</v>
      </c>
      <c r="D14" s="57" t="s">
        <v>735</v>
      </c>
      <c r="E14" s="55" t="s">
        <v>258</v>
      </c>
      <c r="F14" s="55" t="s">
        <v>683</v>
      </c>
      <c r="G14" s="57" t="s">
        <v>70</v>
      </c>
      <c r="H14" s="57" t="s">
        <v>70</v>
      </c>
      <c r="I14" s="2"/>
      <c r="J14" s="2"/>
      <c r="K14" s="2"/>
      <c r="L14" s="2"/>
      <c r="M14" s="2"/>
      <c r="N14" s="2"/>
      <c r="O14" s="2"/>
      <c r="P14" s="2"/>
      <c r="Q14" s="2"/>
      <c r="R14" s="2"/>
      <c r="S14" s="2">
        <f t="shared" si="9"/>
        <v>0</v>
      </c>
      <c r="T14" s="2" t="str">
        <f t="shared" si="10"/>
        <v>1</v>
      </c>
      <c r="U14" s="2" t="str">
        <f t="shared" si="11"/>
        <v>1</v>
      </c>
      <c r="V14" s="2" t="str">
        <f t="shared" si="12"/>
        <v>1</v>
      </c>
      <c r="W14" s="2" t="str">
        <f t="shared" si="13"/>
        <v>1</v>
      </c>
      <c r="X14" s="2">
        <f t="shared" si="14"/>
        <v>0.8</v>
      </c>
      <c r="Y14" s="2"/>
      <c r="Z14" s="2"/>
      <c r="AA14" s="2"/>
      <c r="AB14" s="2"/>
      <c r="AC14" s="2" t="e">
        <f t="shared" si="15"/>
        <v>#DIV/0!</v>
      </c>
      <c r="AD14" s="2"/>
      <c r="AE14" s="2" t="str">
        <f t="shared" si="16"/>
        <v>5</v>
      </c>
      <c r="AF14" s="2" t="e">
        <f t="shared" si="17"/>
        <v>#DIV/0!</v>
      </c>
      <c r="AG14" s="2" t="e">
        <f t="shared" si="18"/>
        <v>#DIV/0!</v>
      </c>
      <c r="AH14" s="2" t="str">
        <f t="shared" si="19"/>
        <v>1</v>
      </c>
      <c r="AI14" s="2" t="s">
        <v>81</v>
      </c>
      <c r="AJ14" s="2" t="s">
        <v>143</v>
      </c>
      <c r="AK14" s="2" t="s">
        <v>66</v>
      </c>
      <c r="AL14" s="10">
        <v>3.1</v>
      </c>
      <c r="AM14" s="10">
        <v>26541</v>
      </c>
      <c r="AN14" s="10">
        <v>80253</v>
      </c>
      <c r="AO14" s="10">
        <v>1.8</v>
      </c>
      <c r="AP14" s="10">
        <v>242</v>
      </c>
      <c r="AQ14" s="10">
        <v>1318</v>
      </c>
      <c r="AR14" s="10">
        <v>6.7</v>
      </c>
      <c r="AS14" s="10">
        <v>0.2</v>
      </c>
      <c r="AT14" s="10">
        <v>0</v>
      </c>
      <c r="AU14" s="10">
        <v>1.4</v>
      </c>
      <c r="AV14" s="10">
        <f t="shared" si="0"/>
        <v>1571.8</v>
      </c>
      <c r="AW14" s="10" t="str">
        <f t="shared" si="1"/>
        <v>1</v>
      </c>
      <c r="AX14" s="10" t="str">
        <f t="shared" si="2"/>
        <v>1</v>
      </c>
      <c r="AY14" s="11">
        <f t="shared" si="3"/>
        <v>1</v>
      </c>
      <c r="AZ14" s="10">
        <v>43</v>
      </c>
      <c r="BA14" s="10">
        <v>15</v>
      </c>
      <c r="BB14" s="10">
        <v>0.01</v>
      </c>
      <c r="BC14" s="10">
        <v>38.6</v>
      </c>
      <c r="BD14" s="11">
        <f t="shared" si="4"/>
        <v>3860</v>
      </c>
      <c r="BE14" s="10" t="str">
        <f t="shared" si="5"/>
        <v>1</v>
      </c>
      <c r="BF14" s="10" t="str">
        <f t="shared" si="6"/>
        <v>1</v>
      </c>
      <c r="BG14" s="2">
        <f t="shared" si="7"/>
        <v>1</v>
      </c>
      <c r="BH14" s="10">
        <v>3</v>
      </c>
      <c r="BI14" s="10">
        <v>175</v>
      </c>
      <c r="BJ14" s="10"/>
      <c r="BK14" s="10">
        <v>836.7</v>
      </c>
      <c r="BL14" s="10"/>
      <c r="BM14" s="10" t="s">
        <v>61</v>
      </c>
      <c r="BN14" s="10"/>
      <c r="BO14" s="10"/>
      <c r="BP14" s="10"/>
      <c r="BQ14" s="10">
        <v>1</v>
      </c>
      <c r="BR14" s="10">
        <v>1</v>
      </c>
      <c r="BS14" s="10">
        <v>1</v>
      </c>
      <c r="BT14" s="10">
        <v>1</v>
      </c>
      <c r="BU14" s="10">
        <v>1</v>
      </c>
      <c r="BV14" s="10" t="s">
        <v>61</v>
      </c>
      <c r="BW14" s="10">
        <v>1</v>
      </c>
      <c r="BX14" s="10">
        <v>1987</v>
      </c>
      <c r="BY14" s="10">
        <f t="shared" ca="1" si="20"/>
        <v>39</v>
      </c>
      <c r="BZ14" s="10" t="str">
        <f t="shared" ca="1" si="21"/>
        <v>5</v>
      </c>
      <c r="CA14" s="10">
        <v>1</v>
      </c>
      <c r="CB14" s="10">
        <v>1</v>
      </c>
      <c r="CC14" s="10">
        <v>1</v>
      </c>
      <c r="CD14" s="10">
        <v>1</v>
      </c>
      <c r="CE14" s="2">
        <v>1</v>
      </c>
      <c r="CF14" s="8"/>
      <c r="CG14" s="10">
        <f t="shared" ca="1" si="22"/>
        <v>2026</v>
      </c>
      <c r="CH14" s="10" t="str">
        <f t="shared" ca="1" si="23"/>
        <v>5</v>
      </c>
      <c r="CI14" s="10">
        <v>1</v>
      </c>
      <c r="CJ14" s="10">
        <v>1</v>
      </c>
      <c r="CK14" s="10" t="e">
        <f t="shared" ca="1" si="8"/>
        <v>#DIV/0!</v>
      </c>
      <c r="CL14" s="10"/>
      <c r="CM14" s="10"/>
      <c r="CN14" s="10"/>
      <c r="CO14" s="10">
        <v>66</v>
      </c>
      <c r="CP14" s="10" t="s">
        <v>60</v>
      </c>
      <c r="CQ14" s="10"/>
      <c r="CR14" s="10"/>
      <c r="CS14" s="10"/>
      <c r="CT14" s="10"/>
      <c r="CU14" s="10"/>
    </row>
    <row r="15" spans="1:99" x14ac:dyDescent="0.2">
      <c r="A15" s="10"/>
      <c r="B15" s="2" t="s">
        <v>736</v>
      </c>
      <c r="C15" s="2">
        <v>20000</v>
      </c>
      <c r="D15" s="2" t="s">
        <v>735</v>
      </c>
      <c r="E15" s="10" t="s">
        <v>153</v>
      </c>
      <c r="F15" s="10" t="s">
        <v>683</v>
      </c>
      <c r="G15" s="2" t="s">
        <v>70</v>
      </c>
      <c r="H15" s="2" t="s">
        <v>70</v>
      </c>
      <c r="I15" s="2">
        <v>2.8</v>
      </c>
      <c r="J15" s="2">
        <v>2.6</v>
      </c>
      <c r="K15" s="2">
        <v>424</v>
      </c>
      <c r="L15" s="2">
        <v>17.2</v>
      </c>
      <c r="M15" s="2">
        <v>0.7</v>
      </c>
      <c r="N15" s="2">
        <v>3.2</v>
      </c>
      <c r="O15" s="2">
        <v>19026</v>
      </c>
      <c r="P15" s="2">
        <v>63774</v>
      </c>
      <c r="Q15" s="2">
        <v>1634</v>
      </c>
      <c r="R15" s="2">
        <v>0</v>
      </c>
      <c r="S15" s="2">
        <f t="shared" si="9"/>
        <v>23.3</v>
      </c>
      <c r="T15" s="2" t="str">
        <f t="shared" si="10"/>
        <v>1</v>
      </c>
      <c r="U15" s="2" t="str">
        <f t="shared" si="11"/>
        <v>3</v>
      </c>
      <c r="V15" s="2" t="str">
        <f t="shared" si="12"/>
        <v>2</v>
      </c>
      <c r="W15" s="2" t="str">
        <f t="shared" si="13"/>
        <v>1</v>
      </c>
      <c r="X15" s="2">
        <f t="shared" si="14"/>
        <v>1.4</v>
      </c>
      <c r="Y15" s="2">
        <v>39</v>
      </c>
      <c r="Z15" s="2">
        <v>15</v>
      </c>
      <c r="AA15" s="2">
        <v>0.02</v>
      </c>
      <c r="AB15" s="2">
        <v>34.700000000000003</v>
      </c>
      <c r="AC15" s="2">
        <f t="shared" si="15"/>
        <v>1735</v>
      </c>
      <c r="AD15" s="2">
        <v>223</v>
      </c>
      <c r="AE15" s="2" t="str">
        <f t="shared" si="16"/>
        <v>1</v>
      </c>
      <c r="AF15" s="2" t="str">
        <f t="shared" si="17"/>
        <v>1</v>
      </c>
      <c r="AG15" s="2">
        <f t="shared" si="18"/>
        <v>1</v>
      </c>
      <c r="AH15" s="2" t="str">
        <f t="shared" si="19"/>
        <v>1</v>
      </c>
      <c r="AI15" s="2" t="s">
        <v>81</v>
      </c>
      <c r="AJ15" s="2" t="s">
        <v>143</v>
      </c>
      <c r="AK15" s="2" t="s">
        <v>48</v>
      </c>
      <c r="AL15" s="12"/>
      <c r="AM15" s="12"/>
      <c r="AN15" s="12"/>
      <c r="AO15" s="12"/>
      <c r="AP15" s="12"/>
      <c r="AQ15" s="12"/>
      <c r="AR15" s="12"/>
      <c r="AS15" s="12"/>
      <c r="AT15" s="12"/>
      <c r="AU15" s="12"/>
      <c r="AV15" s="12">
        <f t="shared" si="0"/>
        <v>0</v>
      </c>
      <c r="AW15" s="12" t="str">
        <f t="shared" si="1"/>
        <v>1</v>
      </c>
      <c r="AX15" s="12" t="str">
        <f t="shared" si="2"/>
        <v>1</v>
      </c>
      <c r="AY15" s="65">
        <f t="shared" si="3"/>
        <v>1</v>
      </c>
      <c r="AZ15" s="12"/>
      <c r="BA15" s="12"/>
      <c r="BB15" s="12"/>
      <c r="BC15" s="12"/>
      <c r="BD15" s="65" t="e">
        <f t="shared" si="4"/>
        <v>#DIV/0!</v>
      </c>
      <c r="BE15" s="12" t="str">
        <f t="shared" si="5"/>
        <v>5</v>
      </c>
      <c r="BF15" s="12" t="e">
        <f t="shared" si="6"/>
        <v>#DIV/0!</v>
      </c>
      <c r="BG15" s="5" t="e">
        <f t="shared" si="7"/>
        <v>#DIV/0!</v>
      </c>
      <c r="BH15" s="12"/>
      <c r="BI15" s="12"/>
      <c r="BJ15" s="12"/>
      <c r="BK15" s="12"/>
      <c r="BL15" s="12"/>
      <c r="BM15" s="12"/>
      <c r="BN15" s="12"/>
      <c r="BO15" s="12"/>
      <c r="BP15" s="12"/>
      <c r="BQ15" s="12"/>
      <c r="BR15" s="12"/>
      <c r="BS15" s="12"/>
      <c r="BT15" s="12"/>
      <c r="BU15" s="12"/>
      <c r="BV15" s="12"/>
      <c r="BW15" s="12"/>
      <c r="BX15" s="12"/>
      <c r="BY15" s="12">
        <f t="shared" ca="1" si="20"/>
        <v>2026</v>
      </c>
      <c r="BZ15" s="12" t="str">
        <f t="shared" ca="1" si="21"/>
        <v>5</v>
      </c>
      <c r="CA15" s="10">
        <v>1</v>
      </c>
      <c r="CB15" s="10">
        <v>1</v>
      </c>
      <c r="CC15" s="10">
        <v>1</v>
      </c>
      <c r="CD15" s="10">
        <v>1</v>
      </c>
      <c r="CE15" s="2">
        <v>1</v>
      </c>
      <c r="CF15" s="8">
        <v>1982</v>
      </c>
      <c r="CG15" s="10">
        <f t="shared" ca="1" si="22"/>
        <v>44</v>
      </c>
      <c r="CH15" s="10" t="str">
        <f t="shared" ca="1" si="23"/>
        <v>5</v>
      </c>
      <c r="CI15" s="10">
        <v>1</v>
      </c>
      <c r="CJ15" s="10">
        <v>1</v>
      </c>
      <c r="CK15" s="10">
        <f t="shared" ca="1" si="8"/>
        <v>1.28</v>
      </c>
      <c r="CL15" s="10"/>
      <c r="CM15" s="10"/>
      <c r="CN15" s="10"/>
      <c r="CO15" s="10">
        <v>66</v>
      </c>
      <c r="CP15" s="10" t="s">
        <v>60</v>
      </c>
      <c r="CQ15" s="10"/>
      <c r="CR15" s="10"/>
      <c r="CS15" s="10"/>
      <c r="CT15" s="10"/>
      <c r="CU15" s="10"/>
    </row>
    <row r="16" spans="1:99" x14ac:dyDescent="0.2">
      <c r="A16" s="10"/>
      <c r="B16" s="57">
        <v>1057609403</v>
      </c>
      <c r="C16" s="57">
        <v>2000</v>
      </c>
      <c r="D16" s="57" t="s">
        <v>726</v>
      </c>
      <c r="E16" s="55" t="s">
        <v>737</v>
      </c>
      <c r="F16" s="55" t="s">
        <v>738</v>
      </c>
      <c r="G16" s="57" t="s">
        <v>58</v>
      </c>
      <c r="H16" s="57" t="s">
        <v>59</v>
      </c>
      <c r="I16" s="2"/>
      <c r="J16" s="2"/>
      <c r="K16" s="2"/>
      <c r="L16" s="2"/>
      <c r="M16" s="2"/>
      <c r="N16" s="2"/>
      <c r="O16" s="2"/>
      <c r="P16" s="2"/>
      <c r="Q16" s="2"/>
      <c r="R16" s="2"/>
      <c r="S16" s="2">
        <f t="shared" si="9"/>
        <v>0</v>
      </c>
      <c r="T16" s="2" t="str">
        <f t="shared" si="10"/>
        <v>1</v>
      </c>
      <c r="U16" s="2" t="str">
        <f t="shared" si="11"/>
        <v>1</v>
      </c>
      <c r="V16" s="2" t="str">
        <f t="shared" si="12"/>
        <v>1</v>
      </c>
      <c r="W16" s="2" t="str">
        <f t="shared" si="13"/>
        <v>1</v>
      </c>
      <c r="X16" s="2">
        <f t="shared" si="14"/>
        <v>0.8</v>
      </c>
      <c r="Y16" s="2"/>
      <c r="Z16" s="2"/>
      <c r="AA16" s="2"/>
      <c r="AB16" s="2"/>
      <c r="AC16" s="2" t="e">
        <f t="shared" si="15"/>
        <v>#DIV/0!</v>
      </c>
      <c r="AD16" s="2"/>
      <c r="AE16" s="2" t="str">
        <f t="shared" si="16"/>
        <v>5</v>
      </c>
      <c r="AF16" s="2" t="e">
        <f t="shared" si="17"/>
        <v>#DIV/0!</v>
      </c>
      <c r="AG16" s="2" t="e">
        <f t="shared" si="18"/>
        <v>#DIV/0!</v>
      </c>
      <c r="AH16" s="2" t="str">
        <f t="shared" si="19"/>
        <v>1</v>
      </c>
      <c r="AI16" s="2" t="s">
        <v>65</v>
      </c>
      <c r="AJ16" s="2" t="s">
        <v>61</v>
      </c>
      <c r="AK16" s="2" t="s">
        <v>66</v>
      </c>
      <c r="AL16" s="10"/>
      <c r="AM16" s="10"/>
      <c r="AN16" s="10"/>
      <c r="AO16" s="10"/>
      <c r="AP16" s="10"/>
      <c r="AQ16" s="10"/>
      <c r="AR16" s="10"/>
      <c r="AS16" s="10"/>
      <c r="AT16" s="10"/>
      <c r="AU16" s="10"/>
      <c r="AV16" s="10">
        <f t="shared" si="0"/>
        <v>0</v>
      </c>
      <c r="AW16" s="10" t="str">
        <f t="shared" si="1"/>
        <v>1</v>
      </c>
      <c r="AX16" s="10" t="str">
        <f t="shared" si="2"/>
        <v>1</v>
      </c>
      <c r="AY16" s="11">
        <f t="shared" si="3"/>
        <v>1</v>
      </c>
      <c r="AZ16" s="10"/>
      <c r="BA16" s="10"/>
      <c r="BB16" s="10"/>
      <c r="BC16" s="10"/>
      <c r="BD16" s="11" t="e">
        <f t="shared" si="4"/>
        <v>#DIV/0!</v>
      </c>
      <c r="BE16" s="10" t="str">
        <f t="shared" si="5"/>
        <v>5</v>
      </c>
      <c r="BF16" s="10" t="e">
        <f t="shared" si="6"/>
        <v>#DIV/0!</v>
      </c>
      <c r="BG16" s="2" t="e">
        <f t="shared" si="7"/>
        <v>#DIV/0!</v>
      </c>
      <c r="BH16" s="10"/>
      <c r="BI16" s="10"/>
      <c r="BJ16" s="10"/>
      <c r="BK16" s="10"/>
      <c r="BL16" s="10"/>
      <c r="BM16" s="10"/>
      <c r="BN16" s="10"/>
      <c r="BO16" s="10"/>
      <c r="BP16" s="10"/>
      <c r="BQ16" s="10"/>
      <c r="BR16" s="10"/>
      <c r="BS16" s="10"/>
      <c r="BT16" s="10"/>
      <c r="BU16" s="10"/>
      <c r="BV16" s="10"/>
      <c r="BW16" s="10"/>
      <c r="BX16" s="10"/>
      <c r="BY16" s="10">
        <f t="shared" ca="1" si="20"/>
        <v>2026</v>
      </c>
      <c r="BZ16" s="10" t="str">
        <f t="shared" ca="1" si="21"/>
        <v>5</v>
      </c>
      <c r="CA16" s="10">
        <v>1</v>
      </c>
      <c r="CB16" s="10">
        <v>1</v>
      </c>
      <c r="CC16" s="10">
        <v>1</v>
      </c>
      <c r="CD16" s="10">
        <v>1</v>
      </c>
      <c r="CE16" s="2">
        <v>1</v>
      </c>
      <c r="CF16" s="10"/>
      <c r="CG16" s="10">
        <f t="shared" ca="1" si="22"/>
        <v>2026</v>
      </c>
      <c r="CH16" s="10" t="str">
        <f t="shared" ca="1" si="23"/>
        <v>5</v>
      </c>
      <c r="CI16" s="10">
        <v>1</v>
      </c>
      <c r="CJ16" s="10">
        <v>1</v>
      </c>
      <c r="CK16" s="10" t="e">
        <f t="shared" ca="1" si="8"/>
        <v>#DIV/0!</v>
      </c>
      <c r="CL16" s="10"/>
      <c r="CM16" s="10"/>
      <c r="CN16" s="10"/>
      <c r="CO16" s="10">
        <v>66</v>
      </c>
      <c r="CP16" s="10" t="s">
        <v>60</v>
      </c>
      <c r="CQ16" s="10"/>
      <c r="CR16" s="10"/>
      <c r="CS16" s="10"/>
      <c r="CT16" s="10"/>
      <c r="CU16" s="10"/>
    </row>
    <row r="17" spans="1:99" x14ac:dyDescent="0.2">
      <c r="A17" s="10"/>
      <c r="B17" s="55">
        <v>9117073</v>
      </c>
      <c r="C17" s="55">
        <v>5000</v>
      </c>
      <c r="D17" s="57" t="s">
        <v>726</v>
      </c>
      <c r="E17" s="55" t="s">
        <v>332</v>
      </c>
      <c r="F17" s="55" t="s">
        <v>683</v>
      </c>
      <c r="G17" s="55" t="s">
        <v>125</v>
      </c>
      <c r="H17" s="55" t="s">
        <v>148</v>
      </c>
      <c r="I17" s="10"/>
      <c r="J17" s="10"/>
      <c r="K17" s="10"/>
      <c r="L17" s="10"/>
      <c r="M17" s="10"/>
      <c r="N17" s="10"/>
      <c r="O17" s="10"/>
      <c r="P17" s="10"/>
      <c r="Q17" s="10"/>
      <c r="R17" s="10"/>
      <c r="S17" s="2">
        <f t="shared" si="9"/>
        <v>0</v>
      </c>
      <c r="T17" s="2" t="str">
        <f t="shared" si="10"/>
        <v>1</v>
      </c>
      <c r="U17" s="2" t="str">
        <f t="shared" si="11"/>
        <v>1</v>
      </c>
      <c r="V17" s="2" t="str">
        <f t="shared" si="12"/>
        <v>1</v>
      </c>
      <c r="W17" s="2" t="str">
        <f t="shared" si="13"/>
        <v>1</v>
      </c>
      <c r="X17" s="2">
        <f t="shared" si="14"/>
        <v>0.8</v>
      </c>
      <c r="Y17" s="10"/>
      <c r="Z17" s="10"/>
      <c r="AA17" s="10"/>
      <c r="AB17" s="10"/>
      <c r="AC17" s="2" t="e">
        <f t="shared" si="15"/>
        <v>#DIV/0!</v>
      </c>
      <c r="AD17" s="10"/>
      <c r="AE17" s="2" t="str">
        <f t="shared" si="16"/>
        <v>5</v>
      </c>
      <c r="AF17" s="2" t="e">
        <f t="shared" si="17"/>
        <v>#DIV/0!</v>
      </c>
      <c r="AG17" s="2" t="e">
        <f t="shared" si="18"/>
        <v>#DIV/0!</v>
      </c>
      <c r="AH17" s="2" t="str">
        <f t="shared" si="19"/>
        <v>1</v>
      </c>
      <c r="AI17" s="10" t="s">
        <v>65</v>
      </c>
      <c r="AJ17" s="10" t="s">
        <v>143</v>
      </c>
      <c r="AK17" s="10" t="s">
        <v>66</v>
      </c>
      <c r="AL17" s="10">
        <v>5.8</v>
      </c>
      <c r="AM17" s="10">
        <v>12801</v>
      </c>
      <c r="AN17" s="10">
        <v>63162</v>
      </c>
      <c r="AO17" s="10">
        <v>8</v>
      </c>
      <c r="AP17" s="10">
        <v>180</v>
      </c>
      <c r="AQ17" s="10">
        <v>5381</v>
      </c>
      <c r="AR17" s="10">
        <v>46</v>
      </c>
      <c r="AS17" s="10">
        <v>6.1</v>
      </c>
      <c r="AT17" s="10">
        <v>0.4</v>
      </c>
      <c r="AU17" s="10">
        <v>36</v>
      </c>
      <c r="AV17" s="10">
        <f t="shared" si="0"/>
        <v>5626.9</v>
      </c>
      <c r="AW17" s="10" t="str">
        <f t="shared" si="1"/>
        <v>2</v>
      </c>
      <c r="AX17" s="10" t="str">
        <f t="shared" si="2"/>
        <v>1</v>
      </c>
      <c r="AY17" s="11">
        <f t="shared" si="3"/>
        <v>1.5</v>
      </c>
      <c r="AZ17" s="10">
        <v>14</v>
      </c>
      <c r="BA17" s="10">
        <v>41</v>
      </c>
      <c r="BB17" s="10">
        <v>0.02</v>
      </c>
      <c r="BC17" s="10">
        <v>28</v>
      </c>
      <c r="BD17" s="11">
        <f t="shared" si="4"/>
        <v>1400</v>
      </c>
      <c r="BE17" s="10" t="str">
        <f t="shared" si="5"/>
        <v>5</v>
      </c>
      <c r="BF17" s="10" t="str">
        <f t="shared" si="6"/>
        <v>2</v>
      </c>
      <c r="BG17" s="3">
        <f t="shared" si="7"/>
        <v>3.5</v>
      </c>
      <c r="BH17" s="10">
        <v>3</v>
      </c>
      <c r="BI17" s="10">
        <v>83.67</v>
      </c>
      <c r="BJ17" s="10"/>
      <c r="BK17" s="10">
        <v>209.2</v>
      </c>
      <c r="BL17" s="10"/>
      <c r="BM17" s="10" t="s">
        <v>61</v>
      </c>
      <c r="BN17" s="10"/>
      <c r="BO17" s="10"/>
      <c r="BP17" s="10"/>
      <c r="BQ17" s="10">
        <v>1</v>
      </c>
      <c r="BR17" s="10">
        <v>1</v>
      </c>
      <c r="BS17" s="10">
        <v>5</v>
      </c>
      <c r="BT17" s="10">
        <v>5</v>
      </c>
      <c r="BU17" s="10">
        <v>5</v>
      </c>
      <c r="BV17" s="10" t="s">
        <v>61</v>
      </c>
      <c r="BW17" s="10">
        <v>5</v>
      </c>
      <c r="BX17" s="10">
        <v>1991</v>
      </c>
      <c r="BY17" s="10">
        <f t="shared" ca="1" si="20"/>
        <v>35</v>
      </c>
      <c r="BZ17" s="10" t="str">
        <f t="shared" ca="1" si="21"/>
        <v>4</v>
      </c>
      <c r="CA17" s="10">
        <v>1</v>
      </c>
      <c r="CB17" s="10">
        <v>1</v>
      </c>
      <c r="CC17" s="10">
        <v>1</v>
      </c>
      <c r="CD17" s="10">
        <v>1</v>
      </c>
      <c r="CE17" s="2">
        <v>1</v>
      </c>
      <c r="CF17" s="62"/>
      <c r="CG17" s="10">
        <f t="shared" ca="1" si="22"/>
        <v>2026</v>
      </c>
      <c r="CH17" s="10" t="str">
        <f t="shared" ca="1" si="23"/>
        <v>5</v>
      </c>
      <c r="CI17" s="10">
        <v>1</v>
      </c>
      <c r="CJ17" s="10">
        <v>1</v>
      </c>
      <c r="CK17" s="10" t="e">
        <f t="shared" ca="1" si="8"/>
        <v>#DIV/0!</v>
      </c>
      <c r="CL17" s="10"/>
      <c r="CM17" s="10"/>
      <c r="CN17" s="10"/>
      <c r="CO17" s="10" t="s">
        <v>137</v>
      </c>
      <c r="CP17" s="10" t="s">
        <v>60</v>
      </c>
      <c r="CQ17" s="10"/>
      <c r="CR17" s="10"/>
      <c r="CS17" s="10"/>
      <c r="CT17" s="10"/>
      <c r="CU17" s="10"/>
    </row>
    <row r="18" spans="1:99" x14ac:dyDescent="0.2">
      <c r="A18" s="10"/>
      <c r="B18" s="55">
        <v>98334853</v>
      </c>
      <c r="C18" s="55">
        <v>1000</v>
      </c>
      <c r="D18" s="57" t="s">
        <v>726</v>
      </c>
      <c r="E18" s="55" t="s">
        <v>309</v>
      </c>
      <c r="F18" s="55" t="s">
        <v>683</v>
      </c>
      <c r="G18" s="55" t="s">
        <v>58</v>
      </c>
      <c r="H18" s="55" t="s">
        <v>59</v>
      </c>
      <c r="I18" s="10"/>
      <c r="J18" s="10"/>
      <c r="K18" s="10"/>
      <c r="L18" s="10"/>
      <c r="M18" s="10"/>
      <c r="N18" s="10"/>
      <c r="O18" s="10"/>
      <c r="P18" s="10"/>
      <c r="Q18" s="10"/>
      <c r="R18" s="10"/>
      <c r="S18" s="2">
        <f t="shared" si="9"/>
        <v>0</v>
      </c>
      <c r="T18" s="2" t="str">
        <f t="shared" si="10"/>
        <v>1</v>
      </c>
      <c r="U18" s="2" t="str">
        <f t="shared" si="11"/>
        <v>1</v>
      </c>
      <c r="V18" s="2" t="str">
        <f t="shared" si="12"/>
        <v>1</v>
      </c>
      <c r="W18" s="2" t="str">
        <f t="shared" si="13"/>
        <v>1</v>
      </c>
      <c r="X18" s="2">
        <f t="shared" si="14"/>
        <v>0.8</v>
      </c>
      <c r="Y18" s="10"/>
      <c r="Z18" s="10"/>
      <c r="AA18" s="10"/>
      <c r="AB18" s="10"/>
      <c r="AC18" s="2" t="e">
        <f t="shared" si="15"/>
        <v>#DIV/0!</v>
      </c>
      <c r="AD18" s="10"/>
      <c r="AE18" s="2" t="str">
        <f t="shared" si="16"/>
        <v>5</v>
      </c>
      <c r="AF18" s="2" t="e">
        <f t="shared" si="17"/>
        <v>#DIV/0!</v>
      </c>
      <c r="AG18" s="2" t="e">
        <f t="shared" si="18"/>
        <v>#DIV/0!</v>
      </c>
      <c r="AH18" s="2" t="str">
        <f t="shared" si="19"/>
        <v>1</v>
      </c>
      <c r="AI18" s="10" t="s">
        <v>65</v>
      </c>
      <c r="AJ18" s="10" t="s">
        <v>61</v>
      </c>
      <c r="AK18" s="10" t="s">
        <v>66</v>
      </c>
      <c r="AL18" s="10">
        <v>699</v>
      </c>
      <c r="AM18" s="10">
        <v>32312</v>
      </c>
      <c r="AN18" s="10">
        <v>86621</v>
      </c>
      <c r="AO18" s="10">
        <v>2.8</v>
      </c>
      <c r="AP18" s="10">
        <v>205</v>
      </c>
      <c r="AQ18" s="10">
        <v>2471</v>
      </c>
      <c r="AR18" s="10">
        <v>1.8</v>
      </c>
      <c r="AS18" s="10">
        <v>0.5</v>
      </c>
      <c r="AT18" s="10">
        <v>0</v>
      </c>
      <c r="AU18" s="10">
        <v>1.2</v>
      </c>
      <c r="AV18" s="10">
        <f t="shared" si="0"/>
        <v>3380.1</v>
      </c>
      <c r="AW18" s="10" t="str">
        <f t="shared" si="1"/>
        <v>1</v>
      </c>
      <c r="AX18" s="10" t="str">
        <f t="shared" si="2"/>
        <v>1</v>
      </c>
      <c r="AY18" s="11">
        <f t="shared" si="3"/>
        <v>1</v>
      </c>
      <c r="AZ18" s="10">
        <v>38</v>
      </c>
      <c r="BA18" s="10">
        <v>17</v>
      </c>
      <c r="BB18" s="10">
        <v>0.02</v>
      </c>
      <c r="BC18" s="10">
        <v>36</v>
      </c>
      <c r="BD18" s="11">
        <f t="shared" si="4"/>
        <v>1800</v>
      </c>
      <c r="BE18" s="10" t="str">
        <f t="shared" si="5"/>
        <v>1</v>
      </c>
      <c r="BF18" s="10" t="str">
        <f t="shared" si="6"/>
        <v>1</v>
      </c>
      <c r="BG18" s="10">
        <f t="shared" si="7"/>
        <v>1</v>
      </c>
      <c r="BH18" s="10">
        <v>3</v>
      </c>
      <c r="BI18" s="10">
        <v>16.739999999999998</v>
      </c>
      <c r="BJ18" s="10"/>
      <c r="BK18" s="10">
        <v>41.84</v>
      </c>
      <c r="BL18" s="10"/>
      <c r="BM18" s="10" t="s">
        <v>61</v>
      </c>
      <c r="BN18" s="10"/>
      <c r="BO18" s="10"/>
      <c r="BP18" s="10"/>
      <c r="BQ18" s="10">
        <v>1</v>
      </c>
      <c r="BR18" s="10">
        <v>1</v>
      </c>
      <c r="BS18" s="10">
        <v>1</v>
      </c>
      <c r="BT18" s="10">
        <v>1</v>
      </c>
      <c r="BU18" s="10">
        <v>1</v>
      </c>
      <c r="BV18" s="10" t="s">
        <v>61</v>
      </c>
      <c r="BW18" s="10">
        <v>1</v>
      </c>
      <c r="BX18" s="10">
        <v>1987</v>
      </c>
      <c r="BY18" s="10">
        <f t="shared" ca="1" si="20"/>
        <v>39</v>
      </c>
      <c r="BZ18" s="10" t="str">
        <f t="shared" ca="1" si="21"/>
        <v>5</v>
      </c>
      <c r="CA18" s="10">
        <v>1</v>
      </c>
      <c r="CB18" s="10">
        <v>1</v>
      </c>
      <c r="CC18" s="10">
        <v>1</v>
      </c>
      <c r="CD18" s="10">
        <v>1</v>
      </c>
      <c r="CE18" s="2">
        <v>1</v>
      </c>
      <c r="CF18" s="62"/>
      <c r="CG18" s="10">
        <f t="shared" ca="1" si="22"/>
        <v>2026</v>
      </c>
      <c r="CH18" s="10" t="str">
        <f t="shared" ca="1" si="23"/>
        <v>5</v>
      </c>
      <c r="CI18" s="10">
        <v>1</v>
      </c>
      <c r="CJ18" s="10">
        <v>1</v>
      </c>
      <c r="CK18" s="10" t="e">
        <f t="shared" ca="1" si="8"/>
        <v>#DIV/0!</v>
      </c>
      <c r="CL18" s="10"/>
      <c r="CM18" s="10"/>
      <c r="CN18" s="10"/>
      <c r="CO18" s="10" t="s">
        <v>137</v>
      </c>
      <c r="CP18" s="10" t="s">
        <v>60</v>
      </c>
      <c r="CQ18" s="10"/>
      <c r="CR18" s="10"/>
      <c r="CS18" s="10"/>
      <c r="CT18" s="10"/>
      <c r="CU18" s="10"/>
    </row>
    <row r="19" spans="1:99" x14ac:dyDescent="0.2">
      <c r="A19" s="10"/>
      <c r="B19" s="2">
        <v>832224702</v>
      </c>
      <c r="C19" s="2">
        <v>0.15</v>
      </c>
      <c r="D19" s="2" t="s">
        <v>744</v>
      </c>
      <c r="E19" s="2" t="s">
        <v>241</v>
      </c>
      <c r="F19" s="2" t="s">
        <v>745</v>
      </c>
      <c r="G19" s="2" t="s">
        <v>58</v>
      </c>
      <c r="H19" s="2" t="s">
        <v>59</v>
      </c>
      <c r="I19" s="2">
        <v>6.5</v>
      </c>
      <c r="J19" s="2">
        <v>2.5</v>
      </c>
      <c r="K19" s="2">
        <v>159</v>
      </c>
      <c r="L19" s="2">
        <v>21</v>
      </c>
      <c r="M19" s="2">
        <v>0.7</v>
      </c>
      <c r="N19" s="2">
        <v>5.6</v>
      </c>
      <c r="O19" s="2">
        <v>20466</v>
      </c>
      <c r="P19" s="2">
        <v>57792</v>
      </c>
      <c r="Q19" s="2">
        <v>9669</v>
      </c>
      <c r="R19" s="2">
        <v>0</v>
      </c>
      <c r="S19" s="2">
        <f t="shared" si="9"/>
        <v>30.7</v>
      </c>
      <c r="T19" s="2" t="str">
        <f t="shared" si="10"/>
        <v>1</v>
      </c>
      <c r="U19" s="2" t="str">
        <f t="shared" si="11"/>
        <v>2</v>
      </c>
      <c r="V19" s="2" t="str">
        <f t="shared" si="12"/>
        <v>5</v>
      </c>
      <c r="W19" s="2" t="str">
        <f t="shared" si="13"/>
        <v>1</v>
      </c>
      <c r="X19" s="2">
        <f t="shared" si="14"/>
        <v>1.8</v>
      </c>
      <c r="Y19" s="2">
        <v>18</v>
      </c>
      <c r="Z19" s="2">
        <v>25</v>
      </c>
      <c r="AA19" s="2">
        <v>0.02</v>
      </c>
      <c r="AB19" s="2">
        <v>32.799999999999997</v>
      </c>
      <c r="AC19" s="2">
        <f t="shared" si="15"/>
        <v>1639.9999999999998</v>
      </c>
      <c r="AD19" s="2">
        <v>134</v>
      </c>
      <c r="AE19" s="2" t="str">
        <f t="shared" si="16"/>
        <v>4</v>
      </c>
      <c r="AF19" s="2" t="str">
        <f t="shared" si="17"/>
        <v>1</v>
      </c>
      <c r="AG19" s="2">
        <f t="shared" si="18"/>
        <v>3.4000000000000004</v>
      </c>
      <c r="AH19" s="2" t="str">
        <f t="shared" si="19"/>
        <v>1</v>
      </c>
      <c r="AI19" s="2" t="s">
        <v>65</v>
      </c>
      <c r="AJ19" s="2" t="s">
        <v>61</v>
      </c>
      <c r="AK19" s="10" t="s">
        <v>66</v>
      </c>
      <c r="AL19" s="12">
        <v>21239</v>
      </c>
      <c r="AM19" s="12">
        <v>63826</v>
      </c>
      <c r="AN19" s="12">
        <v>1.3</v>
      </c>
      <c r="AO19" s="12">
        <v>77</v>
      </c>
      <c r="AP19" s="12">
        <v>1252</v>
      </c>
      <c r="AQ19" s="5">
        <v>5.6</v>
      </c>
      <c r="AR19" s="12">
        <v>0.4</v>
      </c>
      <c r="AS19" s="5">
        <v>0</v>
      </c>
      <c r="AT19" s="12">
        <v>0</v>
      </c>
      <c r="AU19" s="12" t="e">
        <f t="shared" ref="AU19" si="24">(AK19+AN19+AQ19+AR19)</f>
        <v>#VALUE!</v>
      </c>
      <c r="AV19" s="12" t="e">
        <f t="shared" ref="AV19" si="25">IF(AU19&gt;=401,"5",IF(AU19&gt;=301,"4",IF(AU19&gt;=201,"3",IF(AU19&gt;=95,"2","1"))))</f>
        <v>#VALUE!</v>
      </c>
      <c r="AW19" s="12" t="str">
        <f t="shared" ref="AW19" si="26">IF(AS19&gt;=16,"5",IF(AS19&gt;=15,"4",IF(AS19&gt;=12,"3",IF(AS19&gt;=7,"2","1"))))</f>
        <v>1</v>
      </c>
      <c r="AX19" s="12" t="e">
        <f t="shared" ref="AX19" si="27">(AV19+AW19)/2</f>
        <v>#VALUE!</v>
      </c>
      <c r="AY19" s="12">
        <v>32</v>
      </c>
      <c r="AZ19" s="12">
        <v>18</v>
      </c>
      <c r="BA19" s="12">
        <v>1.2E-2</v>
      </c>
      <c r="BB19" s="12">
        <v>37.700000000000003</v>
      </c>
      <c r="BC19" s="65">
        <f t="shared" ref="BC19" si="28">BB19/BA19</f>
        <v>3141.666666666667</v>
      </c>
      <c r="BD19" s="12" t="str">
        <f t="shared" ref="BD19" si="29">IF(AY19&lt;=19,"5",IF(AY19&lt;=23,"4",IF(AY19&lt;=27,"3",IF(AY19&lt;=33,"2","1"))))</f>
        <v>2</v>
      </c>
      <c r="BE19" s="12" t="str">
        <f t="shared" ref="BE19" si="30">IF(BC19&lt;=513,"5",IF(BC19&lt;=799,"4",IF(BC19&lt;=930,"3",IF(BC19&lt;=1499,"2","1"))))</f>
        <v>1</v>
      </c>
      <c r="BF19" s="12">
        <f t="shared" ref="BF19" si="31">(BD19+BE19)/2</f>
        <v>1.5</v>
      </c>
      <c r="BG19" s="12"/>
      <c r="BH19" s="12" t="str">
        <f t="shared" ref="BH19" si="32">IF(BG19&gt;=5500,"5",IF(BG19&gt;=4800,"4",IF(BG19&gt;=3600,"3",IF(BG19&gt;=2400,"2","1"))))</f>
        <v>1</v>
      </c>
      <c r="BI19" s="12">
        <v>3</v>
      </c>
      <c r="BJ19" s="12"/>
      <c r="BK19" s="12"/>
      <c r="BL19" s="12"/>
      <c r="BM19" s="12"/>
      <c r="BN19" s="12"/>
      <c r="BO19" s="12"/>
      <c r="BP19" s="12"/>
      <c r="BQ19" s="12"/>
      <c r="BR19" s="12">
        <v>1</v>
      </c>
      <c r="BS19" s="12">
        <v>1</v>
      </c>
      <c r="BT19" s="12">
        <v>1</v>
      </c>
      <c r="BU19" s="12">
        <v>1</v>
      </c>
      <c r="BV19" s="12">
        <v>1</v>
      </c>
      <c r="BW19" s="12" t="s">
        <v>61</v>
      </c>
      <c r="BX19" s="12">
        <v>1</v>
      </c>
      <c r="BY19" s="12">
        <v>1998</v>
      </c>
      <c r="BZ19" s="12">
        <f t="shared" ref="BZ19" ca="1" si="33">YEAR(TODAY())-BY19</f>
        <v>28</v>
      </c>
      <c r="CA19" s="10">
        <v>1</v>
      </c>
      <c r="CB19" s="10">
        <v>1</v>
      </c>
      <c r="CC19" s="10">
        <v>1</v>
      </c>
      <c r="CD19" s="10">
        <v>1</v>
      </c>
      <c r="CE19" s="2">
        <v>1</v>
      </c>
      <c r="CF19" s="10">
        <v>1984</v>
      </c>
      <c r="CG19" s="10">
        <f t="shared" ca="1" si="22"/>
        <v>42</v>
      </c>
      <c r="CH19" s="10" t="str">
        <f t="shared" ca="1" si="23"/>
        <v>5</v>
      </c>
      <c r="CI19" s="10">
        <v>1</v>
      </c>
      <c r="CJ19" s="10">
        <v>1</v>
      </c>
      <c r="CK19" s="10">
        <f t="shared" ca="1" si="8"/>
        <v>1.9120000000000001</v>
      </c>
      <c r="CL19" s="10"/>
      <c r="CM19" s="10"/>
      <c r="CN19" s="10"/>
      <c r="CO19" s="10">
        <v>13.8</v>
      </c>
      <c r="CP19" s="10">
        <v>0.72</v>
      </c>
      <c r="CQ19" s="10"/>
      <c r="CR19" s="10"/>
      <c r="CS19" s="10"/>
      <c r="CT19" s="10"/>
      <c r="CU19" s="10"/>
    </row>
    <row r="20" spans="1:99" x14ac:dyDescent="0.2">
      <c r="B20" s="10">
        <v>1079537191</v>
      </c>
      <c r="C20" s="10">
        <v>2.6</v>
      </c>
      <c r="D20" s="2">
        <v>34.5</v>
      </c>
      <c r="E20" s="10" t="s">
        <v>162</v>
      </c>
      <c r="F20" s="10" t="s">
        <v>683</v>
      </c>
      <c r="G20" s="10" t="s">
        <v>58</v>
      </c>
      <c r="H20" s="10" t="s">
        <v>59</v>
      </c>
      <c r="I20" s="10">
        <v>22</v>
      </c>
      <c r="J20" s="10">
        <v>9.6</v>
      </c>
      <c r="K20" s="10">
        <v>356</v>
      </c>
      <c r="L20" s="10">
        <v>1.2</v>
      </c>
      <c r="M20" s="10">
        <v>4.2</v>
      </c>
      <c r="N20" s="10">
        <v>3.3</v>
      </c>
      <c r="O20" s="10">
        <v>307</v>
      </c>
      <c r="P20" s="10">
        <v>75931</v>
      </c>
      <c r="Q20" s="10">
        <v>485</v>
      </c>
      <c r="R20" s="10">
        <v>0</v>
      </c>
      <c r="S20" s="2">
        <f t="shared" ref="S20" si="34">SUM(I20+J20+L20+M20)</f>
        <v>37.000000000000007</v>
      </c>
      <c r="T20" s="2" t="str">
        <f t="shared" si="10"/>
        <v>1</v>
      </c>
      <c r="U20" s="2" t="str">
        <f t="shared" ref="U20" si="35">IF(K20&gt;=750,"5",IF(K20&gt;=550,"4",IF(K20&gt;=300,"3",IF(K20&gt;=100,"2","1"))))</f>
        <v>3</v>
      </c>
      <c r="V20" s="2" t="str">
        <f t="shared" ref="V20" si="36">IF(Q20&gt;=7001,"5",IF(Q20&gt;=5000,"4",IF(Q20&gt;=3000,"3",IF(Q20&gt;=1500,"2","1"))))</f>
        <v>1</v>
      </c>
      <c r="W20" s="2" t="str">
        <f t="shared" ref="W20" si="37">IF(R20&gt;=7,"5",IF(R20&gt;=6,"4",IF(R20&gt;=5,"3",IF(R20&gt;=2,"2","1"))))</f>
        <v>1</v>
      </c>
      <c r="X20" s="2">
        <f t="shared" ref="X20" si="38">(T20+U20+V20+W20)/5</f>
        <v>1.2</v>
      </c>
      <c r="Y20" s="10">
        <v>59</v>
      </c>
      <c r="Z20" s="10">
        <v>5</v>
      </c>
      <c r="AA20" s="10">
        <v>0.02</v>
      </c>
      <c r="AB20" s="10">
        <v>42.7</v>
      </c>
      <c r="AC20" s="2">
        <f t="shared" ref="AC20" si="39">AB20/AA20</f>
        <v>2135</v>
      </c>
      <c r="AD20" s="10">
        <v>14</v>
      </c>
      <c r="AE20" s="2" t="str">
        <f t="shared" ref="AE20" si="40">IF(Y20&lt;=16,"5",IF(Y20&lt;=20,"4",IF(Y20&lt;=25,"3",IF(Y20&lt;=33,"2","1"))))</f>
        <v>1</v>
      </c>
      <c r="AF20" s="2" t="str">
        <f t="shared" ref="AF20" si="41">IF(AC20&lt;=713,"5",IF(AC20&lt;=999,"4",IF(AC20&lt;=1130,"3",IF(AC20&lt;=1499,"2","1"))))</f>
        <v>1</v>
      </c>
      <c r="AG20" s="2">
        <f t="shared" ref="AG20" si="42">AE20*0.8+AF20*0.2</f>
        <v>1</v>
      </c>
      <c r="AH20" s="2" t="str">
        <f t="shared" ref="AH20" si="43">IF(AD20&gt;=5500,"5",IF(AD20&gt;=4800,"4",IF(AD20&gt;=3600,"3",IF(AD20&gt;=2400,"2","1"))))</f>
        <v>1</v>
      </c>
      <c r="AI20" s="10" t="s">
        <v>81</v>
      </c>
      <c r="AJ20" s="10" t="s">
        <v>82</v>
      </c>
      <c r="AK20" s="10"/>
      <c r="AL20" s="12">
        <v>699</v>
      </c>
      <c r="AM20" s="12">
        <v>32312</v>
      </c>
      <c r="AN20" s="12">
        <v>86621</v>
      </c>
      <c r="AO20" s="12">
        <v>2.8</v>
      </c>
      <c r="AP20" s="12">
        <v>205</v>
      </c>
      <c r="AQ20" s="12">
        <v>2471</v>
      </c>
      <c r="AR20" s="12">
        <v>1.8</v>
      </c>
      <c r="AS20" s="12">
        <v>0.5</v>
      </c>
      <c r="AT20" s="12">
        <v>0</v>
      </c>
      <c r="AU20" s="12">
        <v>1.2</v>
      </c>
      <c r="AV20" s="12">
        <f t="shared" ref="AV20" si="44">(AL20+AO20+AP20+AR20+AS20+AQ20)</f>
        <v>3380.1</v>
      </c>
      <c r="AW20" s="12" t="str">
        <f t="shared" ref="AW20" si="45">IF(AV20&gt;=23546,"5",IF(AV20&gt;=14870,"4",IF(AV20&gt;=6185,"3",IF(AV20&gt;=3943,"2","1"))))</f>
        <v>1</v>
      </c>
      <c r="AX20" s="12" t="str">
        <f t="shared" ref="AX20" si="46">IF(AT20&gt;=16,"5",IF(AT20&gt;=15,"4",IF(AT20&gt;=12,"3",IF(AT20&gt;=7,"2","1"))))</f>
        <v>1</v>
      </c>
      <c r="AY20" s="65">
        <f t="shared" ref="AY20" si="47">(AW20+AX20)/2</f>
        <v>1</v>
      </c>
      <c r="AZ20" s="12">
        <v>38</v>
      </c>
      <c r="BA20" s="12">
        <v>17</v>
      </c>
      <c r="BB20" s="12">
        <v>0.02</v>
      </c>
      <c r="BC20" s="12">
        <v>36</v>
      </c>
      <c r="BD20" s="65">
        <f t="shared" ref="BD20" si="48">BC20/BB20</f>
        <v>1800</v>
      </c>
      <c r="BE20" s="12" t="str">
        <f t="shared" ref="BE20" si="49">IF(AZ20&lt;=19,"5",IF(AZ20&lt;=23,"4",IF(AZ20&lt;=27,"3",IF(AZ20&lt;=33,"2","1"))))</f>
        <v>1</v>
      </c>
      <c r="BF20" s="12" t="str">
        <f t="shared" ref="BF20" si="50">IF(BD20&lt;=513,"5",IF(BD20&lt;=799,"4",IF(BD20&lt;=930,"3",IF(BD20&lt;=1499,"2","1"))))</f>
        <v>1</v>
      </c>
      <c r="BG20" s="12">
        <f t="shared" ref="BG20" si="51">(BE20+BF20)/2</f>
        <v>1</v>
      </c>
      <c r="BH20" s="12">
        <v>3</v>
      </c>
      <c r="BI20" s="12">
        <v>16.739999999999998</v>
      </c>
      <c r="BJ20" s="12"/>
      <c r="BK20" s="12">
        <v>41.84</v>
      </c>
      <c r="BL20" s="12"/>
      <c r="BM20" s="12" t="s">
        <v>61</v>
      </c>
      <c r="BN20" s="12"/>
      <c r="BO20" s="12"/>
      <c r="BP20" s="12"/>
      <c r="BQ20" s="12">
        <v>1</v>
      </c>
      <c r="BR20" s="12">
        <v>1</v>
      </c>
      <c r="BS20" s="12">
        <v>1</v>
      </c>
      <c r="BT20" s="12">
        <v>1</v>
      </c>
      <c r="BU20" s="12">
        <v>1</v>
      </c>
      <c r="BV20" s="12" t="s">
        <v>61</v>
      </c>
      <c r="BW20" s="12">
        <v>1</v>
      </c>
      <c r="BX20" s="12">
        <v>1987</v>
      </c>
      <c r="BY20" s="12">
        <f t="shared" ref="BY20" ca="1" si="52">YEAR(TODAY())-BX20</f>
        <v>39</v>
      </c>
      <c r="BZ20" s="12" t="str">
        <f t="shared" ref="BZ20" ca="1" si="53">IF(BY20&gt;=36,"5",IF(BY20&gt;=31,"4",IF(BY20&gt;=21,"3",IF(BY20&gt;=7,"2","1"))))</f>
        <v>5</v>
      </c>
      <c r="CA20" s="10">
        <v>1</v>
      </c>
      <c r="CB20" s="10">
        <v>1</v>
      </c>
      <c r="CC20" s="10">
        <v>1</v>
      </c>
      <c r="CD20" s="10">
        <v>1</v>
      </c>
      <c r="CE20" s="2">
        <v>1</v>
      </c>
      <c r="CF20" s="62">
        <v>2023</v>
      </c>
      <c r="CG20" s="10">
        <f t="shared" ca="1" si="22"/>
        <v>3</v>
      </c>
      <c r="CH20" s="10" t="str">
        <f t="shared" ca="1" si="23"/>
        <v>1</v>
      </c>
      <c r="CI20" s="10">
        <v>1</v>
      </c>
      <c r="CJ20" s="10">
        <v>1</v>
      </c>
      <c r="CK20" s="10">
        <f t="shared" ca="1" si="8"/>
        <v>1.04</v>
      </c>
      <c r="CL20" s="10"/>
      <c r="CM20" s="10"/>
      <c r="CN20" s="10"/>
      <c r="CO20" s="10" t="s">
        <v>137</v>
      </c>
      <c r="CP20" s="10" t="s">
        <v>60</v>
      </c>
      <c r="CQ20" s="10"/>
      <c r="CR20" s="10"/>
      <c r="CS20" s="10"/>
      <c r="CT20" s="10"/>
      <c r="CU20" s="10"/>
    </row>
    <row r="21" spans="1:99" x14ac:dyDescent="0.2">
      <c r="B21" s="10" t="s">
        <v>662</v>
      </c>
      <c r="C21" s="10">
        <v>12.5</v>
      </c>
      <c r="D21" s="2">
        <v>34.5</v>
      </c>
      <c r="E21" s="10" t="s">
        <v>162</v>
      </c>
      <c r="F21" s="10" t="s">
        <v>683</v>
      </c>
      <c r="G21" s="10" t="s">
        <v>58</v>
      </c>
      <c r="H21" s="10" t="s">
        <v>59</v>
      </c>
      <c r="I21" s="10">
        <v>2.1</v>
      </c>
      <c r="J21" s="10">
        <v>2.2999999999999998</v>
      </c>
      <c r="K21" s="10">
        <v>176</v>
      </c>
      <c r="L21" s="10">
        <v>18.7</v>
      </c>
      <c r="M21" s="10">
        <v>4.4000000000000004</v>
      </c>
      <c r="N21" s="10">
        <v>22</v>
      </c>
      <c r="O21" s="10">
        <v>23794</v>
      </c>
      <c r="P21" s="10">
        <v>60459</v>
      </c>
      <c r="Q21" s="10">
        <v>4325</v>
      </c>
      <c r="R21" s="10">
        <v>0.4</v>
      </c>
      <c r="S21" s="2">
        <f t="shared" ref="S21" si="54">SUM(I21+J21+L21+M21)</f>
        <v>27.5</v>
      </c>
      <c r="T21" s="2" t="str">
        <f t="shared" si="10"/>
        <v>1</v>
      </c>
      <c r="U21" s="2" t="str">
        <f t="shared" ref="U21" si="55">IF(K21&gt;=750,"5",IF(K21&gt;=550,"4",IF(K21&gt;=300,"3",IF(K21&gt;=100,"2","1"))))</f>
        <v>2</v>
      </c>
      <c r="V21" s="2" t="str">
        <f t="shared" ref="V21" si="56">IF(Q21&gt;=7001,"5",IF(Q21&gt;=5000,"4",IF(Q21&gt;=3000,"3",IF(Q21&gt;=1500,"2","1"))))</f>
        <v>3</v>
      </c>
      <c r="W21" s="2" t="str">
        <f t="shared" ref="W21" si="57">IF(R21&gt;=7,"5",IF(R21&gt;=6,"4",IF(R21&gt;=5,"3",IF(R21&gt;=2,"2","1"))))</f>
        <v>1</v>
      </c>
      <c r="X21" s="2">
        <f t="shared" ref="X21" si="58">(T21+U21+V21+W21)/5</f>
        <v>1.4</v>
      </c>
      <c r="Y21" s="10">
        <v>42</v>
      </c>
      <c r="Z21" s="10">
        <v>15</v>
      </c>
      <c r="AA21" s="10">
        <v>0.02</v>
      </c>
      <c r="AB21" s="10">
        <v>34.799999999999997</v>
      </c>
      <c r="AC21" s="2">
        <f t="shared" ref="AC21" si="59">AB21/AA21</f>
        <v>1739.9999999999998</v>
      </c>
      <c r="AD21" s="10">
        <v>1134</v>
      </c>
      <c r="AE21" s="2" t="str">
        <f t="shared" ref="AE21" si="60">IF(Y21&lt;=16,"5",IF(Y21&lt;=20,"4",IF(Y21&lt;=25,"3",IF(Y21&lt;=33,"2","1"))))</f>
        <v>1</v>
      </c>
      <c r="AF21" s="2" t="str">
        <f t="shared" ref="AF21" si="61">IF(AC21&lt;=713,"5",IF(AC21&lt;=999,"4",IF(AC21&lt;=1130,"3",IF(AC21&lt;=1499,"2","1"))))</f>
        <v>1</v>
      </c>
      <c r="AG21" s="2">
        <f t="shared" ref="AG21" si="62">AE21*0.8+AF21*0.2</f>
        <v>1</v>
      </c>
      <c r="AH21" s="2" t="str">
        <f t="shared" ref="AH21" si="63">IF(AD21&gt;=5500,"5",IF(AD21&gt;=4800,"4",IF(AD21&gt;=3600,"3",IF(AD21&gt;=2400,"2","1"))))</f>
        <v>1</v>
      </c>
      <c r="AI21" s="10" t="s">
        <v>81</v>
      </c>
      <c r="AJ21" s="10" t="s">
        <v>82</v>
      </c>
      <c r="AK21" s="10"/>
      <c r="AL21" s="12">
        <v>699</v>
      </c>
      <c r="AM21" s="12">
        <v>32312</v>
      </c>
      <c r="AN21" s="12">
        <v>86621</v>
      </c>
      <c r="AO21" s="12">
        <v>2.8</v>
      </c>
      <c r="AP21" s="12">
        <v>205</v>
      </c>
      <c r="AQ21" s="12">
        <v>2471</v>
      </c>
      <c r="AR21" s="12">
        <v>1.8</v>
      </c>
      <c r="AS21" s="12">
        <v>0.5</v>
      </c>
      <c r="AT21" s="12">
        <v>0</v>
      </c>
      <c r="AU21" s="12">
        <v>1.2</v>
      </c>
      <c r="AV21" s="12">
        <f t="shared" ref="AV21" si="64">(AL21+AO21+AP21+AR21+AS21+AQ21)</f>
        <v>3380.1</v>
      </c>
      <c r="AW21" s="12" t="str">
        <f t="shared" ref="AW21" si="65">IF(AV21&gt;=23546,"5",IF(AV21&gt;=14870,"4",IF(AV21&gt;=6185,"3",IF(AV21&gt;=3943,"2","1"))))</f>
        <v>1</v>
      </c>
      <c r="AX21" s="12" t="str">
        <f t="shared" ref="AX21" si="66">IF(AT21&gt;=16,"5",IF(AT21&gt;=15,"4",IF(AT21&gt;=12,"3",IF(AT21&gt;=7,"2","1"))))</f>
        <v>1</v>
      </c>
      <c r="AY21" s="65">
        <f t="shared" ref="AY21" si="67">(AW21+AX21)/2</f>
        <v>1</v>
      </c>
      <c r="AZ21" s="12">
        <v>38</v>
      </c>
      <c r="BA21" s="12">
        <v>17</v>
      </c>
      <c r="BB21" s="12">
        <v>0.02</v>
      </c>
      <c r="BC21" s="12">
        <v>36</v>
      </c>
      <c r="BD21" s="65">
        <f t="shared" ref="BD21" si="68">BC21/BB21</f>
        <v>1800</v>
      </c>
      <c r="BE21" s="12" t="str">
        <f t="shared" ref="BE21" si="69">IF(AZ21&lt;=19,"5",IF(AZ21&lt;=23,"4",IF(AZ21&lt;=27,"3",IF(AZ21&lt;=33,"2","1"))))</f>
        <v>1</v>
      </c>
      <c r="BF21" s="12" t="str">
        <f t="shared" ref="BF21" si="70">IF(BD21&lt;=513,"5",IF(BD21&lt;=799,"4",IF(BD21&lt;=930,"3",IF(BD21&lt;=1499,"2","1"))))</f>
        <v>1</v>
      </c>
      <c r="BG21" s="12">
        <f t="shared" ref="BG21" si="71">(BE21+BF21)/2</f>
        <v>1</v>
      </c>
      <c r="BH21" s="12">
        <v>3</v>
      </c>
      <c r="BI21" s="12">
        <v>16.739999999999998</v>
      </c>
      <c r="BJ21" s="12"/>
      <c r="BK21" s="12">
        <v>41.84</v>
      </c>
      <c r="BL21" s="12"/>
      <c r="BM21" s="12" t="s">
        <v>61</v>
      </c>
      <c r="BN21" s="12"/>
      <c r="BO21" s="12"/>
      <c r="BP21" s="12"/>
      <c r="BQ21" s="12">
        <v>1</v>
      </c>
      <c r="BR21" s="12">
        <v>1</v>
      </c>
      <c r="BS21" s="12">
        <v>1</v>
      </c>
      <c r="BT21" s="12">
        <v>1</v>
      </c>
      <c r="BU21" s="12">
        <v>1</v>
      </c>
      <c r="BV21" s="12" t="s">
        <v>61</v>
      </c>
      <c r="BW21" s="12">
        <v>1</v>
      </c>
      <c r="BX21" s="12">
        <v>1987</v>
      </c>
      <c r="BY21" s="12">
        <f t="shared" ref="BY21" ca="1" si="72">YEAR(TODAY())-BX21</f>
        <v>39</v>
      </c>
      <c r="BZ21" s="12" t="str">
        <f t="shared" ref="BZ21" ca="1" si="73">IF(BY21&gt;=36,"5",IF(BY21&gt;=31,"4",IF(BY21&gt;=21,"3",IF(BY21&gt;=7,"2","1"))))</f>
        <v>5</v>
      </c>
      <c r="CA21" s="10">
        <v>1</v>
      </c>
      <c r="CB21" s="10">
        <v>1</v>
      </c>
      <c r="CC21" s="10">
        <v>1</v>
      </c>
      <c r="CD21" s="10">
        <v>1</v>
      </c>
      <c r="CE21" s="2">
        <v>1</v>
      </c>
      <c r="CF21" s="62">
        <v>2020</v>
      </c>
      <c r="CG21" s="10">
        <f t="shared" ca="1" si="22"/>
        <v>6</v>
      </c>
      <c r="CH21" s="10" t="str">
        <f t="shared" ca="1" si="23"/>
        <v>1</v>
      </c>
      <c r="CI21" s="10">
        <v>1</v>
      </c>
      <c r="CJ21" s="10">
        <v>1</v>
      </c>
      <c r="CK21" s="10">
        <f t="shared" ca="1" si="8"/>
        <v>1.08</v>
      </c>
      <c r="CL21" s="10"/>
      <c r="CM21" s="10"/>
      <c r="CN21" s="10"/>
      <c r="CO21" s="10" t="s">
        <v>137</v>
      </c>
      <c r="CP21" s="10" t="s">
        <v>60</v>
      </c>
      <c r="CQ21" s="10"/>
      <c r="CR21" s="84"/>
      <c r="CS21" s="10"/>
      <c r="CT21" s="10"/>
      <c r="CU21" s="10"/>
    </row>
    <row r="22" spans="1:99" x14ac:dyDescent="0.2">
      <c r="B22" s="10">
        <v>1081983129</v>
      </c>
      <c r="C22" s="10">
        <v>30</v>
      </c>
      <c r="D22" s="2" t="s">
        <v>786</v>
      </c>
      <c r="E22" s="10" t="s">
        <v>451</v>
      </c>
      <c r="F22" s="10" t="s">
        <v>683</v>
      </c>
      <c r="G22" s="10" t="s">
        <v>70</v>
      </c>
      <c r="H22" s="10" t="s">
        <v>70</v>
      </c>
      <c r="I22" s="10">
        <v>22</v>
      </c>
      <c r="J22" s="10">
        <v>2.2999999999999998</v>
      </c>
      <c r="K22" s="10">
        <v>246</v>
      </c>
      <c r="L22" s="10">
        <v>0.3</v>
      </c>
      <c r="M22" s="10">
        <v>0.2</v>
      </c>
      <c r="N22" s="10">
        <v>0.5</v>
      </c>
      <c r="O22" s="10">
        <v>4784</v>
      </c>
      <c r="P22" s="10">
        <v>34039</v>
      </c>
      <c r="Q22" s="10">
        <v>423</v>
      </c>
      <c r="R22" s="10">
        <v>0</v>
      </c>
      <c r="S22" s="2">
        <f t="shared" ref="S22" si="74">SUM(I22+J22+L22+M22)</f>
        <v>24.8</v>
      </c>
      <c r="T22" s="2" t="str">
        <f t="shared" si="10"/>
        <v>1</v>
      </c>
      <c r="U22" s="2" t="str">
        <f t="shared" ref="U22" si="75">IF(K22&gt;=750,"5",IF(K22&gt;=550,"4",IF(K22&gt;=300,"3",IF(K22&gt;=100,"2","1"))))</f>
        <v>2</v>
      </c>
      <c r="V22" s="2" t="str">
        <f t="shared" ref="V22" si="76">IF(Q22&gt;=7001,"5",IF(Q22&gt;=5000,"4",IF(Q22&gt;=3000,"3",IF(Q22&gt;=1500,"2","1"))))</f>
        <v>1</v>
      </c>
      <c r="W22" s="2" t="str">
        <f t="shared" ref="W22" si="77">IF(R22&gt;=7,"5",IF(R22&gt;=6,"4",IF(R22&gt;=5,"3",IF(R22&gt;=2,"2","1"))))</f>
        <v>1</v>
      </c>
      <c r="X22" s="2">
        <f t="shared" ref="X22" si="78">(T22+U22+V22+W22)/5</f>
        <v>1</v>
      </c>
      <c r="Y22" s="10">
        <v>55</v>
      </c>
      <c r="Z22" s="10">
        <v>6</v>
      </c>
      <c r="AA22" s="10">
        <v>0.02</v>
      </c>
      <c r="AB22" s="10">
        <v>43.9</v>
      </c>
      <c r="AC22" s="2">
        <f t="shared" ref="AC22" si="79">AB22/AA22</f>
        <v>2195</v>
      </c>
      <c r="AD22" s="10">
        <v>14</v>
      </c>
      <c r="AE22" s="2" t="str">
        <f t="shared" ref="AE22" si="80">IF(Y22&lt;=16,"5",IF(Y22&lt;=20,"4",IF(Y22&lt;=25,"3",IF(Y22&lt;=33,"2","1"))))</f>
        <v>1</v>
      </c>
      <c r="AF22" s="2" t="str">
        <f t="shared" ref="AF22" si="81">IF(AC22&lt;=713,"5",IF(AC22&lt;=999,"4",IF(AC22&lt;=1130,"3",IF(AC22&lt;=1499,"2","1"))))</f>
        <v>1</v>
      </c>
      <c r="AG22" s="2">
        <f t="shared" ref="AG22" si="82">AE22*0.8+AF22*0.2</f>
        <v>1</v>
      </c>
      <c r="AH22" s="2" t="str">
        <f t="shared" ref="AH22" si="83">IF(AD22&gt;=5500,"5",IF(AD22&gt;=4800,"4",IF(AD22&gt;=3600,"3",IF(AD22&gt;=2400,"2","1"))))</f>
        <v>1</v>
      </c>
      <c r="AI22" s="10" t="s">
        <v>81</v>
      </c>
      <c r="AJ22" s="10" t="s">
        <v>82</v>
      </c>
      <c r="AK22" s="10" t="s">
        <v>48</v>
      </c>
      <c r="AL22" s="12">
        <v>699</v>
      </c>
      <c r="AM22" s="12">
        <v>32312</v>
      </c>
      <c r="AN22" s="12">
        <v>86621</v>
      </c>
      <c r="AO22" s="12">
        <v>2.8</v>
      </c>
      <c r="AP22" s="12">
        <v>205</v>
      </c>
      <c r="AQ22" s="12">
        <v>2471</v>
      </c>
      <c r="AR22" s="12">
        <v>1.8</v>
      </c>
      <c r="AS22" s="12">
        <v>0.5</v>
      </c>
      <c r="AT22" s="12">
        <v>0</v>
      </c>
      <c r="AU22" s="12">
        <v>1.2</v>
      </c>
      <c r="AV22" s="12">
        <f t="shared" ref="AV22" si="84">(AL22+AO22+AP22+AR22+AS22+AQ22)</f>
        <v>3380.1</v>
      </c>
      <c r="AW22" s="12" t="str">
        <f t="shared" ref="AW22" si="85">IF(AV22&gt;=23546,"5",IF(AV22&gt;=14870,"4",IF(AV22&gt;=6185,"3",IF(AV22&gt;=3943,"2","1"))))</f>
        <v>1</v>
      </c>
      <c r="AX22" s="12" t="str">
        <f t="shared" ref="AX22" si="86">IF(AT22&gt;=16,"5",IF(AT22&gt;=15,"4",IF(AT22&gt;=12,"3",IF(AT22&gt;=7,"2","1"))))</f>
        <v>1</v>
      </c>
      <c r="AY22" s="65">
        <f t="shared" ref="AY22" si="87">(AW22+AX22)/2</f>
        <v>1</v>
      </c>
      <c r="AZ22" s="12">
        <v>38</v>
      </c>
      <c r="BA22" s="12">
        <v>17</v>
      </c>
      <c r="BB22" s="12">
        <v>0.02</v>
      </c>
      <c r="BC22" s="12">
        <v>36</v>
      </c>
      <c r="BD22" s="65">
        <f t="shared" ref="BD22" si="88">BC22/BB22</f>
        <v>1800</v>
      </c>
      <c r="BE22" s="12" t="str">
        <f t="shared" ref="BE22" si="89">IF(AZ22&lt;=19,"5",IF(AZ22&lt;=23,"4",IF(AZ22&lt;=27,"3",IF(AZ22&lt;=33,"2","1"))))</f>
        <v>1</v>
      </c>
      <c r="BF22" s="12" t="str">
        <f t="shared" ref="BF22" si="90">IF(BD22&lt;=513,"5",IF(BD22&lt;=799,"4",IF(BD22&lt;=930,"3",IF(BD22&lt;=1499,"2","1"))))</f>
        <v>1</v>
      </c>
      <c r="BG22" s="12">
        <f t="shared" ref="BG22" si="91">(BE22+BF22)/2</f>
        <v>1</v>
      </c>
      <c r="BH22" s="12">
        <v>3</v>
      </c>
      <c r="BI22" s="12">
        <v>16.739999999999998</v>
      </c>
      <c r="BJ22" s="12"/>
      <c r="BK22" s="12">
        <v>41.84</v>
      </c>
      <c r="BL22" s="12"/>
      <c r="BM22" s="12" t="s">
        <v>61</v>
      </c>
      <c r="BN22" s="12"/>
      <c r="BO22" s="12"/>
      <c r="BP22" s="12"/>
      <c r="BQ22" s="12">
        <v>1</v>
      </c>
      <c r="BR22" s="12">
        <v>1</v>
      </c>
      <c r="BS22" s="12">
        <v>1</v>
      </c>
      <c r="BT22" s="12">
        <v>1</v>
      </c>
      <c r="BU22" s="12">
        <v>1</v>
      </c>
      <c r="BV22" s="12" t="s">
        <v>61</v>
      </c>
      <c r="BW22" s="12">
        <v>1</v>
      </c>
      <c r="BX22" s="12">
        <v>1987</v>
      </c>
      <c r="BY22" s="12">
        <f t="shared" ref="BY22" ca="1" si="92">YEAR(TODAY())-BX22</f>
        <v>39</v>
      </c>
      <c r="BZ22" s="12" t="str">
        <f t="shared" ref="BZ22" ca="1" si="93">IF(BY22&gt;=36,"5",IF(BY22&gt;=31,"4",IF(BY22&gt;=21,"3",IF(BY22&gt;=7,"2","1"))))</f>
        <v>5</v>
      </c>
      <c r="CA22" s="10">
        <v>1</v>
      </c>
      <c r="CB22" s="10">
        <v>1</v>
      </c>
      <c r="CC22" s="10">
        <v>1</v>
      </c>
      <c r="CD22" s="10">
        <v>1</v>
      </c>
      <c r="CE22" s="2">
        <v>1</v>
      </c>
      <c r="CF22" s="62">
        <v>2023</v>
      </c>
      <c r="CG22" s="10">
        <f t="shared" ca="1" si="22"/>
        <v>3</v>
      </c>
      <c r="CH22" s="10" t="str">
        <f t="shared" ca="1" si="23"/>
        <v>1</v>
      </c>
      <c r="CI22" s="10">
        <v>1</v>
      </c>
      <c r="CJ22" s="10">
        <v>1</v>
      </c>
      <c r="CK22" s="10">
        <f t="shared" ca="1" si="8"/>
        <v>1</v>
      </c>
      <c r="CL22" s="10"/>
      <c r="CM22" s="10"/>
      <c r="CN22" s="10"/>
      <c r="CO22" s="10">
        <v>110</v>
      </c>
      <c r="CP22" s="10" t="s">
        <v>60</v>
      </c>
      <c r="CQ22" s="10"/>
      <c r="CR22" s="84"/>
      <c r="CS22" s="10"/>
      <c r="CT22" s="10"/>
      <c r="CU22" s="10"/>
    </row>
    <row r="23" spans="1:99" x14ac:dyDescent="0.2">
      <c r="B23" s="10">
        <v>1933434</v>
      </c>
      <c r="C23" s="10">
        <v>20</v>
      </c>
      <c r="D23" s="2">
        <v>66</v>
      </c>
      <c r="E23" s="10" t="s">
        <v>787</v>
      </c>
      <c r="F23" s="10" t="s">
        <v>683</v>
      </c>
      <c r="G23" s="10" t="s">
        <v>70</v>
      </c>
      <c r="H23" s="10" t="s">
        <v>70</v>
      </c>
      <c r="I23" s="10">
        <v>189</v>
      </c>
      <c r="J23" s="10">
        <v>4225</v>
      </c>
      <c r="K23" s="10">
        <v>644</v>
      </c>
      <c r="L23" s="10">
        <v>9938</v>
      </c>
      <c r="M23" s="10">
        <v>4087</v>
      </c>
      <c r="N23" s="10">
        <v>18616</v>
      </c>
      <c r="O23" s="10">
        <v>9384</v>
      </c>
      <c r="P23" s="10">
        <v>65139</v>
      </c>
      <c r="Q23" s="10">
        <v>11256</v>
      </c>
      <c r="R23" s="10">
        <v>4.0999999999999996</v>
      </c>
      <c r="S23" s="2">
        <f t="shared" ref="S23" si="94">SUM(I23+J23+L23+M23)</f>
        <v>18439</v>
      </c>
      <c r="T23" s="2" t="str">
        <f t="shared" si="10"/>
        <v>5</v>
      </c>
      <c r="U23" s="2" t="str">
        <f t="shared" ref="U23" si="95">IF(K23&gt;=750,"5",IF(K23&gt;=550,"4",IF(K23&gt;=300,"3",IF(K23&gt;=100,"2","1"))))</f>
        <v>4</v>
      </c>
      <c r="V23" s="2" t="str">
        <f t="shared" ref="V23" si="96">IF(Q23&gt;=7001,"5",IF(Q23&gt;=5000,"4",IF(Q23&gt;=3000,"3",IF(Q23&gt;=1500,"2","1"))))</f>
        <v>5</v>
      </c>
      <c r="W23" s="2" t="str">
        <f t="shared" ref="W23" si="97">IF(R23&gt;=7,"5",IF(R23&gt;=6,"4",IF(R23&gt;=5,"3",IF(R23&gt;=2,"2","1"))))</f>
        <v>2</v>
      </c>
      <c r="X23" s="2">
        <f t="shared" ref="X23" si="98">(T23+U23+V23+W23)/5</f>
        <v>3.2</v>
      </c>
      <c r="Y23" s="10">
        <v>20</v>
      </c>
      <c r="Z23" s="10">
        <v>18</v>
      </c>
      <c r="AA23" s="10">
        <v>0.02</v>
      </c>
      <c r="AB23" s="10">
        <v>34</v>
      </c>
      <c r="AC23" s="2">
        <f t="shared" ref="AC23" si="99">AB23/AA23</f>
        <v>1700</v>
      </c>
      <c r="AD23" s="10">
        <v>1280</v>
      </c>
      <c r="AE23" s="2" t="str">
        <f t="shared" ref="AE23" si="100">IF(Y23&lt;=16,"5",IF(Y23&lt;=20,"4",IF(Y23&lt;=25,"3",IF(Y23&lt;=33,"2","1"))))</f>
        <v>4</v>
      </c>
      <c r="AF23" s="2" t="str">
        <f t="shared" ref="AF23" si="101">IF(AC23&lt;=713,"5",IF(AC23&lt;=999,"4",IF(AC23&lt;=1130,"3",IF(AC23&lt;=1499,"2","1"))))</f>
        <v>1</v>
      </c>
      <c r="AG23" s="2">
        <f t="shared" ref="AG23" si="102">AE23*0.8+AF23*0.2</f>
        <v>3.4000000000000004</v>
      </c>
      <c r="AH23" s="2" t="str">
        <f t="shared" ref="AH23" si="103">IF(AD23&gt;=5500,"5",IF(AD23&gt;=4800,"4",IF(AD23&gt;=3600,"3",IF(AD23&gt;=2400,"2","1"))))</f>
        <v>1</v>
      </c>
      <c r="AI23" s="10" t="s">
        <v>81</v>
      </c>
      <c r="AJ23" s="10" t="s">
        <v>82</v>
      </c>
      <c r="AK23" s="10" t="s">
        <v>48</v>
      </c>
      <c r="AL23" s="12">
        <v>699</v>
      </c>
      <c r="AM23" s="12">
        <v>32312</v>
      </c>
      <c r="AN23" s="12">
        <v>86621</v>
      </c>
      <c r="AO23" s="12">
        <v>2.8</v>
      </c>
      <c r="AP23" s="12">
        <v>205</v>
      </c>
      <c r="AQ23" s="12">
        <v>2471</v>
      </c>
      <c r="AR23" s="12">
        <v>1.8</v>
      </c>
      <c r="AS23" s="12">
        <v>0.5</v>
      </c>
      <c r="AT23" s="12">
        <v>0</v>
      </c>
      <c r="AU23" s="12">
        <v>1.2</v>
      </c>
      <c r="AV23" s="12">
        <f t="shared" ref="AV23" si="104">(AL23+AO23+AP23+AR23+AS23+AQ23)</f>
        <v>3380.1</v>
      </c>
      <c r="AW23" s="12" t="str">
        <f t="shared" ref="AW23" si="105">IF(AV23&gt;=23546,"5",IF(AV23&gt;=14870,"4",IF(AV23&gt;=6185,"3",IF(AV23&gt;=3943,"2","1"))))</f>
        <v>1</v>
      </c>
      <c r="AX23" s="12" t="str">
        <f t="shared" ref="AX23" si="106">IF(AT23&gt;=16,"5",IF(AT23&gt;=15,"4",IF(AT23&gt;=12,"3",IF(AT23&gt;=7,"2","1"))))</f>
        <v>1</v>
      </c>
      <c r="AY23" s="65">
        <f t="shared" ref="AY23" si="107">(AW23+AX23)/2</f>
        <v>1</v>
      </c>
      <c r="AZ23" s="12">
        <v>38</v>
      </c>
      <c r="BA23" s="12">
        <v>17</v>
      </c>
      <c r="BB23" s="12">
        <v>0.02</v>
      </c>
      <c r="BC23" s="12">
        <v>36</v>
      </c>
      <c r="BD23" s="65">
        <f t="shared" ref="BD23" si="108">BC23/BB23</f>
        <v>1800</v>
      </c>
      <c r="BE23" s="12" t="str">
        <f t="shared" ref="BE23" si="109">IF(AZ23&lt;=19,"5",IF(AZ23&lt;=23,"4",IF(AZ23&lt;=27,"3",IF(AZ23&lt;=33,"2","1"))))</f>
        <v>1</v>
      </c>
      <c r="BF23" s="12" t="str">
        <f t="shared" ref="BF23" si="110">IF(BD23&lt;=513,"5",IF(BD23&lt;=799,"4",IF(BD23&lt;=930,"3",IF(BD23&lt;=1499,"2","1"))))</f>
        <v>1</v>
      </c>
      <c r="BG23" s="12">
        <f t="shared" ref="BG23" si="111">(BE23+BF23)/2</f>
        <v>1</v>
      </c>
      <c r="BH23" s="12">
        <v>3</v>
      </c>
      <c r="BI23" s="12">
        <v>16.739999999999998</v>
      </c>
      <c r="BJ23" s="12"/>
      <c r="BK23" s="12">
        <v>41.84</v>
      </c>
      <c r="BL23" s="12"/>
      <c r="BM23" s="12" t="s">
        <v>61</v>
      </c>
      <c r="BN23" s="12"/>
      <c r="BO23" s="12"/>
      <c r="BP23" s="12"/>
      <c r="BQ23" s="12">
        <v>1</v>
      </c>
      <c r="BR23" s="12">
        <v>1</v>
      </c>
      <c r="BS23" s="12">
        <v>1</v>
      </c>
      <c r="BT23" s="12">
        <v>1</v>
      </c>
      <c r="BU23" s="12">
        <v>1</v>
      </c>
      <c r="BV23" s="12" t="s">
        <v>61</v>
      </c>
      <c r="BW23" s="12">
        <v>1</v>
      </c>
      <c r="BX23" s="12">
        <v>1987</v>
      </c>
      <c r="BY23" s="12">
        <f t="shared" ref="BY23" ca="1" si="112">YEAR(TODAY())-BX23</f>
        <v>39</v>
      </c>
      <c r="BZ23" s="12" t="str">
        <f t="shared" ref="BZ23" ca="1" si="113">IF(BY23&gt;=36,"5",IF(BY23&gt;=31,"4",IF(BY23&gt;=21,"3",IF(BY23&gt;=7,"2","1"))))</f>
        <v>5</v>
      </c>
      <c r="CA23" s="10">
        <v>1</v>
      </c>
      <c r="CB23" s="10">
        <v>1</v>
      </c>
      <c r="CC23" s="10">
        <v>1</v>
      </c>
      <c r="CD23" s="10">
        <v>1</v>
      </c>
      <c r="CE23" s="2">
        <v>1</v>
      </c>
      <c r="CF23" s="62">
        <v>1993</v>
      </c>
      <c r="CG23" s="10">
        <f t="shared" ca="1" si="22"/>
        <v>33</v>
      </c>
      <c r="CH23" s="10" t="str">
        <f t="shared" ca="1" si="23"/>
        <v>5</v>
      </c>
      <c r="CI23" s="10">
        <v>1</v>
      </c>
      <c r="CJ23" s="10">
        <v>1</v>
      </c>
      <c r="CK23" s="10">
        <f t="shared" ca="1" si="8"/>
        <v>2.1920000000000002</v>
      </c>
      <c r="CL23" s="10"/>
      <c r="CM23" s="10"/>
      <c r="CN23" s="10"/>
      <c r="CO23" s="10">
        <v>66</v>
      </c>
      <c r="CP23" s="10" t="s">
        <v>60</v>
      </c>
      <c r="CQ23" s="10"/>
      <c r="CR23" s="84"/>
      <c r="CS23" s="10"/>
      <c r="CT23" s="10"/>
      <c r="CU23" s="10"/>
    </row>
    <row r="24" spans="1:99" x14ac:dyDescent="0.2">
      <c r="B24" s="10">
        <v>1079537151</v>
      </c>
      <c r="C24" s="10">
        <v>6.5</v>
      </c>
      <c r="D24" s="2">
        <v>34.5</v>
      </c>
      <c r="E24" s="10" t="s">
        <v>309</v>
      </c>
      <c r="F24" s="10" t="s">
        <v>683</v>
      </c>
      <c r="G24" s="10" t="s">
        <v>58</v>
      </c>
      <c r="H24" s="10" t="s">
        <v>59</v>
      </c>
      <c r="I24" s="10">
        <v>4.9000000000000004</v>
      </c>
      <c r="J24" s="10">
        <v>5.9</v>
      </c>
      <c r="K24" s="10">
        <v>641</v>
      </c>
      <c r="L24" s="10">
        <v>8.9</v>
      </c>
      <c r="M24" s="10">
        <v>1.1000000000000001</v>
      </c>
      <c r="N24" s="10">
        <v>4.7</v>
      </c>
      <c r="O24" s="10">
        <v>5068</v>
      </c>
      <c r="P24" s="10">
        <v>68023</v>
      </c>
      <c r="Q24" s="10">
        <v>1094</v>
      </c>
      <c r="R24" s="10">
        <v>0</v>
      </c>
      <c r="S24" s="2">
        <f t="shared" ref="S24" si="114">SUM(I24+J24+L24+M24)</f>
        <v>20.800000000000004</v>
      </c>
      <c r="T24" s="2" t="str">
        <f t="shared" si="10"/>
        <v>1</v>
      </c>
      <c r="U24" s="2" t="str">
        <f t="shared" ref="U24" si="115">IF(K24&gt;=750,"5",IF(K24&gt;=550,"4",IF(K24&gt;=300,"3",IF(K24&gt;=100,"2","1"))))</f>
        <v>4</v>
      </c>
      <c r="V24" s="2" t="str">
        <f t="shared" ref="V24" si="116">IF(Q24&gt;=7001,"5",IF(Q24&gt;=5000,"4",IF(Q24&gt;=3000,"3",IF(Q24&gt;=1500,"2","1"))))</f>
        <v>1</v>
      </c>
      <c r="W24" s="2" t="str">
        <f t="shared" ref="W24" si="117">IF(R24&gt;=7,"5",IF(R24&gt;=6,"4",IF(R24&gt;=5,"3",IF(R24&gt;=2,"2","1"))))</f>
        <v>1</v>
      </c>
      <c r="X24" s="2">
        <f t="shared" ref="X24" si="118">(T24+U24+V24+W24)/5</f>
        <v>1.4</v>
      </c>
      <c r="Y24" s="10">
        <v>58</v>
      </c>
      <c r="Z24" s="10">
        <v>5</v>
      </c>
      <c r="AA24" s="10">
        <v>0.02</v>
      </c>
      <c r="AB24" s="10">
        <v>42.2</v>
      </c>
      <c r="AC24" s="2">
        <f t="shared" ref="AC24" si="119">AB24/AA24</f>
        <v>2110</v>
      </c>
      <c r="AD24" s="10">
        <v>1</v>
      </c>
      <c r="AE24" s="2" t="str">
        <f t="shared" ref="AE24" si="120">IF(Y24&lt;=16,"5",IF(Y24&lt;=20,"4",IF(Y24&lt;=25,"3",IF(Y24&lt;=33,"2","1"))))</f>
        <v>1</v>
      </c>
      <c r="AF24" s="2" t="str">
        <f t="shared" ref="AF24" si="121">IF(AC24&lt;=713,"5",IF(AC24&lt;=999,"4",IF(AC24&lt;=1130,"3",IF(AC24&lt;=1499,"2","1"))))</f>
        <v>1</v>
      </c>
      <c r="AG24" s="2">
        <f t="shared" ref="AG24" si="122">AE24*0.8+AF24*0.2</f>
        <v>1</v>
      </c>
      <c r="AH24" s="2" t="str">
        <f t="shared" ref="AH24" si="123">IF(AD24&gt;=5500,"5",IF(AD24&gt;=4800,"4",IF(AD24&gt;=3600,"3",IF(AD24&gt;=2400,"2","1"))))</f>
        <v>1</v>
      </c>
      <c r="AI24" s="10" t="s">
        <v>81</v>
      </c>
      <c r="AJ24" s="10" t="s">
        <v>82</v>
      </c>
      <c r="AK24" s="10" t="s">
        <v>48</v>
      </c>
      <c r="AL24" s="12">
        <v>699</v>
      </c>
      <c r="AM24" s="12">
        <v>32312</v>
      </c>
      <c r="AN24" s="12">
        <v>86621</v>
      </c>
      <c r="AO24" s="12">
        <v>2.8</v>
      </c>
      <c r="AP24" s="12">
        <v>205</v>
      </c>
      <c r="AQ24" s="12">
        <v>2471</v>
      </c>
      <c r="AR24" s="12">
        <v>1.8</v>
      </c>
      <c r="AS24" s="12">
        <v>0.5</v>
      </c>
      <c r="AT24" s="12">
        <v>0</v>
      </c>
      <c r="AU24" s="12">
        <v>1.2</v>
      </c>
      <c r="AV24" s="12">
        <f t="shared" ref="AV24" si="124">(AL24+AO24+AP24+AR24+AS24+AQ24)</f>
        <v>3380.1</v>
      </c>
      <c r="AW24" s="12" t="str">
        <f t="shared" ref="AW24" si="125">IF(AV24&gt;=23546,"5",IF(AV24&gt;=14870,"4",IF(AV24&gt;=6185,"3",IF(AV24&gt;=3943,"2","1"))))</f>
        <v>1</v>
      </c>
      <c r="AX24" s="12" t="str">
        <f t="shared" ref="AX24" si="126">IF(AT24&gt;=16,"5",IF(AT24&gt;=15,"4",IF(AT24&gt;=12,"3",IF(AT24&gt;=7,"2","1"))))</f>
        <v>1</v>
      </c>
      <c r="AY24" s="65">
        <f t="shared" ref="AY24" si="127">(AW24+AX24)/2</f>
        <v>1</v>
      </c>
      <c r="AZ24" s="12">
        <v>38</v>
      </c>
      <c r="BA24" s="12">
        <v>17</v>
      </c>
      <c r="BB24" s="12">
        <v>0.02</v>
      </c>
      <c r="BC24" s="12">
        <v>36</v>
      </c>
      <c r="BD24" s="65">
        <f t="shared" ref="BD24" si="128">BC24/BB24</f>
        <v>1800</v>
      </c>
      <c r="BE24" s="12" t="str">
        <f t="shared" ref="BE24" si="129">IF(AZ24&lt;=19,"5",IF(AZ24&lt;=23,"4",IF(AZ24&lt;=27,"3",IF(AZ24&lt;=33,"2","1"))))</f>
        <v>1</v>
      </c>
      <c r="BF24" s="12" t="str">
        <f t="shared" ref="BF24" si="130">IF(BD24&lt;=513,"5",IF(BD24&lt;=799,"4",IF(BD24&lt;=930,"3",IF(BD24&lt;=1499,"2","1"))))</f>
        <v>1</v>
      </c>
      <c r="BG24" s="12">
        <f t="shared" ref="BG24" si="131">(BE24+BF24)/2</f>
        <v>1</v>
      </c>
      <c r="BH24" s="12">
        <v>3</v>
      </c>
      <c r="BI24" s="12">
        <v>16.739999999999998</v>
      </c>
      <c r="BJ24" s="12"/>
      <c r="BK24" s="12">
        <v>41.84</v>
      </c>
      <c r="BL24" s="12"/>
      <c r="BM24" s="12" t="s">
        <v>61</v>
      </c>
      <c r="BN24" s="12"/>
      <c r="BO24" s="12"/>
      <c r="BP24" s="12"/>
      <c r="BQ24" s="12">
        <v>1</v>
      </c>
      <c r="BR24" s="12">
        <v>1</v>
      </c>
      <c r="BS24" s="12">
        <v>1</v>
      </c>
      <c r="BT24" s="12">
        <v>1</v>
      </c>
      <c r="BU24" s="12">
        <v>1</v>
      </c>
      <c r="BV24" s="12" t="s">
        <v>61</v>
      </c>
      <c r="BW24" s="12">
        <v>1</v>
      </c>
      <c r="BX24" s="12">
        <v>1987</v>
      </c>
      <c r="BY24" s="12">
        <f t="shared" ref="BY24" ca="1" si="132">YEAR(TODAY())-BX24</f>
        <v>39</v>
      </c>
      <c r="BZ24" s="12" t="str">
        <f t="shared" ref="BZ24" ca="1" si="133">IF(BY24&gt;=36,"5",IF(BY24&gt;=31,"4",IF(BY24&gt;=21,"3",IF(BY24&gt;=7,"2","1"))))</f>
        <v>5</v>
      </c>
      <c r="CA24" s="10">
        <v>1</v>
      </c>
      <c r="CB24" s="10">
        <v>1</v>
      </c>
      <c r="CC24" s="10">
        <v>1</v>
      </c>
      <c r="CD24" s="10">
        <v>1</v>
      </c>
      <c r="CE24" s="2">
        <v>1</v>
      </c>
      <c r="CF24" s="62">
        <v>2023</v>
      </c>
      <c r="CG24" s="10">
        <f t="shared" ca="1" si="22"/>
        <v>3</v>
      </c>
      <c r="CH24" s="10" t="str">
        <f t="shared" ca="1" si="23"/>
        <v>1</v>
      </c>
      <c r="CI24" s="10">
        <v>1</v>
      </c>
      <c r="CJ24" s="10">
        <v>1</v>
      </c>
      <c r="CK24" s="10">
        <f t="shared" ca="1" si="8"/>
        <v>1.08</v>
      </c>
      <c r="CL24" s="10"/>
      <c r="CM24" s="10"/>
      <c r="CN24" s="10"/>
      <c r="CO24" s="10" t="s">
        <v>137</v>
      </c>
      <c r="CP24" s="10" t="s">
        <v>60</v>
      </c>
      <c r="CQ24" s="10"/>
      <c r="CR24" s="84"/>
      <c r="CS24" s="10"/>
      <c r="CT24" s="10"/>
      <c r="CU24" s="10"/>
    </row>
    <row r="25" spans="1:99" x14ac:dyDescent="0.2">
      <c r="B25" s="10">
        <v>1072462803</v>
      </c>
      <c r="C25" s="10">
        <v>0.47799999999999998</v>
      </c>
      <c r="D25" s="2">
        <v>34.5</v>
      </c>
      <c r="E25" s="10" t="s">
        <v>387</v>
      </c>
      <c r="F25" s="10" t="s">
        <v>683</v>
      </c>
      <c r="G25" s="10" t="s">
        <v>70</v>
      </c>
      <c r="H25" s="10" t="s">
        <v>70</v>
      </c>
      <c r="I25" s="10">
        <v>143</v>
      </c>
      <c r="J25" s="10">
        <v>7.5</v>
      </c>
      <c r="K25" s="10">
        <v>741</v>
      </c>
      <c r="L25" s="10">
        <v>3.5</v>
      </c>
      <c r="M25" s="10">
        <v>5.3</v>
      </c>
      <c r="N25" s="10">
        <v>7.4</v>
      </c>
      <c r="O25" s="10">
        <v>6927</v>
      </c>
      <c r="P25" s="10">
        <v>69973</v>
      </c>
      <c r="Q25" s="10">
        <v>1940</v>
      </c>
      <c r="R25" s="10">
        <v>0.1</v>
      </c>
      <c r="S25" s="2">
        <f t="shared" ref="S25" si="134">SUM(I25+J25+L25+M25)</f>
        <v>159.30000000000001</v>
      </c>
      <c r="T25" s="2" t="str">
        <f t="shared" si="10"/>
        <v>2</v>
      </c>
      <c r="U25" s="2" t="str">
        <f t="shared" ref="U25" si="135">IF(K25&gt;=750,"5",IF(K25&gt;=550,"4",IF(K25&gt;=300,"3",IF(K25&gt;=100,"2","1"))))</f>
        <v>4</v>
      </c>
      <c r="V25" s="2" t="str">
        <f t="shared" ref="V25" si="136">IF(Q25&gt;=7001,"5",IF(Q25&gt;=5000,"4",IF(Q25&gt;=3000,"3",IF(Q25&gt;=1500,"2","1"))))</f>
        <v>2</v>
      </c>
      <c r="W25" s="2" t="str">
        <f t="shared" ref="W25" si="137">IF(R25&gt;=7,"5",IF(R25&gt;=6,"4",IF(R25&gt;=5,"3",IF(R25&gt;=2,"2","1"))))</f>
        <v>1</v>
      </c>
      <c r="X25" s="2">
        <f t="shared" ref="X25" si="138">(T25+U25+V25+W25)/5</f>
        <v>1.8</v>
      </c>
      <c r="Y25" s="10">
        <v>58</v>
      </c>
      <c r="Z25" s="10">
        <v>5</v>
      </c>
      <c r="AA25" s="10">
        <v>0.02</v>
      </c>
      <c r="AB25" s="10">
        <v>38.700000000000003</v>
      </c>
      <c r="AC25" s="2">
        <f t="shared" ref="AC25:AC27" si="139">AB25/AA25</f>
        <v>1935</v>
      </c>
      <c r="AD25" s="10">
        <v>1</v>
      </c>
      <c r="AE25" s="2" t="str">
        <f t="shared" ref="AE25" si="140">IF(Y25&lt;=16,"5",IF(Y25&lt;=20,"4",IF(Y25&lt;=25,"3",IF(Y25&lt;=33,"2","1"))))</f>
        <v>1</v>
      </c>
      <c r="AF25" s="2" t="str">
        <f t="shared" ref="AF25" si="141">IF(AC25&lt;=713,"5",IF(AC25&lt;=999,"4",IF(AC25&lt;=1130,"3",IF(AC25&lt;=1499,"2","1"))))</f>
        <v>1</v>
      </c>
      <c r="AG25" s="2">
        <f t="shared" ref="AG25" si="142">AE25*0.8+AF25*0.2</f>
        <v>1</v>
      </c>
      <c r="AH25" s="2" t="str">
        <f t="shared" ref="AH25" si="143">IF(AD25&gt;=5500,"5",IF(AD25&gt;=4800,"4",IF(AD25&gt;=3600,"3",IF(AD25&gt;=2400,"2","1"))))</f>
        <v>1</v>
      </c>
      <c r="AI25" s="10" t="s">
        <v>81</v>
      </c>
      <c r="AJ25" s="10" t="s">
        <v>82</v>
      </c>
      <c r="AK25" s="10" t="s">
        <v>48</v>
      </c>
      <c r="AL25" s="12">
        <v>699</v>
      </c>
      <c r="AM25" s="12">
        <v>32312</v>
      </c>
      <c r="AN25" s="12">
        <v>86621</v>
      </c>
      <c r="AO25" s="12">
        <v>2.8</v>
      </c>
      <c r="AP25" s="12">
        <v>205</v>
      </c>
      <c r="AQ25" s="12">
        <v>2471</v>
      </c>
      <c r="AR25" s="12">
        <v>1.8</v>
      </c>
      <c r="AS25" s="12">
        <v>0.5</v>
      </c>
      <c r="AT25" s="12">
        <v>0</v>
      </c>
      <c r="AU25" s="12">
        <v>1.2</v>
      </c>
      <c r="AV25" s="12">
        <f t="shared" ref="AV25" si="144">(AL25+AO25+AP25+AR25+AS25+AQ25)</f>
        <v>3380.1</v>
      </c>
      <c r="AW25" s="12" t="str">
        <f t="shared" ref="AW25" si="145">IF(AV25&gt;=23546,"5",IF(AV25&gt;=14870,"4",IF(AV25&gt;=6185,"3",IF(AV25&gt;=3943,"2","1"))))</f>
        <v>1</v>
      </c>
      <c r="AX25" s="12" t="str">
        <f t="shared" ref="AX25" si="146">IF(AT25&gt;=16,"5",IF(AT25&gt;=15,"4",IF(AT25&gt;=12,"3",IF(AT25&gt;=7,"2","1"))))</f>
        <v>1</v>
      </c>
      <c r="AY25" s="65">
        <f t="shared" ref="AY25" si="147">(AW25+AX25)/2</f>
        <v>1</v>
      </c>
      <c r="AZ25" s="12">
        <v>38</v>
      </c>
      <c r="BA25" s="12">
        <v>17</v>
      </c>
      <c r="BB25" s="12">
        <v>0.02</v>
      </c>
      <c r="BC25" s="12">
        <v>36</v>
      </c>
      <c r="BD25" s="65">
        <f t="shared" ref="BD25" si="148">BC25/BB25</f>
        <v>1800</v>
      </c>
      <c r="BE25" s="12" t="str">
        <f t="shared" ref="BE25" si="149">IF(AZ25&lt;=19,"5",IF(AZ25&lt;=23,"4",IF(AZ25&lt;=27,"3",IF(AZ25&lt;=33,"2","1"))))</f>
        <v>1</v>
      </c>
      <c r="BF25" s="12" t="str">
        <f t="shared" ref="BF25" si="150">IF(BD25&lt;=513,"5",IF(BD25&lt;=799,"4",IF(BD25&lt;=930,"3",IF(BD25&lt;=1499,"2","1"))))</f>
        <v>1</v>
      </c>
      <c r="BG25" s="12">
        <f t="shared" ref="BG25" si="151">(BE25+BF25)/2</f>
        <v>1</v>
      </c>
      <c r="BH25" s="12">
        <v>3</v>
      </c>
      <c r="BI25" s="12">
        <v>16.739999999999998</v>
      </c>
      <c r="BJ25" s="12"/>
      <c r="BK25" s="12">
        <v>41.84</v>
      </c>
      <c r="BL25" s="12"/>
      <c r="BM25" s="12" t="s">
        <v>61</v>
      </c>
      <c r="BN25" s="12"/>
      <c r="BO25" s="12"/>
      <c r="BP25" s="12"/>
      <c r="BQ25" s="12">
        <v>1</v>
      </c>
      <c r="BR25" s="12">
        <v>1</v>
      </c>
      <c r="BS25" s="12">
        <v>1</v>
      </c>
      <c r="BT25" s="12">
        <v>1</v>
      </c>
      <c r="BU25" s="12">
        <v>1</v>
      </c>
      <c r="BV25" s="12" t="s">
        <v>61</v>
      </c>
      <c r="BW25" s="12">
        <v>1</v>
      </c>
      <c r="BX25" s="12">
        <v>1987</v>
      </c>
      <c r="BY25" s="12">
        <f t="shared" ref="BY25" ca="1" si="152">YEAR(TODAY())-BX25</f>
        <v>39</v>
      </c>
      <c r="BZ25" s="12" t="str">
        <f t="shared" ref="BZ25" ca="1" si="153">IF(BY25&gt;=36,"5",IF(BY25&gt;=31,"4",IF(BY25&gt;=21,"3",IF(BY25&gt;=7,"2","1"))))</f>
        <v>5</v>
      </c>
      <c r="CA25" s="10">
        <v>1</v>
      </c>
      <c r="CB25" s="10">
        <v>1</v>
      </c>
      <c r="CC25" s="10">
        <v>1</v>
      </c>
      <c r="CD25" s="10">
        <v>1</v>
      </c>
      <c r="CE25" s="2">
        <v>1</v>
      </c>
      <c r="CF25" s="62">
        <v>2023</v>
      </c>
      <c r="CG25" s="10">
        <f t="shared" ca="1" si="22"/>
        <v>3</v>
      </c>
      <c r="CH25" s="10" t="str">
        <f t="shared" ca="1" si="23"/>
        <v>1</v>
      </c>
      <c r="CI25" s="10">
        <v>1</v>
      </c>
      <c r="CJ25" s="10">
        <v>1</v>
      </c>
      <c r="CK25" s="10">
        <f t="shared" ca="1" si="8"/>
        <v>1.1600000000000001</v>
      </c>
      <c r="CL25" s="10"/>
      <c r="CM25" s="10"/>
      <c r="CN25" s="10"/>
      <c r="CO25" s="10">
        <v>45.5</v>
      </c>
      <c r="CP25" s="10" t="s">
        <v>788</v>
      </c>
      <c r="CQ25" s="10"/>
      <c r="CR25" s="84"/>
      <c r="CS25" s="10"/>
      <c r="CT25" s="10"/>
      <c r="CU25" s="10"/>
    </row>
    <row r="26" spans="1:99" x14ac:dyDescent="0.2">
      <c r="B26" s="10">
        <v>30517</v>
      </c>
      <c r="C26" s="10">
        <v>60</v>
      </c>
      <c r="D26" s="2" t="s">
        <v>789</v>
      </c>
      <c r="E26" s="10" t="s">
        <v>387</v>
      </c>
      <c r="F26" s="10" t="s">
        <v>683</v>
      </c>
      <c r="G26" s="10" t="s">
        <v>70</v>
      </c>
      <c r="H26" s="10" t="s">
        <v>70</v>
      </c>
      <c r="I26" s="10">
        <v>3.5</v>
      </c>
      <c r="J26" s="10">
        <v>164</v>
      </c>
      <c r="K26" s="10">
        <v>410</v>
      </c>
      <c r="L26" s="10">
        <v>13.2</v>
      </c>
      <c r="M26" s="10">
        <v>183</v>
      </c>
      <c r="N26" s="10">
        <v>124</v>
      </c>
      <c r="O26" s="10">
        <v>162</v>
      </c>
      <c r="P26" s="10">
        <v>62284</v>
      </c>
      <c r="Q26" s="10">
        <v>1675</v>
      </c>
      <c r="R26" s="10">
        <v>0</v>
      </c>
      <c r="S26" s="2">
        <f t="shared" ref="S26:S27" si="154">SUM(I26+J26+L26+M26)</f>
        <v>363.7</v>
      </c>
      <c r="T26" s="2" t="str">
        <f t="shared" si="10"/>
        <v>4</v>
      </c>
      <c r="U26" s="2" t="str">
        <f t="shared" ref="U26:U27" si="155">IF(K26&gt;=750,"5",IF(K26&gt;=550,"4",IF(K26&gt;=300,"3",IF(K26&gt;=100,"2","1"))))</f>
        <v>3</v>
      </c>
      <c r="V26" s="2" t="str">
        <f t="shared" ref="V26:V27" si="156">IF(Q26&gt;=7001,"5",IF(Q26&gt;=5000,"4",IF(Q26&gt;=3000,"3",IF(Q26&gt;=1500,"2","1"))))</f>
        <v>2</v>
      </c>
      <c r="W26" s="2" t="str">
        <f t="shared" ref="W26:W27" si="157">IF(R26&gt;=7,"5",IF(R26&gt;=6,"4",IF(R26&gt;=5,"3",IF(R26&gt;=2,"2","1"))))</f>
        <v>1</v>
      </c>
      <c r="X26" s="2">
        <f t="shared" ref="X26:X27" si="158">(T26+U26+V26+W26)/5</f>
        <v>2</v>
      </c>
      <c r="Y26" s="10">
        <v>40</v>
      </c>
      <c r="Z26" s="10">
        <v>9</v>
      </c>
      <c r="AA26" s="10">
        <v>0.02</v>
      </c>
      <c r="AB26" s="10">
        <v>32.200000000000003</v>
      </c>
      <c r="AC26" s="2">
        <f t="shared" si="139"/>
        <v>1610</v>
      </c>
      <c r="AD26" s="10">
        <v>90</v>
      </c>
      <c r="AE26" s="2" t="str">
        <f t="shared" ref="AE26:AE27" si="159">IF(Y26&lt;=16,"5",IF(Y26&lt;=20,"4",IF(Y26&lt;=25,"3",IF(Y26&lt;=33,"2","1"))))</f>
        <v>1</v>
      </c>
      <c r="AF26" s="2" t="str">
        <f t="shared" ref="AF26:AF27" si="160">IF(AC26&lt;=713,"5",IF(AC26&lt;=999,"4",IF(AC26&lt;=1130,"3",IF(AC26&lt;=1499,"2","1"))))</f>
        <v>1</v>
      </c>
      <c r="AG26" s="2">
        <f t="shared" ref="AG26:AG27" si="161">AE26*0.8+AF26*0.2</f>
        <v>1</v>
      </c>
      <c r="AH26" s="2" t="str">
        <f t="shared" ref="AH26:AH27" si="162">IF(AD26&gt;=5500,"5",IF(AD26&gt;=4800,"4",IF(AD26&gt;=3600,"3",IF(AD26&gt;=2400,"2","1"))))</f>
        <v>1</v>
      </c>
      <c r="AI26" s="10" t="s">
        <v>81</v>
      </c>
      <c r="AJ26" s="10" t="s">
        <v>82</v>
      </c>
      <c r="AK26" s="10" t="s">
        <v>48</v>
      </c>
      <c r="AL26" s="12">
        <v>699</v>
      </c>
      <c r="AM26" s="12">
        <v>32312</v>
      </c>
      <c r="AN26" s="12">
        <v>86621</v>
      </c>
      <c r="AO26" s="12">
        <v>2.8</v>
      </c>
      <c r="AP26" s="12">
        <v>205</v>
      </c>
      <c r="AQ26" s="12">
        <v>2471</v>
      </c>
      <c r="AR26" s="12">
        <v>1.8</v>
      </c>
      <c r="AS26" s="12">
        <v>0.5</v>
      </c>
      <c r="AT26" s="12">
        <v>0</v>
      </c>
      <c r="AU26" s="12">
        <v>1.2</v>
      </c>
      <c r="AV26" s="12">
        <f t="shared" ref="AV26" si="163">(AL26+AO26+AP26+AR26+AS26+AQ26)</f>
        <v>3380.1</v>
      </c>
      <c r="AW26" s="12" t="str">
        <f t="shared" ref="AW26" si="164">IF(AV26&gt;=23546,"5",IF(AV26&gt;=14870,"4",IF(AV26&gt;=6185,"3",IF(AV26&gt;=3943,"2","1"))))</f>
        <v>1</v>
      </c>
      <c r="AX26" s="12" t="str">
        <f t="shared" ref="AX26" si="165">IF(AT26&gt;=16,"5",IF(AT26&gt;=15,"4",IF(AT26&gt;=12,"3",IF(AT26&gt;=7,"2","1"))))</f>
        <v>1</v>
      </c>
      <c r="AY26" s="65">
        <f t="shared" ref="AY26" si="166">(AW26+AX26)/2</f>
        <v>1</v>
      </c>
      <c r="AZ26" s="12">
        <v>38</v>
      </c>
      <c r="BA26" s="12">
        <v>17</v>
      </c>
      <c r="BB26" s="12">
        <v>0.02</v>
      </c>
      <c r="BC26" s="12">
        <v>36</v>
      </c>
      <c r="BD26" s="65">
        <f t="shared" ref="BD26" si="167">BC26/BB26</f>
        <v>1800</v>
      </c>
      <c r="BE26" s="12" t="str">
        <f t="shared" ref="BE26" si="168">IF(AZ26&lt;=19,"5",IF(AZ26&lt;=23,"4",IF(AZ26&lt;=27,"3",IF(AZ26&lt;=33,"2","1"))))</f>
        <v>1</v>
      </c>
      <c r="BF26" s="12" t="str">
        <f t="shared" ref="BF26" si="169">IF(BD26&lt;=513,"5",IF(BD26&lt;=799,"4",IF(BD26&lt;=930,"3",IF(BD26&lt;=1499,"2","1"))))</f>
        <v>1</v>
      </c>
      <c r="BG26" s="12">
        <f t="shared" ref="BG26" si="170">(BE26+BF26)/2</f>
        <v>1</v>
      </c>
      <c r="BH26" s="12">
        <v>3</v>
      </c>
      <c r="BI26" s="12">
        <v>16.739999999999998</v>
      </c>
      <c r="BJ26" s="12"/>
      <c r="BK26" s="12">
        <v>41.84</v>
      </c>
      <c r="BL26" s="12"/>
      <c r="BM26" s="12" t="s">
        <v>61</v>
      </c>
      <c r="BN26" s="12"/>
      <c r="BO26" s="12"/>
      <c r="BP26" s="12"/>
      <c r="BQ26" s="12">
        <v>1</v>
      </c>
      <c r="BR26" s="12">
        <v>1</v>
      </c>
      <c r="BS26" s="12">
        <v>1</v>
      </c>
      <c r="BT26" s="12">
        <v>1</v>
      </c>
      <c r="BU26" s="12">
        <v>1</v>
      </c>
      <c r="BV26" s="12" t="s">
        <v>61</v>
      </c>
      <c r="BW26" s="12">
        <v>1</v>
      </c>
      <c r="BX26" s="12">
        <v>1987</v>
      </c>
      <c r="BY26" s="12">
        <f t="shared" ref="BY26" ca="1" si="171">YEAR(TODAY())-BX26</f>
        <v>39</v>
      </c>
      <c r="BZ26" s="12" t="str">
        <f t="shared" ref="BZ26" ca="1" si="172">IF(BY26&gt;=36,"5",IF(BY26&gt;=31,"4",IF(BY26&gt;=21,"3",IF(BY26&gt;=7,"2","1"))))</f>
        <v>5</v>
      </c>
      <c r="CA26" s="10">
        <v>1</v>
      </c>
      <c r="CB26" s="10">
        <v>1</v>
      </c>
      <c r="CC26" s="10">
        <v>1</v>
      </c>
      <c r="CD26" s="10">
        <v>1</v>
      </c>
      <c r="CE26" s="2">
        <v>1</v>
      </c>
      <c r="CF26" s="62">
        <v>1998</v>
      </c>
      <c r="CG26" s="10">
        <f t="shared" ca="1" si="22"/>
        <v>28</v>
      </c>
      <c r="CH26" s="10" t="str">
        <f t="shared" ca="1" si="23"/>
        <v>4</v>
      </c>
      <c r="CI26" s="10">
        <v>1</v>
      </c>
      <c r="CJ26" s="10">
        <v>1</v>
      </c>
      <c r="CK26" s="10">
        <f t="shared" ca="1" si="8"/>
        <v>1.3499999999999999</v>
      </c>
      <c r="CL26" s="10"/>
      <c r="CM26" s="10"/>
      <c r="CN26" s="10"/>
      <c r="CO26" s="10">
        <v>110</v>
      </c>
      <c r="CP26" s="10">
        <v>66</v>
      </c>
      <c r="CQ26" s="10">
        <v>13.8</v>
      </c>
      <c r="CR26" s="84"/>
      <c r="CS26" s="10"/>
      <c r="CT26" s="10"/>
      <c r="CU26" s="10"/>
    </row>
    <row r="27" spans="1:99" ht="96" x14ac:dyDescent="0.2">
      <c r="B27" s="94">
        <v>338075</v>
      </c>
      <c r="C27" s="94">
        <v>6500</v>
      </c>
      <c r="D27" s="94"/>
      <c r="E27" s="94" t="s">
        <v>580</v>
      </c>
      <c r="F27" s="94" t="s">
        <v>582</v>
      </c>
      <c r="G27" s="94" t="s">
        <v>70</v>
      </c>
      <c r="H27" s="94" t="s">
        <v>70</v>
      </c>
      <c r="I27" s="94">
        <v>3.1</v>
      </c>
      <c r="J27" s="94">
        <v>44</v>
      </c>
      <c r="K27" s="94">
        <v>1085</v>
      </c>
      <c r="L27" s="11">
        <v>12.9</v>
      </c>
      <c r="M27" s="10">
        <v>13.9</v>
      </c>
      <c r="N27" s="10">
        <v>34</v>
      </c>
      <c r="O27" s="10">
        <v>3612</v>
      </c>
      <c r="P27" s="2">
        <v>63112</v>
      </c>
      <c r="Q27" s="10">
        <v>6523</v>
      </c>
      <c r="R27" s="10">
        <v>0</v>
      </c>
      <c r="S27" s="2">
        <f t="shared" si="154"/>
        <v>73.900000000000006</v>
      </c>
      <c r="T27" s="2" t="str">
        <f>IF(S27&gt;=401,"5",IF(S27&gt;=301,"4",IF(S27&gt;=201,"3",IF(S27&gt;=95,"2","1"))))</f>
        <v>1</v>
      </c>
      <c r="U27" s="2" t="str">
        <f t="shared" si="155"/>
        <v>5</v>
      </c>
      <c r="V27" s="2" t="str">
        <f t="shared" si="156"/>
        <v>4</v>
      </c>
      <c r="W27" s="2" t="str">
        <f t="shared" si="157"/>
        <v>1</v>
      </c>
      <c r="X27" s="2">
        <f t="shared" si="158"/>
        <v>2.2000000000000002</v>
      </c>
      <c r="Y27" s="10">
        <v>12</v>
      </c>
      <c r="Z27" s="10">
        <v>66</v>
      </c>
      <c r="AA27" s="10">
        <v>0.02</v>
      </c>
      <c r="AB27" s="10">
        <v>37</v>
      </c>
      <c r="AC27" s="2">
        <f t="shared" si="139"/>
        <v>1850</v>
      </c>
      <c r="AD27" s="2">
        <v>21</v>
      </c>
      <c r="AE27" s="2" t="str">
        <f t="shared" si="159"/>
        <v>5</v>
      </c>
      <c r="AF27" s="2" t="str">
        <f t="shared" si="160"/>
        <v>1</v>
      </c>
      <c r="AG27" s="2">
        <f t="shared" si="161"/>
        <v>4.2</v>
      </c>
      <c r="AH27" s="2" t="str">
        <f t="shared" si="162"/>
        <v>1</v>
      </c>
      <c r="AI27" s="10"/>
      <c r="AJ27" s="10"/>
      <c r="AK27" s="10"/>
      <c r="AL27" s="10">
        <v>236.55299999999997</v>
      </c>
      <c r="AM27" s="10" t="s">
        <v>61</v>
      </c>
      <c r="AN27" s="10" t="s">
        <v>61</v>
      </c>
      <c r="AO27" s="10">
        <v>87</v>
      </c>
      <c r="AP27" s="2" t="s">
        <v>841</v>
      </c>
      <c r="AQ27" s="2">
        <v>4</v>
      </c>
      <c r="AR27" s="2" t="s">
        <v>320</v>
      </c>
      <c r="AS27" s="3">
        <v>1</v>
      </c>
      <c r="AT27" s="3">
        <v>4</v>
      </c>
      <c r="AU27" s="10"/>
      <c r="AV27" s="10"/>
      <c r="AW27" s="2">
        <v>1</v>
      </c>
      <c r="AX27" s="10"/>
      <c r="CG27" s="10">
        <f t="shared" ca="1" si="22"/>
        <v>2026</v>
      </c>
      <c r="CH27" s="10" t="str">
        <f t="shared" ca="1" si="23"/>
        <v>5</v>
      </c>
      <c r="CI27" s="10">
        <v>1</v>
      </c>
      <c r="CJ27" s="10">
        <v>1</v>
      </c>
      <c r="CK27" s="10">
        <f t="shared" ca="1" si="8"/>
        <v>1.9960000000000002</v>
      </c>
      <c r="CN27" s="8" t="s">
        <v>889</v>
      </c>
    </row>
  </sheetData>
  <mergeCells count="4">
    <mergeCell ref="AL1:AU1"/>
    <mergeCell ref="AZ1:BD1"/>
    <mergeCell ref="BI1:BN1"/>
    <mergeCell ref="BS1:BV1"/>
  </mergeCells>
  <phoneticPr fontId="9"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6"/>
  <dimension ref="B1:W34"/>
  <sheetViews>
    <sheetView zoomScale="85" zoomScaleNormal="85" workbookViewId="0">
      <selection activeCell="E4" sqref="E4"/>
    </sheetView>
  </sheetViews>
  <sheetFormatPr baseColWidth="10" defaultRowHeight="15" x14ac:dyDescent="0.2"/>
  <cols>
    <col min="2" max="2" width="15.6640625" bestFit="1" customWidth="1"/>
    <col min="3" max="3" width="15.5" bestFit="1" customWidth="1"/>
    <col min="4" max="4" width="7.33203125" bestFit="1" customWidth="1"/>
    <col min="5" max="5" width="18.83203125" bestFit="1" customWidth="1"/>
    <col min="6" max="6" width="13.33203125" bestFit="1" customWidth="1"/>
    <col min="7" max="7" width="11" bestFit="1" customWidth="1"/>
    <col min="8" max="8" width="11.1640625" bestFit="1" customWidth="1"/>
    <col min="9" max="9" width="37.33203125" bestFit="1" customWidth="1"/>
    <col min="10" max="10" width="17" bestFit="1" customWidth="1"/>
    <col min="11" max="11" width="15.5" bestFit="1" customWidth="1"/>
    <col min="12" max="12" width="7.33203125" bestFit="1" customWidth="1"/>
    <col min="13" max="13" width="19.5" bestFit="1" customWidth="1"/>
    <col min="14" max="14" width="13.5" bestFit="1" customWidth="1"/>
    <col min="15" max="15" width="11" bestFit="1" customWidth="1"/>
    <col min="16" max="16" width="11.1640625" bestFit="1" customWidth="1"/>
    <col min="18" max="18" width="16.33203125" bestFit="1" customWidth="1"/>
    <col min="20" max="20" width="3.33203125" bestFit="1" customWidth="1"/>
    <col min="21" max="21" width="19.5" bestFit="1" customWidth="1"/>
  </cols>
  <sheetData>
    <row r="1" spans="2:23" x14ac:dyDescent="0.2">
      <c r="B1" s="48" t="s">
        <v>1</v>
      </c>
      <c r="C1" s="48" t="s">
        <v>2</v>
      </c>
      <c r="D1" s="48" t="s">
        <v>72</v>
      </c>
      <c r="E1" s="48" t="s">
        <v>3</v>
      </c>
      <c r="F1" s="48" t="s">
        <v>4</v>
      </c>
      <c r="G1" s="48" t="s">
        <v>5</v>
      </c>
      <c r="H1" s="47" t="s">
        <v>54</v>
      </c>
      <c r="I1" s="47" t="s">
        <v>669</v>
      </c>
      <c r="J1" s="1" t="s">
        <v>1</v>
      </c>
      <c r="K1" s="1" t="s">
        <v>2</v>
      </c>
      <c r="L1" s="1" t="s">
        <v>72</v>
      </c>
      <c r="M1" s="1" t="s">
        <v>3</v>
      </c>
      <c r="N1" s="1" t="s">
        <v>4</v>
      </c>
      <c r="O1" s="1" t="s">
        <v>5</v>
      </c>
      <c r="P1" s="47" t="s">
        <v>54</v>
      </c>
    </row>
    <row r="2" spans="2:23" x14ac:dyDescent="0.2">
      <c r="B2" s="2">
        <v>71145953</v>
      </c>
      <c r="C2" s="2">
        <v>2000</v>
      </c>
      <c r="D2" s="2" t="s">
        <v>73</v>
      </c>
      <c r="E2" s="49" t="s">
        <v>62</v>
      </c>
      <c r="F2" s="2" t="s">
        <v>63</v>
      </c>
      <c r="G2" s="2" t="s">
        <v>58</v>
      </c>
      <c r="H2" s="10">
        <v>5</v>
      </c>
      <c r="I2" s="10"/>
      <c r="J2" s="2">
        <v>71145953</v>
      </c>
      <c r="K2" s="2">
        <v>2000</v>
      </c>
      <c r="L2" s="2" t="s">
        <v>73</v>
      </c>
      <c r="M2" s="49" t="s">
        <v>62</v>
      </c>
      <c r="N2" s="2" t="s">
        <v>63</v>
      </c>
      <c r="O2" s="2" t="s">
        <v>58</v>
      </c>
      <c r="P2" s="10">
        <v>5</v>
      </c>
      <c r="R2" s="10" t="s">
        <v>151</v>
      </c>
      <c r="S2" s="10">
        <v>33000</v>
      </c>
      <c r="T2" s="10" t="s">
        <v>152</v>
      </c>
      <c r="U2" s="10" t="s">
        <v>153</v>
      </c>
      <c r="V2" s="10" t="s">
        <v>154</v>
      </c>
      <c r="W2" s="10" t="s">
        <v>70</v>
      </c>
    </row>
    <row r="3" spans="2:23" x14ac:dyDescent="0.2">
      <c r="B3" s="2">
        <v>1057609444</v>
      </c>
      <c r="C3" s="2">
        <v>6000</v>
      </c>
      <c r="D3" s="2" t="s">
        <v>73</v>
      </c>
      <c r="E3" s="2" t="s">
        <v>128</v>
      </c>
      <c r="F3" s="2" t="s">
        <v>129</v>
      </c>
      <c r="G3" s="2" t="s">
        <v>58</v>
      </c>
      <c r="H3" s="10">
        <v>5</v>
      </c>
      <c r="I3" s="10" t="s">
        <v>670</v>
      </c>
      <c r="J3" s="10">
        <v>582568</v>
      </c>
      <c r="K3" s="10">
        <v>20000</v>
      </c>
      <c r="L3" s="10" t="s">
        <v>152</v>
      </c>
      <c r="M3" s="50" t="s">
        <v>258</v>
      </c>
      <c r="N3" s="10" t="s">
        <v>259</v>
      </c>
      <c r="O3" s="10" t="s">
        <v>70</v>
      </c>
      <c r="P3" s="10">
        <v>5</v>
      </c>
      <c r="R3" s="10" t="s">
        <v>158</v>
      </c>
      <c r="S3" s="10">
        <v>33000</v>
      </c>
      <c r="T3" s="10" t="s">
        <v>152</v>
      </c>
      <c r="U3" s="10" t="s">
        <v>153</v>
      </c>
      <c r="V3" s="10" t="s">
        <v>159</v>
      </c>
      <c r="W3" s="10" t="s">
        <v>70</v>
      </c>
    </row>
    <row r="4" spans="2:23" x14ac:dyDescent="0.2">
      <c r="B4" s="2">
        <v>1933434</v>
      </c>
      <c r="C4" s="2">
        <v>20000</v>
      </c>
      <c r="D4" s="2" t="s">
        <v>152</v>
      </c>
      <c r="E4" s="9" t="s">
        <v>167</v>
      </c>
      <c r="F4" s="2" t="s">
        <v>176</v>
      </c>
      <c r="G4" s="2" t="s">
        <v>70</v>
      </c>
      <c r="H4" s="10">
        <v>5</v>
      </c>
      <c r="I4" s="10" t="s">
        <v>673</v>
      </c>
      <c r="J4" s="10" t="s">
        <v>337</v>
      </c>
      <c r="K4" s="10">
        <v>30000</v>
      </c>
      <c r="L4" s="10" t="s">
        <v>152</v>
      </c>
      <c r="M4" s="50" t="s">
        <v>334</v>
      </c>
      <c r="N4" s="10" t="s">
        <v>338</v>
      </c>
      <c r="O4" s="10" t="s">
        <v>58</v>
      </c>
      <c r="P4" s="10">
        <v>5</v>
      </c>
      <c r="R4" s="10" t="s">
        <v>190</v>
      </c>
      <c r="S4" s="10">
        <v>12000</v>
      </c>
      <c r="T4" s="10" t="s">
        <v>73</v>
      </c>
      <c r="U4" s="10" t="s">
        <v>187</v>
      </c>
      <c r="V4" s="10" t="s">
        <v>191</v>
      </c>
      <c r="W4" s="10" t="s">
        <v>70</v>
      </c>
    </row>
    <row r="5" spans="2:23" x14ac:dyDescent="0.2">
      <c r="B5" s="21">
        <v>582568</v>
      </c>
      <c r="C5" s="21">
        <v>20000</v>
      </c>
      <c r="D5" s="21" t="s">
        <v>152</v>
      </c>
      <c r="E5" s="49" t="s">
        <v>258</v>
      </c>
      <c r="F5" s="21" t="s">
        <v>259</v>
      </c>
      <c r="G5" s="21" t="s">
        <v>70</v>
      </c>
      <c r="H5" s="10">
        <v>5</v>
      </c>
      <c r="I5" s="10"/>
      <c r="J5" s="10" t="s">
        <v>389</v>
      </c>
      <c r="K5" s="10">
        <v>33000</v>
      </c>
      <c r="L5" s="10" t="s">
        <v>152</v>
      </c>
      <c r="M5" s="50" t="s">
        <v>387</v>
      </c>
      <c r="N5" s="10" t="s">
        <v>390</v>
      </c>
      <c r="O5" s="10" t="s">
        <v>70</v>
      </c>
      <c r="P5" s="10">
        <v>5</v>
      </c>
      <c r="R5" s="10">
        <v>518711157</v>
      </c>
      <c r="S5" s="10">
        <v>5000</v>
      </c>
      <c r="T5" s="10" t="s">
        <v>73</v>
      </c>
      <c r="U5" s="10" t="s">
        <v>206</v>
      </c>
      <c r="V5" s="10" t="s">
        <v>205</v>
      </c>
      <c r="W5" s="10" t="s">
        <v>58</v>
      </c>
    </row>
    <row r="6" spans="2:23" x14ac:dyDescent="0.2">
      <c r="B6" s="21" t="s">
        <v>337</v>
      </c>
      <c r="C6" s="21">
        <v>30000</v>
      </c>
      <c r="D6" s="21" t="s">
        <v>152</v>
      </c>
      <c r="E6" s="49" t="s">
        <v>334</v>
      </c>
      <c r="F6" s="21" t="s">
        <v>338</v>
      </c>
      <c r="G6" s="21" t="s">
        <v>58</v>
      </c>
      <c r="H6" s="10">
        <v>5</v>
      </c>
      <c r="I6" s="10"/>
      <c r="J6" s="10">
        <v>6817</v>
      </c>
      <c r="K6" s="10">
        <v>35000</v>
      </c>
      <c r="L6" s="10" t="s">
        <v>152</v>
      </c>
      <c r="M6" s="50" t="s">
        <v>425</v>
      </c>
      <c r="N6" s="10" t="s">
        <v>426</v>
      </c>
      <c r="O6" s="10" t="s">
        <v>70</v>
      </c>
      <c r="P6" s="10">
        <v>5</v>
      </c>
      <c r="R6" s="10" t="s">
        <v>231</v>
      </c>
      <c r="S6" s="10">
        <v>12500</v>
      </c>
      <c r="T6" s="10" t="s">
        <v>73</v>
      </c>
      <c r="U6" s="10" t="s">
        <v>232</v>
      </c>
      <c r="V6" s="10" t="s">
        <v>233</v>
      </c>
      <c r="W6" s="10" t="s">
        <v>58</v>
      </c>
    </row>
    <row r="7" spans="2:23" x14ac:dyDescent="0.2">
      <c r="B7" s="21" t="s">
        <v>350</v>
      </c>
      <c r="C7" s="21">
        <v>30000</v>
      </c>
      <c r="D7" s="21" t="s">
        <v>152</v>
      </c>
      <c r="E7" s="21" t="s">
        <v>351</v>
      </c>
      <c r="F7" s="21" t="s">
        <v>352</v>
      </c>
      <c r="G7" s="21" t="s">
        <v>58</v>
      </c>
      <c r="H7" s="10">
        <v>5</v>
      </c>
      <c r="I7" s="10" t="s">
        <v>671</v>
      </c>
      <c r="J7" s="10">
        <v>291240</v>
      </c>
      <c r="K7" s="10">
        <v>1600</v>
      </c>
      <c r="L7" s="10" t="s">
        <v>73</v>
      </c>
      <c r="M7" s="50" t="s">
        <v>492</v>
      </c>
      <c r="N7" s="10" t="s">
        <v>493</v>
      </c>
      <c r="O7" s="10" t="s">
        <v>70</v>
      </c>
      <c r="P7" s="10">
        <v>5</v>
      </c>
      <c r="R7" s="10" t="s">
        <v>254</v>
      </c>
      <c r="S7" s="10">
        <v>12500</v>
      </c>
      <c r="T7" s="10" t="s">
        <v>73</v>
      </c>
      <c r="U7" s="10" t="s">
        <v>251</v>
      </c>
      <c r="V7" s="10" t="s">
        <v>255</v>
      </c>
      <c r="W7" s="10" t="s">
        <v>125</v>
      </c>
    </row>
    <row r="8" spans="2:23" x14ac:dyDescent="0.2">
      <c r="B8" s="21" t="s">
        <v>389</v>
      </c>
      <c r="C8" s="21">
        <v>33000</v>
      </c>
      <c r="D8" s="21" t="s">
        <v>152</v>
      </c>
      <c r="E8" s="49" t="s">
        <v>387</v>
      </c>
      <c r="F8" s="21" t="s">
        <v>390</v>
      </c>
      <c r="G8" s="21" t="s">
        <v>70</v>
      </c>
      <c r="H8" s="10">
        <v>5</v>
      </c>
      <c r="I8" s="10"/>
      <c r="J8" s="10" t="s">
        <v>518</v>
      </c>
      <c r="K8" s="10">
        <v>14000</v>
      </c>
      <c r="L8" s="10" t="s">
        <v>73</v>
      </c>
      <c r="M8" s="50" t="s">
        <v>515</v>
      </c>
      <c r="N8" s="10" t="s">
        <v>519</v>
      </c>
      <c r="O8" s="10" t="s">
        <v>58</v>
      </c>
      <c r="P8" s="10">
        <v>5</v>
      </c>
      <c r="R8" s="10" t="s">
        <v>280</v>
      </c>
      <c r="S8" s="10">
        <v>14000</v>
      </c>
      <c r="T8" s="10" t="s">
        <v>73</v>
      </c>
      <c r="U8" s="10" t="s">
        <v>278</v>
      </c>
      <c r="V8" s="10" t="s">
        <v>281</v>
      </c>
      <c r="W8" s="10" t="s">
        <v>58</v>
      </c>
    </row>
    <row r="9" spans="2:23" x14ac:dyDescent="0.2">
      <c r="B9" s="21">
        <v>6817</v>
      </c>
      <c r="C9" s="21">
        <v>35000</v>
      </c>
      <c r="D9" s="21" t="s">
        <v>152</v>
      </c>
      <c r="E9" s="49" t="s">
        <v>425</v>
      </c>
      <c r="F9" s="21" t="s">
        <v>426</v>
      </c>
      <c r="G9" s="21" t="s">
        <v>70</v>
      </c>
      <c r="H9" s="10">
        <v>5</v>
      </c>
      <c r="I9" s="10"/>
      <c r="J9" s="10" t="s">
        <v>151</v>
      </c>
      <c r="K9" s="10">
        <v>33000</v>
      </c>
      <c r="L9" s="10" t="s">
        <v>152</v>
      </c>
      <c r="M9" s="12" t="s">
        <v>153</v>
      </c>
      <c r="N9" s="10" t="s">
        <v>154</v>
      </c>
      <c r="O9" s="10" t="s">
        <v>70</v>
      </c>
      <c r="P9" s="10">
        <v>4</v>
      </c>
      <c r="R9" s="10">
        <v>430659</v>
      </c>
      <c r="S9" s="10">
        <v>20000</v>
      </c>
      <c r="T9" s="10" t="s">
        <v>152</v>
      </c>
      <c r="U9" s="10" t="s">
        <v>324</v>
      </c>
      <c r="V9" s="10" t="s">
        <v>326</v>
      </c>
      <c r="W9" s="10" t="s">
        <v>70</v>
      </c>
    </row>
    <row r="10" spans="2:23" x14ac:dyDescent="0.2">
      <c r="B10" s="2">
        <v>291240</v>
      </c>
      <c r="C10" s="2">
        <v>1600</v>
      </c>
      <c r="D10" s="2" t="s">
        <v>73</v>
      </c>
      <c r="E10" s="49" t="s">
        <v>492</v>
      </c>
      <c r="F10" s="2" t="s">
        <v>493</v>
      </c>
      <c r="G10" s="2" t="s">
        <v>70</v>
      </c>
      <c r="H10" s="10">
        <v>5</v>
      </c>
      <c r="I10" s="10"/>
      <c r="J10" s="10" t="s">
        <v>158</v>
      </c>
      <c r="K10" s="10">
        <v>33000</v>
      </c>
      <c r="L10" s="10" t="s">
        <v>152</v>
      </c>
      <c r="M10" s="12" t="s">
        <v>153</v>
      </c>
      <c r="N10" s="10" t="s">
        <v>159</v>
      </c>
      <c r="O10" s="10" t="s">
        <v>70</v>
      </c>
      <c r="P10" s="10">
        <v>4</v>
      </c>
      <c r="R10" s="10">
        <v>200117</v>
      </c>
      <c r="S10" s="10">
        <v>12500</v>
      </c>
      <c r="T10" s="10" t="s">
        <v>73</v>
      </c>
      <c r="U10" s="10" t="s">
        <v>360</v>
      </c>
      <c r="V10" s="10" t="s">
        <v>361</v>
      </c>
      <c r="W10" s="10" t="s">
        <v>58</v>
      </c>
    </row>
    <row r="11" spans="2:23" x14ac:dyDescent="0.2">
      <c r="B11" s="2" t="s">
        <v>518</v>
      </c>
      <c r="C11" s="2">
        <v>14000</v>
      </c>
      <c r="D11" s="2" t="s">
        <v>73</v>
      </c>
      <c r="E11" s="49" t="s">
        <v>515</v>
      </c>
      <c r="F11" s="2" t="s">
        <v>519</v>
      </c>
      <c r="G11" s="2" t="s">
        <v>58</v>
      </c>
      <c r="H11" s="10">
        <v>5</v>
      </c>
      <c r="I11" s="10"/>
      <c r="J11" s="10" t="s">
        <v>190</v>
      </c>
      <c r="K11" s="10">
        <v>12000</v>
      </c>
      <c r="L11" s="10" t="s">
        <v>73</v>
      </c>
      <c r="M11" s="12" t="s">
        <v>187</v>
      </c>
      <c r="N11" s="10" t="s">
        <v>191</v>
      </c>
      <c r="O11" s="10" t="s">
        <v>70</v>
      </c>
      <c r="P11" s="10">
        <v>4</v>
      </c>
      <c r="R11" s="10" t="s">
        <v>397</v>
      </c>
      <c r="S11" s="10">
        <v>33000</v>
      </c>
      <c r="T11" s="10" t="s">
        <v>152</v>
      </c>
      <c r="U11" s="10" t="s">
        <v>398</v>
      </c>
      <c r="V11" s="10" t="s">
        <v>399</v>
      </c>
      <c r="W11" s="10" t="s">
        <v>70</v>
      </c>
    </row>
    <row r="12" spans="2:23" x14ac:dyDescent="0.2">
      <c r="B12" s="21">
        <v>181656</v>
      </c>
      <c r="C12" s="21">
        <v>5000</v>
      </c>
      <c r="D12" s="21" t="s">
        <v>73</v>
      </c>
      <c r="E12" s="21" t="s">
        <v>182</v>
      </c>
      <c r="F12" s="21" t="s">
        <v>183</v>
      </c>
      <c r="G12" s="21" t="s">
        <v>125</v>
      </c>
      <c r="H12" s="10">
        <v>4</v>
      </c>
      <c r="I12" s="10" t="s">
        <v>672</v>
      </c>
      <c r="J12" s="10">
        <v>518711157</v>
      </c>
      <c r="K12" s="10">
        <v>5000</v>
      </c>
      <c r="L12" s="10" t="s">
        <v>73</v>
      </c>
      <c r="M12" s="12" t="s">
        <v>206</v>
      </c>
      <c r="N12" s="10" t="s">
        <v>205</v>
      </c>
      <c r="O12" s="10" t="s">
        <v>58</v>
      </c>
      <c r="P12" s="10">
        <v>4</v>
      </c>
      <c r="R12" s="10" t="s">
        <v>401</v>
      </c>
      <c r="S12" s="10">
        <v>33000</v>
      </c>
      <c r="T12" s="10" t="s">
        <v>152</v>
      </c>
      <c r="U12" s="10" t="s">
        <v>398</v>
      </c>
      <c r="V12" s="10" t="s">
        <v>402</v>
      </c>
      <c r="W12" s="10" t="s">
        <v>70</v>
      </c>
    </row>
    <row r="13" spans="2:23" x14ac:dyDescent="0.2">
      <c r="B13" s="2">
        <v>148223</v>
      </c>
      <c r="C13" s="2">
        <v>500</v>
      </c>
      <c r="D13" s="2" t="s">
        <v>73</v>
      </c>
      <c r="E13" s="21" t="s">
        <v>304</v>
      </c>
      <c r="F13" s="9" t="s">
        <v>305</v>
      </c>
      <c r="G13" s="2" t="s">
        <v>58</v>
      </c>
      <c r="H13" s="10">
        <v>4</v>
      </c>
      <c r="I13" s="10"/>
      <c r="J13" s="10" t="s">
        <v>231</v>
      </c>
      <c r="K13" s="10">
        <v>12500</v>
      </c>
      <c r="L13" s="10" t="s">
        <v>73</v>
      </c>
      <c r="M13" s="12" t="s">
        <v>232</v>
      </c>
      <c r="N13" s="10" t="s">
        <v>233</v>
      </c>
      <c r="O13" s="10" t="s">
        <v>58</v>
      </c>
      <c r="P13" s="10">
        <v>4</v>
      </c>
      <c r="R13" s="10" t="s">
        <v>442</v>
      </c>
      <c r="S13" s="10">
        <v>40000</v>
      </c>
      <c r="T13" s="10" t="s">
        <v>134</v>
      </c>
      <c r="U13" s="10" t="s">
        <v>438</v>
      </c>
      <c r="V13" s="10" t="s">
        <v>443</v>
      </c>
      <c r="W13" s="10" t="s">
        <v>125</v>
      </c>
    </row>
    <row r="14" spans="2:23" x14ac:dyDescent="0.2">
      <c r="B14" s="2">
        <v>148224</v>
      </c>
      <c r="C14" s="2">
        <v>500</v>
      </c>
      <c r="D14" s="2" t="s">
        <v>73</v>
      </c>
      <c r="E14" s="21" t="s">
        <v>304</v>
      </c>
      <c r="F14" s="9" t="s">
        <v>308</v>
      </c>
      <c r="G14" s="2" t="s">
        <v>58</v>
      </c>
      <c r="H14" s="10">
        <v>4</v>
      </c>
      <c r="I14" s="10"/>
      <c r="J14" s="10"/>
      <c r="K14" s="10"/>
      <c r="L14" s="10"/>
      <c r="M14" s="10"/>
      <c r="N14" s="10"/>
      <c r="O14" s="10"/>
      <c r="P14" s="10"/>
      <c r="R14" s="10">
        <v>173510</v>
      </c>
      <c r="S14" s="10">
        <v>4000</v>
      </c>
      <c r="T14" s="10" t="s">
        <v>73</v>
      </c>
      <c r="U14" s="10" t="s">
        <v>486</v>
      </c>
      <c r="V14" s="10" t="s">
        <v>487</v>
      </c>
      <c r="W14" s="10" t="s">
        <v>125</v>
      </c>
    </row>
    <row r="15" spans="2:23" x14ac:dyDescent="0.2">
      <c r="B15" s="21">
        <v>430659</v>
      </c>
      <c r="C15" s="21">
        <v>20000</v>
      </c>
      <c r="D15" s="21" t="s">
        <v>152</v>
      </c>
      <c r="E15" s="49" t="s">
        <v>324</v>
      </c>
      <c r="F15" s="21" t="s">
        <v>326</v>
      </c>
      <c r="G15" s="21" t="s">
        <v>70</v>
      </c>
      <c r="H15" s="10">
        <v>4</v>
      </c>
      <c r="I15" s="10"/>
      <c r="J15" s="10" t="s">
        <v>254</v>
      </c>
      <c r="K15" s="10">
        <v>12500</v>
      </c>
      <c r="L15" s="10" t="s">
        <v>73</v>
      </c>
      <c r="M15" s="12" t="s">
        <v>251</v>
      </c>
      <c r="N15" s="10" t="s">
        <v>255</v>
      </c>
      <c r="O15" s="10" t="s">
        <v>125</v>
      </c>
      <c r="P15" s="10">
        <v>4</v>
      </c>
      <c r="R15" s="10">
        <v>1079537156</v>
      </c>
      <c r="S15" s="10">
        <v>6500</v>
      </c>
      <c r="T15" s="10" t="s">
        <v>73</v>
      </c>
      <c r="U15" s="10" t="s">
        <v>536</v>
      </c>
      <c r="V15" s="10" t="s">
        <v>537</v>
      </c>
      <c r="W15" s="10" t="s">
        <v>125</v>
      </c>
    </row>
    <row r="16" spans="2:23" x14ac:dyDescent="0.2">
      <c r="B16" s="2">
        <v>200117</v>
      </c>
      <c r="C16" s="2">
        <v>12500</v>
      </c>
      <c r="D16" s="13" t="s">
        <v>73</v>
      </c>
      <c r="E16" s="49" t="s">
        <v>360</v>
      </c>
      <c r="F16" s="2" t="s">
        <v>361</v>
      </c>
      <c r="G16" s="2" t="s">
        <v>58</v>
      </c>
      <c r="H16" s="10">
        <v>4</v>
      </c>
      <c r="I16" s="10"/>
      <c r="J16" s="10" t="s">
        <v>280</v>
      </c>
      <c r="K16" s="10">
        <v>14000</v>
      </c>
      <c r="L16" s="10" t="s">
        <v>73</v>
      </c>
      <c r="M16" s="12" t="s">
        <v>278</v>
      </c>
      <c r="N16" s="10" t="s">
        <v>281</v>
      </c>
      <c r="O16" s="10" t="s">
        <v>58</v>
      </c>
      <c r="P16" s="10">
        <v>4</v>
      </c>
      <c r="R16" s="10" t="s">
        <v>544</v>
      </c>
      <c r="S16" s="10">
        <v>8000</v>
      </c>
      <c r="T16" s="10" t="s">
        <v>73</v>
      </c>
      <c r="U16" s="10" t="s">
        <v>545</v>
      </c>
      <c r="V16" s="10" t="s">
        <v>546</v>
      </c>
      <c r="W16" s="10" t="s">
        <v>70</v>
      </c>
    </row>
    <row r="17" spans="2:23" x14ac:dyDescent="0.2">
      <c r="B17" s="2" t="s">
        <v>378</v>
      </c>
      <c r="C17" s="2">
        <v>20000</v>
      </c>
      <c r="D17" s="2" t="s">
        <v>152</v>
      </c>
      <c r="E17" s="2" t="s">
        <v>379</v>
      </c>
      <c r="F17" s="2" t="s">
        <v>380</v>
      </c>
      <c r="G17" s="2" t="s">
        <v>125</v>
      </c>
      <c r="H17" s="10">
        <v>4</v>
      </c>
      <c r="I17" s="10"/>
      <c r="J17" s="10">
        <v>430659</v>
      </c>
      <c r="K17" s="10">
        <v>20000</v>
      </c>
      <c r="L17" s="10" t="s">
        <v>152</v>
      </c>
      <c r="M17" s="50" t="s">
        <v>324</v>
      </c>
      <c r="N17" s="10" t="s">
        <v>326</v>
      </c>
      <c r="O17" s="10" t="s">
        <v>70</v>
      </c>
      <c r="P17" s="10">
        <v>4</v>
      </c>
      <c r="R17" s="10">
        <v>1079537144</v>
      </c>
      <c r="S17" s="10">
        <v>10000</v>
      </c>
      <c r="T17" s="10" t="s">
        <v>73</v>
      </c>
      <c r="U17" s="10" t="s">
        <v>561</v>
      </c>
      <c r="V17" s="10" t="s">
        <v>562</v>
      </c>
      <c r="W17" s="10" t="s">
        <v>125</v>
      </c>
    </row>
    <row r="18" spans="2:23" x14ac:dyDescent="0.2">
      <c r="B18" s="21" t="s">
        <v>401</v>
      </c>
      <c r="C18" s="21">
        <v>33000</v>
      </c>
      <c r="D18" s="21" t="s">
        <v>152</v>
      </c>
      <c r="E18" s="49" t="s">
        <v>398</v>
      </c>
      <c r="F18" s="21" t="s">
        <v>402</v>
      </c>
      <c r="G18" s="21" t="s">
        <v>70</v>
      </c>
      <c r="H18" s="10">
        <v>4</v>
      </c>
      <c r="I18" s="10"/>
      <c r="J18" s="10">
        <v>200117</v>
      </c>
      <c r="K18" s="10">
        <v>12500</v>
      </c>
      <c r="L18" s="10" t="s">
        <v>73</v>
      </c>
      <c r="M18" s="50" t="s">
        <v>360</v>
      </c>
      <c r="N18" s="10" t="s">
        <v>361</v>
      </c>
      <c r="O18" s="10" t="s">
        <v>58</v>
      </c>
      <c r="P18" s="10">
        <v>4</v>
      </c>
      <c r="R18" s="10">
        <v>338075</v>
      </c>
      <c r="S18" s="10">
        <v>6500</v>
      </c>
      <c r="T18" s="10" t="s">
        <v>73</v>
      </c>
      <c r="U18" s="10" t="s">
        <v>580</v>
      </c>
      <c r="V18" s="10" t="s">
        <v>582</v>
      </c>
      <c r="W18" s="10" t="s">
        <v>70</v>
      </c>
    </row>
    <row r="19" spans="2:23" x14ac:dyDescent="0.2">
      <c r="B19" s="2">
        <v>148223</v>
      </c>
      <c r="C19" s="2">
        <v>500</v>
      </c>
      <c r="D19" s="2" t="s">
        <v>73</v>
      </c>
      <c r="E19" s="2" t="s">
        <v>420</v>
      </c>
      <c r="F19" s="2" t="s">
        <v>421</v>
      </c>
      <c r="G19" s="2" t="s">
        <v>58</v>
      </c>
      <c r="H19" s="10">
        <v>4</v>
      </c>
      <c r="I19" s="10"/>
      <c r="J19" s="10" t="s">
        <v>397</v>
      </c>
      <c r="K19" s="10">
        <v>33000</v>
      </c>
      <c r="L19" s="10" t="s">
        <v>152</v>
      </c>
      <c r="M19" s="10" t="s">
        <v>398</v>
      </c>
      <c r="N19" s="10" t="s">
        <v>399</v>
      </c>
      <c r="O19" s="10" t="s">
        <v>70</v>
      </c>
      <c r="P19" s="10">
        <v>4</v>
      </c>
      <c r="R19" s="10">
        <v>64993953</v>
      </c>
      <c r="S19" s="10">
        <v>2000</v>
      </c>
      <c r="T19" s="10" t="s">
        <v>73</v>
      </c>
      <c r="U19" s="10" t="s">
        <v>583</v>
      </c>
      <c r="V19" s="10" t="s">
        <v>584</v>
      </c>
      <c r="W19" s="10" t="s">
        <v>58</v>
      </c>
    </row>
    <row r="20" spans="2:23" x14ac:dyDescent="0.2">
      <c r="B20" s="21" t="s">
        <v>468</v>
      </c>
      <c r="C20" s="21">
        <v>5000</v>
      </c>
      <c r="D20" s="21" t="s">
        <v>73</v>
      </c>
      <c r="E20" s="21" t="s">
        <v>464</v>
      </c>
      <c r="F20" s="21" t="s">
        <v>469</v>
      </c>
      <c r="G20" s="21" t="s">
        <v>125</v>
      </c>
      <c r="H20" s="10">
        <v>4</v>
      </c>
      <c r="I20" s="10" t="s">
        <v>672</v>
      </c>
      <c r="J20" s="10" t="s">
        <v>401</v>
      </c>
      <c r="K20" s="10">
        <v>33000</v>
      </c>
      <c r="L20" s="10" t="s">
        <v>152</v>
      </c>
      <c r="M20" s="50" t="s">
        <v>398</v>
      </c>
      <c r="N20" s="10" t="s">
        <v>402</v>
      </c>
      <c r="O20" s="10" t="s">
        <v>70</v>
      </c>
      <c r="P20" s="10">
        <v>4</v>
      </c>
      <c r="R20" s="10" t="s">
        <v>610</v>
      </c>
      <c r="S20" s="10">
        <v>45000</v>
      </c>
      <c r="T20" s="10" t="s">
        <v>134</v>
      </c>
      <c r="U20" s="10" t="s">
        <v>611</v>
      </c>
      <c r="V20" s="10" t="s">
        <v>612</v>
      </c>
      <c r="W20" s="10" t="s">
        <v>70</v>
      </c>
    </row>
    <row r="21" spans="2:23" x14ac:dyDescent="0.2">
      <c r="B21" s="2">
        <v>78750113</v>
      </c>
      <c r="C21" s="2">
        <v>5000</v>
      </c>
      <c r="D21" s="2" t="s">
        <v>73</v>
      </c>
      <c r="E21" s="9" t="s">
        <v>473</v>
      </c>
      <c r="F21" s="2" t="s">
        <v>474</v>
      </c>
      <c r="G21" s="2" t="s">
        <v>70</v>
      </c>
      <c r="H21" s="10">
        <v>4</v>
      </c>
      <c r="I21" s="10"/>
      <c r="J21" s="10" t="s">
        <v>442</v>
      </c>
      <c r="K21" s="10">
        <v>40000</v>
      </c>
      <c r="L21" s="10" t="s">
        <v>134</v>
      </c>
      <c r="M21" s="10" t="s">
        <v>438</v>
      </c>
      <c r="N21" s="10" t="s">
        <v>443</v>
      </c>
      <c r="O21" s="10" t="s">
        <v>125</v>
      </c>
      <c r="P21" s="10">
        <v>4</v>
      </c>
      <c r="R21" s="10" t="s">
        <v>621</v>
      </c>
      <c r="S21" s="10">
        <v>60000</v>
      </c>
      <c r="T21" s="10" t="s">
        <v>134</v>
      </c>
      <c r="U21" s="10" t="s">
        <v>622</v>
      </c>
      <c r="V21" s="10" t="s">
        <v>623</v>
      </c>
      <c r="W21" s="10" t="s">
        <v>125</v>
      </c>
    </row>
    <row r="22" spans="2:23" x14ac:dyDescent="0.2">
      <c r="B22" s="21">
        <v>200724</v>
      </c>
      <c r="C22" s="21">
        <v>30000</v>
      </c>
      <c r="D22" s="21" t="s">
        <v>152</v>
      </c>
      <c r="E22" s="21" t="s">
        <v>481</v>
      </c>
      <c r="F22" s="21" t="s">
        <v>482</v>
      </c>
      <c r="G22" s="21" t="s">
        <v>125</v>
      </c>
      <c r="H22" s="10">
        <v>4</v>
      </c>
      <c r="I22" s="10"/>
      <c r="J22" s="10">
        <v>173510</v>
      </c>
      <c r="K22" s="10">
        <v>4000</v>
      </c>
      <c r="L22" s="10" t="s">
        <v>73</v>
      </c>
      <c r="M22" s="50" t="s">
        <v>486</v>
      </c>
      <c r="N22" s="10" t="s">
        <v>487</v>
      </c>
      <c r="O22" s="10" t="s">
        <v>125</v>
      </c>
      <c r="P22" s="10">
        <v>4</v>
      </c>
      <c r="R22" s="10">
        <v>148232</v>
      </c>
      <c r="S22" s="10">
        <v>250</v>
      </c>
      <c r="T22" s="10" t="s">
        <v>73</v>
      </c>
      <c r="U22" s="10" t="s">
        <v>628</v>
      </c>
      <c r="V22" s="10" t="s">
        <v>630</v>
      </c>
      <c r="W22" s="10" t="s">
        <v>125</v>
      </c>
    </row>
    <row r="23" spans="2:23" x14ac:dyDescent="0.2">
      <c r="B23" s="21">
        <v>173510</v>
      </c>
      <c r="C23" s="21">
        <v>4000</v>
      </c>
      <c r="D23" s="21" t="s">
        <v>73</v>
      </c>
      <c r="E23" s="49" t="s">
        <v>486</v>
      </c>
      <c r="F23" s="21" t="s">
        <v>487</v>
      </c>
      <c r="G23" s="21" t="s">
        <v>125</v>
      </c>
      <c r="H23" s="10">
        <v>4</v>
      </c>
      <c r="I23" s="10"/>
      <c r="J23" s="10"/>
      <c r="K23" s="10"/>
      <c r="L23" s="10"/>
      <c r="M23" s="10"/>
      <c r="N23" s="10"/>
      <c r="O23" s="10"/>
      <c r="P23" s="10"/>
      <c r="R23" s="10" t="s">
        <v>642</v>
      </c>
      <c r="S23" s="10">
        <v>6000</v>
      </c>
      <c r="T23" s="10" t="s">
        <v>73</v>
      </c>
      <c r="U23" s="10" t="s">
        <v>639</v>
      </c>
      <c r="V23" s="10" t="s">
        <v>643</v>
      </c>
      <c r="W23" s="10" t="s">
        <v>70</v>
      </c>
    </row>
    <row r="24" spans="2:23" x14ac:dyDescent="0.2">
      <c r="B24" s="2">
        <v>266760</v>
      </c>
      <c r="C24" s="2">
        <v>3000</v>
      </c>
      <c r="D24" s="13" t="s">
        <v>73</v>
      </c>
      <c r="E24" s="2" t="s">
        <v>486</v>
      </c>
      <c r="F24" s="2" t="s">
        <v>489</v>
      </c>
      <c r="G24" s="2" t="s">
        <v>58</v>
      </c>
      <c r="H24" s="10">
        <v>4</v>
      </c>
      <c r="I24" s="10"/>
      <c r="J24" s="10" t="s">
        <v>544</v>
      </c>
      <c r="K24" s="10">
        <v>8000</v>
      </c>
      <c r="L24" s="10" t="s">
        <v>73</v>
      </c>
      <c r="M24" s="10" t="s">
        <v>545</v>
      </c>
      <c r="N24" s="10" t="s">
        <v>546</v>
      </c>
      <c r="O24" s="10" t="s">
        <v>70</v>
      </c>
      <c r="P24" s="10">
        <v>4</v>
      </c>
    </row>
    <row r="25" spans="2:23" x14ac:dyDescent="0.2">
      <c r="B25" s="2">
        <v>147862</v>
      </c>
      <c r="C25" s="2">
        <v>300</v>
      </c>
      <c r="D25" s="2" t="s">
        <v>73</v>
      </c>
      <c r="E25" s="2" t="s">
        <v>553</v>
      </c>
      <c r="F25" s="2" t="s">
        <v>554</v>
      </c>
      <c r="G25" s="2" t="s">
        <v>70</v>
      </c>
      <c r="H25" s="10">
        <v>4</v>
      </c>
      <c r="I25" s="10"/>
      <c r="J25" s="10"/>
      <c r="K25" s="10"/>
      <c r="L25" s="10"/>
      <c r="M25" s="10"/>
      <c r="N25" s="10"/>
      <c r="O25" s="10"/>
      <c r="P25" s="10"/>
    </row>
    <row r="26" spans="2:23" x14ac:dyDescent="0.2">
      <c r="B26" s="2">
        <v>21389</v>
      </c>
      <c r="C26" s="2">
        <v>4000</v>
      </c>
      <c r="D26" s="2" t="s">
        <v>73</v>
      </c>
      <c r="E26" s="21" t="s">
        <v>574</v>
      </c>
      <c r="F26" s="2" t="s">
        <v>575</v>
      </c>
      <c r="G26" s="2" t="s">
        <v>125</v>
      </c>
      <c r="H26" s="10">
        <v>4</v>
      </c>
      <c r="I26" s="10"/>
      <c r="J26" s="10">
        <v>338075</v>
      </c>
      <c r="K26" s="10">
        <v>6500</v>
      </c>
      <c r="L26" s="10" t="s">
        <v>73</v>
      </c>
      <c r="M26" s="10" t="s">
        <v>580</v>
      </c>
      <c r="N26" s="10" t="s">
        <v>582</v>
      </c>
      <c r="O26" s="10" t="s">
        <v>70</v>
      </c>
      <c r="P26" s="10">
        <v>4</v>
      </c>
    </row>
    <row r="27" spans="2:23" x14ac:dyDescent="0.2">
      <c r="B27" s="2">
        <v>64993953</v>
      </c>
      <c r="C27" s="2">
        <v>2000</v>
      </c>
      <c r="D27" s="2" t="s">
        <v>73</v>
      </c>
      <c r="E27" s="49" t="s">
        <v>583</v>
      </c>
      <c r="F27" s="2" t="s">
        <v>584</v>
      </c>
      <c r="G27" s="2" t="s">
        <v>58</v>
      </c>
      <c r="H27" s="10">
        <v>4</v>
      </c>
      <c r="I27" s="10"/>
      <c r="J27" s="10">
        <v>64993953</v>
      </c>
      <c r="K27" s="10">
        <v>2000</v>
      </c>
      <c r="L27" s="10" t="s">
        <v>73</v>
      </c>
      <c r="M27" s="50" t="s">
        <v>583</v>
      </c>
      <c r="N27" s="10" t="s">
        <v>584</v>
      </c>
      <c r="O27" s="10" t="s">
        <v>58</v>
      </c>
      <c r="P27" s="10">
        <v>4</v>
      </c>
    </row>
    <row r="28" spans="2:23" x14ac:dyDescent="0.2">
      <c r="B28" s="21">
        <v>24380109</v>
      </c>
      <c r="C28" s="21">
        <v>5000</v>
      </c>
      <c r="D28" s="21" t="s">
        <v>73</v>
      </c>
      <c r="E28" s="21" t="s">
        <v>632</v>
      </c>
      <c r="F28" s="21" t="s">
        <v>633</v>
      </c>
      <c r="G28" s="21" t="s">
        <v>125</v>
      </c>
      <c r="H28" s="10">
        <v>4</v>
      </c>
      <c r="I28" s="10"/>
      <c r="J28" s="10"/>
      <c r="K28" s="10"/>
      <c r="L28" s="10"/>
      <c r="M28" s="10"/>
      <c r="N28" s="10"/>
      <c r="O28" s="10"/>
      <c r="P28" s="10"/>
    </row>
    <row r="29" spans="2:23" x14ac:dyDescent="0.2">
      <c r="B29" s="2" t="s">
        <v>642</v>
      </c>
      <c r="C29" s="2">
        <v>6000</v>
      </c>
      <c r="D29" s="2" t="s">
        <v>73</v>
      </c>
      <c r="E29" s="5" t="s">
        <v>639</v>
      </c>
      <c r="F29" s="2" t="s">
        <v>643</v>
      </c>
      <c r="G29" s="2" t="s">
        <v>70</v>
      </c>
      <c r="H29" s="10">
        <v>4</v>
      </c>
      <c r="I29" s="10"/>
      <c r="J29" s="10" t="s">
        <v>610</v>
      </c>
      <c r="K29" s="10">
        <v>45000</v>
      </c>
      <c r="L29" s="10" t="s">
        <v>134</v>
      </c>
      <c r="M29" s="10" t="s">
        <v>611</v>
      </c>
      <c r="N29" s="10" t="s">
        <v>612</v>
      </c>
      <c r="O29" s="10" t="s">
        <v>70</v>
      </c>
      <c r="P29" s="10">
        <v>4</v>
      </c>
    </row>
    <row r="30" spans="2:23" x14ac:dyDescent="0.2">
      <c r="B30" s="21" t="s">
        <v>650</v>
      </c>
      <c r="C30" s="21">
        <v>35000</v>
      </c>
      <c r="D30" s="21" t="s">
        <v>152</v>
      </c>
      <c r="E30" s="21" t="s">
        <v>645</v>
      </c>
      <c r="F30" s="21" t="s">
        <v>651</v>
      </c>
      <c r="G30" s="21" t="s">
        <v>70</v>
      </c>
      <c r="H30" s="10">
        <v>4</v>
      </c>
      <c r="I30" s="10"/>
      <c r="J30" s="10" t="s">
        <v>621</v>
      </c>
      <c r="K30" s="10">
        <v>60000</v>
      </c>
      <c r="L30" s="10" t="s">
        <v>134</v>
      </c>
      <c r="M30" s="10" t="s">
        <v>622</v>
      </c>
      <c r="N30" s="10" t="s">
        <v>623</v>
      </c>
      <c r="O30" s="10" t="s">
        <v>125</v>
      </c>
      <c r="P30" s="10">
        <v>4</v>
      </c>
    </row>
    <row r="31" spans="2:23" x14ac:dyDescent="0.2">
      <c r="J31" s="10">
        <v>148232</v>
      </c>
      <c r="K31" s="10">
        <v>250</v>
      </c>
      <c r="L31" s="10" t="s">
        <v>73</v>
      </c>
      <c r="M31" s="10" t="s">
        <v>628</v>
      </c>
      <c r="N31" s="10" t="s">
        <v>630</v>
      </c>
      <c r="O31" s="10" t="s">
        <v>125</v>
      </c>
      <c r="P31" s="10">
        <v>4</v>
      </c>
    </row>
    <row r="32" spans="2:23" x14ac:dyDescent="0.2">
      <c r="J32" s="10" t="s">
        <v>642</v>
      </c>
      <c r="K32" s="10">
        <v>6000</v>
      </c>
      <c r="L32" s="10" t="s">
        <v>73</v>
      </c>
      <c r="M32" s="10" t="s">
        <v>639</v>
      </c>
      <c r="N32" s="10" t="s">
        <v>643</v>
      </c>
      <c r="O32" s="10" t="s">
        <v>70</v>
      </c>
      <c r="P32" s="10">
        <v>4</v>
      </c>
    </row>
    <row r="33" spans="10:16" x14ac:dyDescent="0.2">
      <c r="J33" s="10" t="s">
        <v>647</v>
      </c>
      <c r="K33" s="10">
        <v>35000</v>
      </c>
      <c r="L33" s="10" t="s">
        <v>152</v>
      </c>
      <c r="M33" s="10" t="s">
        <v>645</v>
      </c>
      <c r="N33" s="10" t="s">
        <v>648</v>
      </c>
      <c r="O33" s="10" t="s">
        <v>70</v>
      </c>
      <c r="P33" s="10">
        <v>4</v>
      </c>
    </row>
    <row r="34" spans="10:16" x14ac:dyDescent="0.2">
      <c r="J34" s="10" t="s">
        <v>650</v>
      </c>
      <c r="K34" s="10">
        <v>35000</v>
      </c>
      <c r="L34" s="10" t="s">
        <v>152</v>
      </c>
      <c r="M34" s="10" t="s">
        <v>645</v>
      </c>
      <c r="N34" s="10" t="s">
        <v>651</v>
      </c>
      <c r="O34" s="10" t="s">
        <v>70</v>
      </c>
      <c r="P34" s="10">
        <v>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7"/>
  <dimension ref="A1:I208"/>
  <sheetViews>
    <sheetView workbookViewId="0">
      <selection activeCell="D10" sqref="D10"/>
    </sheetView>
  </sheetViews>
  <sheetFormatPr baseColWidth="10" defaultRowHeight="15" x14ac:dyDescent="0.2"/>
  <cols>
    <col min="1" max="1" width="16.5" bestFit="1" customWidth="1"/>
  </cols>
  <sheetData>
    <row r="1" spans="1:2" x14ac:dyDescent="0.2">
      <c r="A1" t="s">
        <v>1</v>
      </c>
      <c r="B1" t="s">
        <v>667</v>
      </c>
    </row>
    <row r="2" spans="1:2" x14ac:dyDescent="0.2">
      <c r="A2" s="2">
        <v>64999953</v>
      </c>
    </row>
    <row r="3" spans="1:2" x14ac:dyDescent="0.2">
      <c r="A3" s="2" t="s">
        <v>78</v>
      </c>
    </row>
    <row r="4" spans="1:2" x14ac:dyDescent="0.2">
      <c r="A4" s="2">
        <v>71842703</v>
      </c>
    </row>
    <row r="5" spans="1:2" x14ac:dyDescent="0.2">
      <c r="A5" s="2">
        <v>71145953</v>
      </c>
      <c r="B5">
        <v>13726</v>
      </c>
    </row>
    <row r="6" spans="1:2" x14ac:dyDescent="0.2">
      <c r="A6" s="2" t="s">
        <v>117</v>
      </c>
      <c r="B6">
        <v>1</v>
      </c>
    </row>
    <row r="7" spans="1:2" x14ac:dyDescent="0.2">
      <c r="A7" s="2">
        <v>1079537152</v>
      </c>
    </row>
    <row r="8" spans="1:2" x14ac:dyDescent="0.2">
      <c r="A8" s="2">
        <v>200106</v>
      </c>
      <c r="B8">
        <v>900</v>
      </c>
    </row>
    <row r="9" spans="1:2" x14ac:dyDescent="0.2">
      <c r="A9" s="2">
        <v>1057609444</v>
      </c>
      <c r="B9">
        <v>14</v>
      </c>
    </row>
    <row r="10" spans="1:2" x14ac:dyDescent="0.2">
      <c r="A10" s="2" t="s">
        <v>133</v>
      </c>
      <c r="B10">
        <v>1</v>
      </c>
    </row>
    <row r="11" spans="1:2" x14ac:dyDescent="0.2">
      <c r="A11" s="2">
        <v>288055</v>
      </c>
      <c r="B11">
        <v>874</v>
      </c>
    </row>
    <row r="12" spans="1:2" x14ac:dyDescent="0.2">
      <c r="A12" s="2">
        <v>200005</v>
      </c>
      <c r="B12">
        <v>457</v>
      </c>
    </row>
    <row r="13" spans="1:2" x14ac:dyDescent="0.2">
      <c r="A13" s="2" t="s">
        <v>151</v>
      </c>
      <c r="B13">
        <v>569</v>
      </c>
    </row>
    <row r="14" spans="1:2" x14ac:dyDescent="0.2">
      <c r="A14" s="2" t="s">
        <v>158</v>
      </c>
      <c r="B14">
        <v>598</v>
      </c>
    </row>
    <row r="15" spans="1:2" x14ac:dyDescent="0.2">
      <c r="A15" s="2">
        <v>224109</v>
      </c>
    </row>
    <row r="16" spans="1:2" x14ac:dyDescent="0.2">
      <c r="A16" s="2">
        <v>1056109597</v>
      </c>
      <c r="B16">
        <v>1</v>
      </c>
    </row>
    <row r="17" spans="1:2" x14ac:dyDescent="0.2">
      <c r="A17" s="2" t="s">
        <v>166</v>
      </c>
      <c r="B17">
        <v>32</v>
      </c>
    </row>
    <row r="18" spans="1:2" x14ac:dyDescent="0.2">
      <c r="A18" s="2" t="s">
        <v>170</v>
      </c>
      <c r="B18">
        <v>76</v>
      </c>
    </row>
    <row r="19" spans="1:2" x14ac:dyDescent="0.2">
      <c r="A19" s="2" t="s">
        <v>427</v>
      </c>
      <c r="B19">
        <v>841</v>
      </c>
    </row>
    <row r="20" spans="1:2" x14ac:dyDescent="0.2">
      <c r="A20" s="2">
        <v>1933434</v>
      </c>
      <c r="B20">
        <v>1045</v>
      </c>
    </row>
    <row r="21" spans="1:2" x14ac:dyDescent="0.2">
      <c r="A21" s="2">
        <v>58982</v>
      </c>
      <c r="B21">
        <v>148</v>
      </c>
    </row>
    <row r="22" spans="1:2" x14ac:dyDescent="0.2">
      <c r="A22" s="2">
        <v>181656</v>
      </c>
    </row>
    <row r="23" spans="1:2" x14ac:dyDescent="0.2">
      <c r="A23" s="2">
        <v>1057609450</v>
      </c>
      <c r="B23">
        <v>1</v>
      </c>
    </row>
    <row r="24" spans="1:2" x14ac:dyDescent="0.2">
      <c r="A24" s="2" t="s">
        <v>190</v>
      </c>
      <c r="B24">
        <v>353</v>
      </c>
    </row>
    <row r="25" spans="1:2" x14ac:dyDescent="0.2">
      <c r="A25" s="2" t="s">
        <v>194</v>
      </c>
      <c r="B25">
        <v>1</v>
      </c>
    </row>
    <row r="26" spans="1:2" x14ac:dyDescent="0.2">
      <c r="A26" s="2">
        <v>316115</v>
      </c>
      <c r="B26">
        <v>45</v>
      </c>
    </row>
    <row r="27" spans="1:2" x14ac:dyDescent="0.2">
      <c r="A27" s="2">
        <v>1076935363</v>
      </c>
    </row>
    <row r="28" spans="1:2" x14ac:dyDescent="0.2">
      <c r="A28" s="2">
        <v>1057609404</v>
      </c>
    </row>
    <row r="29" spans="1:2" x14ac:dyDescent="0.2">
      <c r="A29" s="2">
        <v>98330</v>
      </c>
      <c r="B29">
        <v>1</v>
      </c>
    </row>
    <row r="30" spans="1:2" x14ac:dyDescent="0.2">
      <c r="A30" s="2">
        <v>1057609403</v>
      </c>
      <c r="B30">
        <v>1</v>
      </c>
    </row>
    <row r="31" spans="1:2" x14ac:dyDescent="0.2">
      <c r="A31" s="2">
        <v>7739</v>
      </c>
      <c r="B31">
        <v>1</v>
      </c>
    </row>
    <row r="32" spans="1:2" x14ac:dyDescent="0.2">
      <c r="A32" s="2">
        <v>201790</v>
      </c>
      <c r="B32">
        <v>1</v>
      </c>
    </row>
    <row r="33" spans="1:2" x14ac:dyDescent="0.2">
      <c r="A33" s="2">
        <v>201791</v>
      </c>
      <c r="B33">
        <v>1</v>
      </c>
    </row>
    <row r="34" spans="1:2" x14ac:dyDescent="0.2">
      <c r="A34" s="2">
        <v>358516</v>
      </c>
      <c r="B34">
        <v>306</v>
      </c>
    </row>
    <row r="35" spans="1:2" x14ac:dyDescent="0.2">
      <c r="A35" s="2">
        <v>1079537174</v>
      </c>
    </row>
    <row r="36" spans="1:2" x14ac:dyDescent="0.2">
      <c r="A36" s="2" t="s">
        <v>67</v>
      </c>
      <c r="B36">
        <v>1</v>
      </c>
    </row>
    <row r="37" spans="1:2" x14ac:dyDescent="0.2">
      <c r="A37" s="2">
        <v>200756</v>
      </c>
      <c r="B37">
        <v>48</v>
      </c>
    </row>
    <row r="38" spans="1:2" x14ac:dyDescent="0.2">
      <c r="A38" s="2">
        <v>1056008748</v>
      </c>
    </row>
    <row r="39" spans="1:2" x14ac:dyDescent="0.2">
      <c r="A39" s="2">
        <v>201508</v>
      </c>
      <c r="B39">
        <v>1</v>
      </c>
    </row>
    <row r="40" spans="1:2" x14ac:dyDescent="0.2">
      <c r="A40" s="2">
        <v>386780</v>
      </c>
      <c r="B40">
        <v>1</v>
      </c>
    </row>
    <row r="41" spans="1:2" x14ac:dyDescent="0.2">
      <c r="A41" s="2" t="s">
        <v>661</v>
      </c>
      <c r="B41">
        <v>196</v>
      </c>
    </row>
    <row r="42" spans="1:2" x14ac:dyDescent="0.2">
      <c r="A42" s="2">
        <v>1057609479</v>
      </c>
    </row>
    <row r="43" spans="1:2" x14ac:dyDescent="0.2">
      <c r="A43" s="2">
        <v>200100</v>
      </c>
    </row>
    <row r="44" spans="1:2" x14ac:dyDescent="0.2">
      <c r="A44" s="2" t="s">
        <v>240</v>
      </c>
      <c r="B44">
        <v>110</v>
      </c>
    </row>
    <row r="45" spans="1:2" x14ac:dyDescent="0.2">
      <c r="A45" s="2">
        <v>1057474126</v>
      </c>
      <c r="B45">
        <v>1</v>
      </c>
    </row>
    <row r="46" spans="1:2" x14ac:dyDescent="0.2">
      <c r="A46" s="2" t="s">
        <v>247</v>
      </c>
    </row>
    <row r="47" spans="1:2" x14ac:dyDescent="0.2">
      <c r="A47" s="2">
        <v>30900117</v>
      </c>
      <c r="B47">
        <v>1</v>
      </c>
    </row>
    <row r="48" spans="1:2" x14ac:dyDescent="0.2">
      <c r="A48" s="2" t="s">
        <v>254</v>
      </c>
      <c r="B48">
        <v>3810</v>
      </c>
    </row>
    <row r="49" spans="1:2" x14ac:dyDescent="0.2">
      <c r="A49" s="2">
        <v>582568</v>
      </c>
      <c r="B49">
        <v>716</v>
      </c>
    </row>
    <row r="50" spans="1:2" x14ac:dyDescent="0.2">
      <c r="A50" s="2">
        <v>1059084098</v>
      </c>
    </row>
    <row r="51" spans="1:2" x14ac:dyDescent="0.2">
      <c r="A51" s="2" t="s">
        <v>263</v>
      </c>
    </row>
    <row r="52" spans="1:2" x14ac:dyDescent="0.2">
      <c r="A52" s="2" t="s">
        <v>265</v>
      </c>
    </row>
    <row r="53" spans="1:2" x14ac:dyDescent="0.2">
      <c r="A53" s="2" t="s">
        <v>269</v>
      </c>
      <c r="B53">
        <v>217</v>
      </c>
    </row>
    <row r="54" spans="1:2" x14ac:dyDescent="0.2">
      <c r="A54" s="2">
        <v>1057201703</v>
      </c>
      <c r="B54">
        <v>1</v>
      </c>
    </row>
    <row r="55" spans="1:2" x14ac:dyDescent="0.2">
      <c r="A55" s="2">
        <v>839</v>
      </c>
    </row>
    <row r="56" spans="1:2" x14ac:dyDescent="0.2">
      <c r="A56" s="2">
        <v>19750108</v>
      </c>
      <c r="B56">
        <v>1328</v>
      </c>
    </row>
    <row r="57" spans="1:2" x14ac:dyDescent="0.2">
      <c r="A57" s="2">
        <v>200102</v>
      </c>
    </row>
    <row r="58" spans="1:2" x14ac:dyDescent="0.2">
      <c r="A58" s="2">
        <v>1080670133</v>
      </c>
    </row>
    <row r="59" spans="1:2" x14ac:dyDescent="0.2">
      <c r="A59" s="2" t="s">
        <v>280</v>
      </c>
      <c r="B59">
        <v>1950</v>
      </c>
    </row>
    <row r="60" spans="1:2" x14ac:dyDescent="0.2">
      <c r="A60" s="2">
        <v>78740113</v>
      </c>
      <c r="B60">
        <v>1</v>
      </c>
    </row>
    <row r="61" spans="1:2" x14ac:dyDescent="0.2">
      <c r="A61" s="2">
        <v>56190119</v>
      </c>
      <c r="B61">
        <v>1</v>
      </c>
    </row>
    <row r="62" spans="1:2" x14ac:dyDescent="0.2">
      <c r="A62" s="2">
        <v>1057474108</v>
      </c>
      <c r="B62">
        <v>1</v>
      </c>
    </row>
    <row r="63" spans="1:2" x14ac:dyDescent="0.2">
      <c r="A63" s="2">
        <v>1075810620</v>
      </c>
    </row>
    <row r="64" spans="1:2" x14ac:dyDescent="0.2">
      <c r="A64" s="2" t="s">
        <v>662</v>
      </c>
      <c r="B64">
        <v>326</v>
      </c>
    </row>
    <row r="65" spans="1:2" x14ac:dyDescent="0.2">
      <c r="A65" s="2">
        <v>506631</v>
      </c>
      <c r="B65">
        <v>1</v>
      </c>
    </row>
    <row r="66" spans="1:2" x14ac:dyDescent="0.2">
      <c r="A66" s="2">
        <v>1057609397</v>
      </c>
      <c r="B66">
        <v>1</v>
      </c>
    </row>
    <row r="67" spans="1:2" x14ac:dyDescent="0.2">
      <c r="A67" s="2">
        <v>55410119</v>
      </c>
      <c r="B67">
        <v>1</v>
      </c>
    </row>
    <row r="68" spans="1:2" x14ac:dyDescent="0.2">
      <c r="A68" s="2">
        <v>148241</v>
      </c>
      <c r="B68">
        <v>21</v>
      </c>
    </row>
    <row r="69" spans="1:2" x14ac:dyDescent="0.2">
      <c r="A69" s="2">
        <v>148238</v>
      </c>
      <c r="B69">
        <v>16</v>
      </c>
    </row>
    <row r="70" spans="1:2" x14ac:dyDescent="0.2">
      <c r="A70" s="2">
        <v>201103</v>
      </c>
      <c r="B70">
        <v>1</v>
      </c>
    </row>
    <row r="71" spans="1:2" x14ac:dyDescent="0.2">
      <c r="A71" s="2">
        <v>1079537151</v>
      </c>
    </row>
    <row r="72" spans="1:2" x14ac:dyDescent="0.2">
      <c r="A72" s="2">
        <v>1097131006</v>
      </c>
      <c r="B72">
        <v>1</v>
      </c>
    </row>
    <row r="73" spans="1:2" x14ac:dyDescent="0.2">
      <c r="A73" s="2">
        <v>148242</v>
      </c>
    </row>
    <row r="74" spans="1:2" x14ac:dyDescent="0.2">
      <c r="A74" s="2">
        <v>148236</v>
      </c>
      <c r="B74">
        <v>1</v>
      </c>
    </row>
    <row r="75" spans="1:2" x14ac:dyDescent="0.2">
      <c r="A75" s="2">
        <v>148239</v>
      </c>
      <c r="B75">
        <v>1</v>
      </c>
    </row>
    <row r="76" spans="1:2" x14ac:dyDescent="0.2">
      <c r="A76" s="2">
        <v>200714</v>
      </c>
      <c r="B76">
        <v>1</v>
      </c>
    </row>
    <row r="77" spans="1:2" x14ac:dyDescent="0.2">
      <c r="A77" s="2">
        <v>1057609449</v>
      </c>
      <c r="B77">
        <v>1</v>
      </c>
    </row>
    <row r="78" spans="1:2" x14ac:dyDescent="0.2">
      <c r="A78" s="2">
        <v>430659</v>
      </c>
      <c r="B78">
        <v>1680</v>
      </c>
    </row>
    <row r="79" spans="1:2" x14ac:dyDescent="0.2">
      <c r="A79" s="2" t="s">
        <v>663</v>
      </c>
      <c r="B79">
        <v>1346</v>
      </c>
    </row>
    <row r="80" spans="1:2" x14ac:dyDescent="0.2">
      <c r="A80" s="2">
        <v>200005</v>
      </c>
      <c r="B80">
        <v>1</v>
      </c>
    </row>
    <row r="81" spans="1:2" x14ac:dyDescent="0.2">
      <c r="A81" s="2">
        <v>649821107</v>
      </c>
    </row>
    <row r="82" spans="1:2" x14ac:dyDescent="0.2">
      <c r="A82" s="2">
        <v>9117073</v>
      </c>
      <c r="B82">
        <v>2805</v>
      </c>
    </row>
    <row r="83" spans="1:2" x14ac:dyDescent="0.2">
      <c r="A83" s="2">
        <v>200718</v>
      </c>
      <c r="B83">
        <v>40</v>
      </c>
    </row>
    <row r="84" spans="1:2" x14ac:dyDescent="0.2">
      <c r="A84" s="2" t="s">
        <v>337</v>
      </c>
      <c r="B84">
        <v>6134</v>
      </c>
    </row>
    <row r="85" spans="1:2" x14ac:dyDescent="0.2">
      <c r="A85" s="2">
        <v>1079537168</v>
      </c>
    </row>
    <row r="86" spans="1:2" x14ac:dyDescent="0.2">
      <c r="A86" s="2">
        <v>266761</v>
      </c>
      <c r="B86">
        <v>355</v>
      </c>
    </row>
    <row r="87" spans="1:2" x14ac:dyDescent="0.2">
      <c r="A87" s="2">
        <v>51660119</v>
      </c>
      <c r="B87">
        <v>1</v>
      </c>
    </row>
    <row r="88" spans="1:2" x14ac:dyDescent="0.2">
      <c r="A88" s="2">
        <v>291239</v>
      </c>
      <c r="B88">
        <v>1</v>
      </c>
    </row>
    <row r="89" spans="1:2" x14ac:dyDescent="0.2">
      <c r="A89" s="2" t="s">
        <v>350</v>
      </c>
      <c r="B89">
        <v>88</v>
      </c>
    </row>
    <row r="90" spans="1:2" x14ac:dyDescent="0.2">
      <c r="A90" s="2">
        <v>1054440599</v>
      </c>
      <c r="B90">
        <v>1</v>
      </c>
    </row>
    <row r="91" spans="1:2" x14ac:dyDescent="0.2">
      <c r="A91" s="2">
        <v>200719</v>
      </c>
      <c r="B91">
        <v>1</v>
      </c>
    </row>
    <row r="92" spans="1:2" x14ac:dyDescent="0.2">
      <c r="A92" s="2">
        <v>200117</v>
      </c>
      <c r="B92">
        <v>117</v>
      </c>
    </row>
    <row r="93" spans="1:2" x14ac:dyDescent="0.2">
      <c r="A93" s="2">
        <v>8681</v>
      </c>
    </row>
    <row r="94" spans="1:2" x14ac:dyDescent="0.2">
      <c r="A94" s="2">
        <v>1057609400</v>
      </c>
    </row>
    <row r="95" spans="1:2" x14ac:dyDescent="0.2">
      <c r="A95" s="2">
        <v>1057609396</v>
      </c>
    </row>
    <row r="96" spans="1:2" x14ac:dyDescent="0.2">
      <c r="A96" s="2" t="s">
        <v>370</v>
      </c>
    </row>
    <row r="97" spans="1:2" x14ac:dyDescent="0.2">
      <c r="A97" s="2">
        <v>253584</v>
      </c>
      <c r="B97">
        <v>41</v>
      </c>
    </row>
    <row r="98" spans="1:2" x14ac:dyDescent="0.2">
      <c r="A98" s="2">
        <v>55400119</v>
      </c>
      <c r="B98">
        <v>1</v>
      </c>
    </row>
    <row r="99" spans="1:2" x14ac:dyDescent="0.2">
      <c r="A99" s="2" t="s">
        <v>378</v>
      </c>
      <c r="B99">
        <v>2383</v>
      </c>
    </row>
    <row r="100" spans="1:2" x14ac:dyDescent="0.2">
      <c r="A100" s="2" t="s">
        <v>383</v>
      </c>
    </row>
    <row r="101" spans="1:2" x14ac:dyDescent="0.2">
      <c r="A101" s="2" t="s">
        <v>386</v>
      </c>
      <c r="B101">
        <v>347</v>
      </c>
    </row>
    <row r="102" spans="1:2" x14ac:dyDescent="0.2">
      <c r="A102" s="2" t="s">
        <v>389</v>
      </c>
      <c r="B102">
        <v>10793</v>
      </c>
    </row>
    <row r="103" spans="1:2" x14ac:dyDescent="0.2">
      <c r="A103" s="2">
        <v>56220119</v>
      </c>
    </row>
    <row r="104" spans="1:2" x14ac:dyDescent="0.2">
      <c r="A104" s="2">
        <v>183828</v>
      </c>
      <c r="B104">
        <v>4633</v>
      </c>
    </row>
    <row r="105" spans="1:2" x14ac:dyDescent="0.2">
      <c r="A105" s="2" t="s">
        <v>397</v>
      </c>
      <c r="B105">
        <v>210</v>
      </c>
    </row>
    <row r="106" spans="1:2" x14ac:dyDescent="0.2">
      <c r="A106" s="2" t="s">
        <v>401</v>
      </c>
      <c r="B106">
        <v>113</v>
      </c>
    </row>
    <row r="107" spans="1:2" x14ac:dyDescent="0.2">
      <c r="A107" s="2">
        <v>70480113</v>
      </c>
      <c r="B107">
        <v>15</v>
      </c>
    </row>
    <row r="108" spans="1:2" x14ac:dyDescent="0.2">
      <c r="A108" s="2">
        <v>518711157</v>
      </c>
      <c r="B108">
        <v>1525</v>
      </c>
    </row>
    <row r="109" spans="1:2" x14ac:dyDescent="0.2">
      <c r="A109" s="2">
        <v>1058585425</v>
      </c>
      <c r="B109">
        <v>1</v>
      </c>
    </row>
    <row r="110" spans="1:2" x14ac:dyDescent="0.2">
      <c r="A110" s="2">
        <v>1058585391</v>
      </c>
      <c r="B110">
        <v>1</v>
      </c>
    </row>
    <row r="111" spans="1:2" x14ac:dyDescent="0.2">
      <c r="A111" s="2">
        <v>153149</v>
      </c>
      <c r="B111">
        <v>74</v>
      </c>
    </row>
    <row r="112" spans="1:2" x14ac:dyDescent="0.2">
      <c r="A112" s="2">
        <v>56210119</v>
      </c>
    </row>
    <row r="113" spans="1:2" x14ac:dyDescent="0.2">
      <c r="A113" s="2">
        <v>288054</v>
      </c>
      <c r="B113">
        <v>322</v>
      </c>
    </row>
    <row r="114" spans="1:2" x14ac:dyDescent="0.2">
      <c r="A114" s="2">
        <v>1057609398</v>
      </c>
      <c r="B114">
        <v>1</v>
      </c>
    </row>
    <row r="115" spans="1:2" x14ac:dyDescent="0.2">
      <c r="A115" s="2">
        <v>148223</v>
      </c>
      <c r="B115">
        <v>1</v>
      </c>
    </row>
    <row r="116" spans="1:2" x14ac:dyDescent="0.2">
      <c r="A116" s="2">
        <v>148222</v>
      </c>
      <c r="B116">
        <v>1</v>
      </c>
    </row>
    <row r="117" spans="1:2" x14ac:dyDescent="0.2">
      <c r="A117" s="2">
        <v>148219</v>
      </c>
      <c r="B117">
        <v>1</v>
      </c>
    </row>
    <row r="118" spans="1:2" x14ac:dyDescent="0.2">
      <c r="A118" s="2">
        <v>6817</v>
      </c>
      <c r="B118">
        <v>5125</v>
      </c>
    </row>
    <row r="119" spans="1:2" x14ac:dyDescent="0.2">
      <c r="A119" s="2" t="s">
        <v>427</v>
      </c>
      <c r="B119">
        <v>49</v>
      </c>
    </row>
    <row r="120" spans="1:2" x14ac:dyDescent="0.2">
      <c r="A120" s="2">
        <v>224024</v>
      </c>
      <c r="B120">
        <v>1</v>
      </c>
    </row>
    <row r="121" spans="1:2" x14ac:dyDescent="0.2">
      <c r="A121" s="2">
        <v>201266</v>
      </c>
      <c r="B121">
        <v>1</v>
      </c>
    </row>
    <row r="122" spans="1:2" x14ac:dyDescent="0.2">
      <c r="A122" s="2">
        <v>176976</v>
      </c>
      <c r="B122">
        <v>139</v>
      </c>
    </row>
    <row r="123" spans="1:2" x14ac:dyDescent="0.2">
      <c r="A123" s="2">
        <v>1079537170</v>
      </c>
      <c r="B123">
        <v>139</v>
      </c>
    </row>
    <row r="124" spans="1:2" x14ac:dyDescent="0.2">
      <c r="A124" s="2" t="s">
        <v>437</v>
      </c>
      <c r="B124">
        <v>159</v>
      </c>
    </row>
    <row r="125" spans="1:2" x14ac:dyDescent="0.2">
      <c r="A125" s="2" t="s">
        <v>442</v>
      </c>
      <c r="B125">
        <v>82</v>
      </c>
    </row>
    <row r="126" spans="1:2" x14ac:dyDescent="0.2">
      <c r="A126" s="2" t="s">
        <v>445</v>
      </c>
    </row>
    <row r="127" spans="1:2" x14ac:dyDescent="0.2">
      <c r="A127" s="2">
        <v>1079537162</v>
      </c>
      <c r="B127">
        <v>0</v>
      </c>
    </row>
    <row r="128" spans="1:2" x14ac:dyDescent="0.2">
      <c r="A128" s="2" t="s">
        <v>450</v>
      </c>
      <c r="B128">
        <v>1</v>
      </c>
    </row>
    <row r="129" spans="1:2" x14ac:dyDescent="0.2">
      <c r="A129" s="2" t="s">
        <v>453</v>
      </c>
    </row>
    <row r="130" spans="1:2" x14ac:dyDescent="0.2">
      <c r="A130" s="2">
        <v>251127</v>
      </c>
      <c r="B130">
        <v>45</v>
      </c>
    </row>
    <row r="131" spans="1:2" x14ac:dyDescent="0.2">
      <c r="A131" s="2">
        <v>201104</v>
      </c>
      <c r="B131">
        <v>30</v>
      </c>
    </row>
    <row r="132" spans="1:2" x14ac:dyDescent="0.2">
      <c r="A132" s="2">
        <v>1057609443</v>
      </c>
      <c r="B132">
        <v>1</v>
      </c>
    </row>
    <row r="133" spans="1:2" x14ac:dyDescent="0.2">
      <c r="A133" s="2" t="s">
        <v>664</v>
      </c>
      <c r="B133">
        <v>0</v>
      </c>
    </row>
    <row r="134" spans="1:2" x14ac:dyDescent="0.2">
      <c r="A134" s="2">
        <v>201789</v>
      </c>
      <c r="B134">
        <v>1</v>
      </c>
    </row>
    <row r="135" spans="1:2" x14ac:dyDescent="0.2">
      <c r="A135" s="2">
        <v>55390119</v>
      </c>
    </row>
    <row r="136" spans="1:2" x14ac:dyDescent="0.2">
      <c r="A136" s="2" t="s">
        <v>468</v>
      </c>
    </row>
    <row r="137" spans="1:2" x14ac:dyDescent="0.2">
      <c r="A137" s="2">
        <v>1079537166</v>
      </c>
    </row>
    <row r="138" spans="1:2" x14ac:dyDescent="0.2">
      <c r="A138" s="2">
        <v>78750113</v>
      </c>
    </row>
    <row r="139" spans="1:2" x14ac:dyDescent="0.2">
      <c r="A139" s="2">
        <v>30514</v>
      </c>
      <c r="B139">
        <v>1</v>
      </c>
    </row>
    <row r="140" spans="1:2" x14ac:dyDescent="0.2">
      <c r="A140" s="2">
        <v>98334853</v>
      </c>
      <c r="B140">
        <v>43</v>
      </c>
    </row>
    <row r="141" spans="1:2" x14ac:dyDescent="0.2">
      <c r="A141" s="2">
        <v>200724</v>
      </c>
      <c r="B141">
        <v>14</v>
      </c>
    </row>
    <row r="142" spans="1:2" x14ac:dyDescent="0.2">
      <c r="A142" s="2">
        <v>200108</v>
      </c>
      <c r="B142">
        <v>33</v>
      </c>
    </row>
    <row r="143" spans="1:2" x14ac:dyDescent="0.2">
      <c r="A143" s="2">
        <v>173510</v>
      </c>
    </row>
    <row r="144" spans="1:2" x14ac:dyDescent="0.2">
      <c r="A144" s="2">
        <v>266760</v>
      </c>
      <c r="B144">
        <v>300</v>
      </c>
    </row>
    <row r="145" spans="1:9" x14ac:dyDescent="0.2">
      <c r="A145" s="2">
        <v>291240</v>
      </c>
      <c r="B145">
        <v>1</v>
      </c>
    </row>
    <row r="146" spans="1:9" x14ac:dyDescent="0.2">
      <c r="A146" s="2">
        <v>200713</v>
      </c>
      <c r="B146">
        <v>16</v>
      </c>
    </row>
    <row r="147" spans="1:9" x14ac:dyDescent="0.2">
      <c r="A147" s="2">
        <v>266762</v>
      </c>
      <c r="B147">
        <v>2357</v>
      </c>
      <c r="G147" s="10" t="s">
        <v>54</v>
      </c>
      <c r="H147" s="10" t="s">
        <v>660</v>
      </c>
      <c r="I147" s="10" t="s">
        <v>668</v>
      </c>
    </row>
    <row r="148" spans="1:9" x14ac:dyDescent="0.2">
      <c r="A148" s="2">
        <v>201259</v>
      </c>
      <c r="G148" s="10">
        <v>1</v>
      </c>
      <c r="H148" s="10">
        <v>101</v>
      </c>
      <c r="I148" s="10">
        <v>102</v>
      </c>
    </row>
    <row r="149" spans="1:9" x14ac:dyDescent="0.2">
      <c r="A149" s="2" t="s">
        <v>503</v>
      </c>
      <c r="G149" s="10">
        <v>2</v>
      </c>
      <c r="H149" s="10">
        <v>21</v>
      </c>
      <c r="I149" s="10">
        <v>11</v>
      </c>
    </row>
    <row r="150" spans="1:9" x14ac:dyDescent="0.2">
      <c r="A150" s="2">
        <v>1058995730</v>
      </c>
      <c r="B150">
        <v>1</v>
      </c>
      <c r="G150" s="10">
        <v>3</v>
      </c>
      <c r="H150" s="10">
        <v>52</v>
      </c>
      <c r="I150" s="10">
        <v>58</v>
      </c>
    </row>
    <row r="151" spans="1:9" x14ac:dyDescent="0.2">
      <c r="A151" s="2">
        <v>288861</v>
      </c>
      <c r="B151">
        <v>261</v>
      </c>
      <c r="G151" s="10">
        <v>4</v>
      </c>
      <c r="H151" s="10">
        <v>19</v>
      </c>
      <c r="I151" s="10">
        <v>26</v>
      </c>
    </row>
    <row r="152" spans="1:9" x14ac:dyDescent="0.2">
      <c r="A152" s="2">
        <v>154224</v>
      </c>
      <c r="B152">
        <v>0</v>
      </c>
      <c r="G152" s="10">
        <v>5</v>
      </c>
      <c r="H152" s="10">
        <v>10</v>
      </c>
      <c r="I152" s="10">
        <v>7</v>
      </c>
    </row>
    <row r="153" spans="1:9" x14ac:dyDescent="0.2">
      <c r="A153" s="2" t="s">
        <v>513</v>
      </c>
      <c r="B153">
        <v>0</v>
      </c>
    </row>
    <row r="154" spans="1:9" x14ac:dyDescent="0.2">
      <c r="A154" s="2">
        <v>1057609451</v>
      </c>
      <c r="B154">
        <v>1</v>
      </c>
    </row>
    <row r="155" spans="1:9" x14ac:dyDescent="0.2">
      <c r="A155" s="2">
        <v>200723</v>
      </c>
      <c r="B155">
        <v>108</v>
      </c>
    </row>
    <row r="156" spans="1:9" x14ac:dyDescent="0.2">
      <c r="A156" s="2" t="s">
        <v>518</v>
      </c>
      <c r="B156">
        <v>6134</v>
      </c>
    </row>
    <row r="157" spans="1:9" x14ac:dyDescent="0.2">
      <c r="A157" s="2" t="s">
        <v>521</v>
      </c>
      <c r="B157">
        <v>0</v>
      </c>
    </row>
    <row r="158" spans="1:9" x14ac:dyDescent="0.2">
      <c r="A158" s="2">
        <v>20050108</v>
      </c>
      <c r="B158">
        <v>0</v>
      </c>
    </row>
    <row r="159" spans="1:9" x14ac:dyDescent="0.2">
      <c r="A159" s="2" t="s">
        <v>526</v>
      </c>
      <c r="B159">
        <v>0</v>
      </c>
    </row>
    <row r="160" spans="1:9" x14ac:dyDescent="0.2">
      <c r="A160" s="2">
        <v>20020108</v>
      </c>
      <c r="B160">
        <v>0</v>
      </c>
    </row>
    <row r="161" spans="1:2" x14ac:dyDescent="0.2">
      <c r="A161" s="2">
        <v>16988349</v>
      </c>
    </row>
    <row r="162" spans="1:2" x14ac:dyDescent="0.2">
      <c r="A162" s="2">
        <v>27160109</v>
      </c>
    </row>
    <row r="163" spans="1:2" x14ac:dyDescent="0.2">
      <c r="A163" s="2">
        <v>288053</v>
      </c>
      <c r="B163">
        <v>0</v>
      </c>
    </row>
    <row r="164" spans="1:2" x14ac:dyDescent="0.2">
      <c r="A164" s="2">
        <v>1079537156</v>
      </c>
      <c r="B164">
        <v>0</v>
      </c>
    </row>
    <row r="165" spans="1:2" x14ac:dyDescent="0.2">
      <c r="A165" s="2">
        <v>320662</v>
      </c>
      <c r="B165">
        <v>51</v>
      </c>
    </row>
    <row r="166" spans="1:2" x14ac:dyDescent="0.2">
      <c r="A166" s="2">
        <v>10158</v>
      </c>
      <c r="B166">
        <v>1</v>
      </c>
    </row>
    <row r="167" spans="1:2" x14ac:dyDescent="0.2">
      <c r="A167" s="2" t="s">
        <v>544</v>
      </c>
      <c r="B167">
        <v>254</v>
      </c>
    </row>
    <row r="168" spans="1:2" x14ac:dyDescent="0.2">
      <c r="A168" s="2">
        <v>55420119</v>
      </c>
      <c r="B168">
        <v>1</v>
      </c>
    </row>
    <row r="169" spans="1:2" x14ac:dyDescent="0.2">
      <c r="A169" s="2">
        <v>338077</v>
      </c>
      <c r="B169">
        <v>37</v>
      </c>
    </row>
    <row r="170" spans="1:2" x14ac:dyDescent="0.2">
      <c r="A170" s="2">
        <v>147862</v>
      </c>
      <c r="B170">
        <v>45</v>
      </c>
    </row>
    <row r="171" spans="1:2" x14ac:dyDescent="0.2">
      <c r="A171" s="2">
        <v>200025</v>
      </c>
      <c r="B171">
        <v>0</v>
      </c>
    </row>
    <row r="172" spans="1:2" x14ac:dyDescent="0.2">
      <c r="A172" s="2">
        <v>291382</v>
      </c>
      <c r="B172">
        <v>135</v>
      </c>
    </row>
    <row r="173" spans="1:2" x14ac:dyDescent="0.2">
      <c r="A173" s="2">
        <v>1079537144</v>
      </c>
    </row>
    <row r="174" spans="1:2" x14ac:dyDescent="0.2">
      <c r="A174" s="2">
        <v>78760113</v>
      </c>
    </row>
    <row r="175" spans="1:2" x14ac:dyDescent="0.2">
      <c r="A175" s="2">
        <v>1079537164</v>
      </c>
    </row>
    <row r="176" spans="1:2" x14ac:dyDescent="0.2">
      <c r="A176" s="2" t="s">
        <v>567</v>
      </c>
      <c r="B176">
        <v>1</v>
      </c>
    </row>
    <row r="177" spans="1:2" x14ac:dyDescent="0.2">
      <c r="A177" s="2">
        <v>1079537199</v>
      </c>
    </row>
    <row r="178" spans="1:2" x14ac:dyDescent="0.2">
      <c r="A178" s="2">
        <v>21389</v>
      </c>
      <c r="B178">
        <v>0</v>
      </c>
    </row>
    <row r="179" spans="1:2" x14ac:dyDescent="0.2">
      <c r="A179" s="2">
        <v>1079537070</v>
      </c>
    </row>
    <row r="180" spans="1:2" x14ac:dyDescent="0.2">
      <c r="A180" s="2">
        <v>78730113</v>
      </c>
      <c r="B180">
        <v>0</v>
      </c>
    </row>
    <row r="181" spans="1:2" x14ac:dyDescent="0.2">
      <c r="A181" s="2">
        <v>32710117</v>
      </c>
      <c r="B181">
        <v>1</v>
      </c>
    </row>
    <row r="182" spans="1:2" x14ac:dyDescent="0.2">
      <c r="A182" s="2">
        <v>64993953</v>
      </c>
    </row>
    <row r="183" spans="1:2" x14ac:dyDescent="0.2">
      <c r="A183" s="2">
        <v>253585</v>
      </c>
      <c r="B183">
        <v>0</v>
      </c>
    </row>
    <row r="184" spans="1:2" x14ac:dyDescent="0.2">
      <c r="A184" s="2">
        <v>65007</v>
      </c>
      <c r="B184">
        <v>0</v>
      </c>
    </row>
    <row r="185" spans="1:2" x14ac:dyDescent="0.2">
      <c r="A185" s="2" t="s">
        <v>588</v>
      </c>
    </row>
    <row r="186" spans="1:2" x14ac:dyDescent="0.2">
      <c r="A186" s="2" t="s">
        <v>592</v>
      </c>
      <c r="B186">
        <v>1</v>
      </c>
    </row>
    <row r="187" spans="1:2" x14ac:dyDescent="0.2">
      <c r="A187" s="2">
        <v>338075</v>
      </c>
      <c r="B187">
        <v>11095</v>
      </c>
    </row>
    <row r="188" spans="1:2" x14ac:dyDescent="0.2">
      <c r="A188" s="2">
        <v>200026</v>
      </c>
      <c r="B188">
        <v>0</v>
      </c>
    </row>
    <row r="189" spans="1:2" x14ac:dyDescent="0.2">
      <c r="A189" s="2">
        <v>200727</v>
      </c>
    </row>
    <row r="190" spans="1:2" x14ac:dyDescent="0.2">
      <c r="A190" s="2">
        <v>78710113</v>
      </c>
      <c r="B190">
        <v>111</v>
      </c>
    </row>
    <row r="191" spans="1:2" x14ac:dyDescent="0.2">
      <c r="A191" s="2" t="s">
        <v>604</v>
      </c>
    </row>
    <row r="192" spans="1:2" x14ac:dyDescent="0.2">
      <c r="A192" s="2">
        <v>200715</v>
      </c>
      <c r="B192">
        <v>215</v>
      </c>
    </row>
    <row r="193" spans="1:2" x14ac:dyDescent="0.2">
      <c r="A193" s="2">
        <v>1072462800</v>
      </c>
    </row>
    <row r="194" spans="1:2" x14ac:dyDescent="0.2">
      <c r="A194" s="2" t="s">
        <v>610</v>
      </c>
      <c r="B194">
        <v>72</v>
      </c>
    </row>
    <row r="195" spans="1:2" x14ac:dyDescent="0.2">
      <c r="A195" s="2">
        <v>200031</v>
      </c>
      <c r="B195">
        <v>71</v>
      </c>
    </row>
    <row r="196" spans="1:2" x14ac:dyDescent="0.2">
      <c r="A196" s="2" t="s">
        <v>665</v>
      </c>
    </row>
    <row r="197" spans="1:2" x14ac:dyDescent="0.2">
      <c r="A197" s="2" t="s">
        <v>621</v>
      </c>
    </row>
    <row r="198" spans="1:2" x14ac:dyDescent="0.2">
      <c r="A198" s="2" t="s">
        <v>625</v>
      </c>
      <c r="B198">
        <v>1</v>
      </c>
    </row>
    <row r="199" spans="1:2" x14ac:dyDescent="0.2">
      <c r="A199" s="2">
        <v>148234</v>
      </c>
      <c r="B199">
        <v>0</v>
      </c>
    </row>
    <row r="200" spans="1:2" x14ac:dyDescent="0.2">
      <c r="A200" s="2">
        <v>148232</v>
      </c>
      <c r="B200">
        <v>0</v>
      </c>
    </row>
    <row r="201" spans="1:2" x14ac:dyDescent="0.2">
      <c r="A201" s="2">
        <v>112268</v>
      </c>
      <c r="B201">
        <v>0</v>
      </c>
    </row>
    <row r="202" spans="1:2" x14ac:dyDescent="0.2">
      <c r="A202" s="2">
        <v>24380109</v>
      </c>
      <c r="B202">
        <v>0</v>
      </c>
    </row>
    <row r="203" spans="1:2" x14ac:dyDescent="0.2">
      <c r="A203" s="2">
        <v>1079537104</v>
      </c>
    </row>
    <row r="204" spans="1:2" x14ac:dyDescent="0.2">
      <c r="A204" s="2">
        <v>1081030760</v>
      </c>
    </row>
    <row r="205" spans="1:2" x14ac:dyDescent="0.2">
      <c r="A205" s="2" t="s">
        <v>638</v>
      </c>
      <c r="B205">
        <v>395</v>
      </c>
    </row>
    <row r="206" spans="1:2" x14ac:dyDescent="0.2">
      <c r="A206" s="2">
        <v>1057474110</v>
      </c>
    </row>
    <row r="207" spans="1:2" x14ac:dyDescent="0.2">
      <c r="A207" s="2" t="s">
        <v>647</v>
      </c>
    </row>
    <row r="208" spans="1:2" x14ac:dyDescent="0.2">
      <c r="A208" s="2" t="s">
        <v>666</v>
      </c>
      <c r="B208">
        <v>966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DD3BC6-1488-E24E-AB33-6DAB25A95EAE}">
  <sheetPr codeName="Hoja8"/>
  <dimension ref="A1:BB2"/>
  <sheetViews>
    <sheetView zoomScaleNormal="100" workbookViewId="0">
      <selection activeCell="A2" sqref="A2"/>
    </sheetView>
  </sheetViews>
  <sheetFormatPr baseColWidth="10" defaultRowHeight="15" x14ac:dyDescent="0.2"/>
  <cols>
    <col min="1" max="1" width="23.6640625" bestFit="1" customWidth="1"/>
    <col min="2" max="2" width="17.1640625" bestFit="1" customWidth="1"/>
    <col min="3" max="3" width="19.5" customWidth="1"/>
    <col min="4" max="4" width="11.5" customWidth="1"/>
    <col min="5" max="5" width="27.1640625" bestFit="1" customWidth="1"/>
    <col min="6" max="6" width="15.1640625" customWidth="1"/>
    <col min="7" max="7" width="10.6640625" customWidth="1"/>
    <col min="8" max="8" width="20.83203125" customWidth="1"/>
    <col min="9" max="9" width="14.83203125" customWidth="1"/>
    <col min="10" max="10" width="13" customWidth="1"/>
    <col min="11" max="11" width="12.33203125" customWidth="1"/>
    <col min="12" max="12" width="36.1640625" customWidth="1"/>
    <col min="13" max="13" width="39" customWidth="1"/>
    <col min="14" max="14" width="37" customWidth="1"/>
    <col min="15" max="15" width="11.33203125" customWidth="1"/>
    <col min="16" max="16" width="8.83203125" bestFit="1" customWidth="1"/>
    <col min="17" max="17" width="9.83203125" bestFit="1" customWidth="1"/>
    <col min="18" max="19" width="10.83203125" bestFit="1" customWidth="1"/>
    <col min="20" max="20" width="12.1640625" customWidth="1"/>
    <col min="21" max="21" width="8.83203125" bestFit="1" customWidth="1"/>
    <col min="22" max="22" width="12.6640625" customWidth="1"/>
    <col min="23" max="23" width="15.33203125" customWidth="1"/>
    <col min="24" max="24" width="16.33203125" customWidth="1"/>
    <col min="25" max="25" width="17.6640625" customWidth="1"/>
    <col min="26" max="26" width="16.6640625" customWidth="1"/>
    <col min="27" max="27" width="14.6640625" customWidth="1"/>
    <col min="28" max="28" width="16.6640625" customWidth="1"/>
    <col min="29" max="29" width="19" customWidth="1"/>
    <col min="30" max="30" width="21.33203125" customWidth="1"/>
    <col min="31" max="31" width="27.6640625" customWidth="1"/>
    <col min="32" max="32" width="20.1640625" customWidth="1"/>
    <col min="33" max="33" width="12" customWidth="1"/>
    <col min="34" max="34" width="31.33203125" customWidth="1"/>
    <col min="35" max="35" width="14.5" customWidth="1"/>
    <col min="36" max="36" width="17.6640625" customWidth="1"/>
    <col min="37" max="37" width="15" bestFit="1" customWidth="1"/>
    <col min="38" max="38" width="21.5" customWidth="1"/>
    <col min="39" max="39" width="24.83203125" customWidth="1"/>
    <col min="40" max="40" width="27.5" customWidth="1"/>
    <col min="41" max="41" width="25.5" customWidth="1"/>
    <col min="42" max="42" width="12.1640625" customWidth="1"/>
    <col min="43" max="43" width="14.6640625" customWidth="1"/>
    <col min="44" max="44" width="9.5" customWidth="1"/>
    <col min="45" max="45" width="5.33203125" customWidth="1"/>
    <col min="46" max="46" width="26.33203125" customWidth="1"/>
    <col min="47" max="47" width="20" customWidth="1"/>
    <col min="48" max="48" width="5.6640625" customWidth="1"/>
    <col min="49" max="49" width="17.6640625" customWidth="1"/>
    <col min="50" max="50" width="13" customWidth="1"/>
    <col min="51" max="51" width="64.5" customWidth="1"/>
    <col min="52" max="52" width="59" customWidth="1"/>
    <col min="53" max="53" width="24.33203125" customWidth="1"/>
    <col min="54" max="54" width="15.5" customWidth="1"/>
    <col min="55" max="80" width="11.5" customWidth="1"/>
  </cols>
  <sheetData>
    <row r="1" spans="1:54" x14ac:dyDescent="0.2">
      <c r="A1" s="1" t="s">
        <v>0</v>
      </c>
      <c r="B1" s="1" t="s">
        <v>1</v>
      </c>
      <c r="C1" s="1" t="s">
        <v>2</v>
      </c>
      <c r="D1" s="1" t="s">
        <v>72</v>
      </c>
      <c r="E1" s="1" t="s">
        <v>3</v>
      </c>
      <c r="F1" s="1" t="s">
        <v>4</v>
      </c>
      <c r="G1" s="1" t="s">
        <v>5</v>
      </c>
      <c r="H1" s="1" t="s">
        <v>6</v>
      </c>
      <c r="I1" s="1" t="s">
        <v>11</v>
      </c>
      <c r="J1" s="1" t="s">
        <v>12</v>
      </c>
      <c r="K1" s="1" t="s">
        <v>13</v>
      </c>
      <c r="L1" s="1" t="s">
        <v>7</v>
      </c>
      <c r="M1" s="1" t="s">
        <v>8</v>
      </c>
      <c r="N1" s="1" t="s">
        <v>9</v>
      </c>
      <c r="O1" s="1" t="s">
        <v>10</v>
      </c>
      <c r="P1" s="1" t="s">
        <v>14</v>
      </c>
      <c r="Q1" s="1" t="s">
        <v>15</v>
      </c>
      <c r="R1" s="1" t="s">
        <v>16</v>
      </c>
      <c r="S1" s="1" t="s">
        <v>17</v>
      </c>
      <c r="T1" s="1" t="s">
        <v>18</v>
      </c>
      <c r="U1" s="1" t="s">
        <v>19</v>
      </c>
      <c r="V1" s="1" t="s">
        <v>20</v>
      </c>
      <c r="W1" s="1" t="s">
        <v>21</v>
      </c>
      <c r="X1" s="1" t="s">
        <v>22</v>
      </c>
      <c r="Y1" s="1" t="s">
        <v>23</v>
      </c>
      <c r="Z1" s="1" t="s">
        <v>25</v>
      </c>
      <c r="AA1" s="1" t="s">
        <v>24</v>
      </c>
      <c r="AB1" s="1" t="s">
        <v>26</v>
      </c>
      <c r="AC1" s="1" t="s">
        <v>27</v>
      </c>
      <c r="AD1" s="1" t="s">
        <v>28</v>
      </c>
      <c r="AE1" s="1" t="s">
        <v>29</v>
      </c>
      <c r="AF1" s="1" t="s">
        <v>30</v>
      </c>
      <c r="AG1" s="1" t="s">
        <v>31</v>
      </c>
      <c r="AH1" s="1" t="s">
        <v>32</v>
      </c>
      <c r="AI1" s="1" t="s">
        <v>33</v>
      </c>
      <c r="AJ1" s="1" t="s">
        <v>34</v>
      </c>
      <c r="AK1" s="1" t="s">
        <v>35</v>
      </c>
      <c r="AL1" s="1" t="s">
        <v>36</v>
      </c>
      <c r="AM1" s="1" t="s">
        <v>37</v>
      </c>
      <c r="AN1" s="1" t="s">
        <v>39</v>
      </c>
      <c r="AO1" s="1" t="s">
        <v>41</v>
      </c>
      <c r="AP1" s="1" t="s">
        <v>45</v>
      </c>
      <c r="AQ1" s="1" t="s">
        <v>46</v>
      </c>
      <c r="AR1" s="1" t="s">
        <v>47</v>
      </c>
      <c r="AS1" s="1" t="s">
        <v>48</v>
      </c>
      <c r="AT1" s="1" t="s">
        <v>49</v>
      </c>
      <c r="AU1" s="1" t="s">
        <v>50</v>
      </c>
      <c r="AV1" s="1" t="s">
        <v>51</v>
      </c>
      <c r="AW1" s="1" t="s">
        <v>52</v>
      </c>
      <c r="AX1" s="1" t="s">
        <v>53</v>
      </c>
      <c r="AY1" s="1" t="s">
        <v>55</v>
      </c>
      <c r="AZ1" s="1" t="s">
        <v>56</v>
      </c>
      <c r="BA1" s="1" t="s">
        <v>675</v>
      </c>
      <c r="BB1" s="1" t="s">
        <v>57</v>
      </c>
    </row>
    <row r="2" spans="1:54" s="54" customFormat="1" x14ac:dyDescent="0.2">
      <c r="A2" s="10">
        <v>20028077</v>
      </c>
      <c r="B2" s="10">
        <v>9117073</v>
      </c>
      <c r="C2" s="10">
        <v>5</v>
      </c>
      <c r="D2" s="10" t="s">
        <v>73</v>
      </c>
      <c r="E2" s="10" t="s">
        <v>309</v>
      </c>
      <c r="F2" s="10" t="s">
        <v>690</v>
      </c>
      <c r="G2" s="10" t="s">
        <v>58</v>
      </c>
      <c r="H2" s="10" t="s">
        <v>59</v>
      </c>
      <c r="I2" s="10" t="s">
        <v>65</v>
      </c>
      <c r="J2" s="10" t="s">
        <v>61</v>
      </c>
      <c r="K2" s="10" t="s">
        <v>66</v>
      </c>
      <c r="L2" s="10" t="s">
        <v>76</v>
      </c>
      <c r="M2" s="10" t="s">
        <v>60</v>
      </c>
      <c r="N2" s="10" t="s">
        <v>61</v>
      </c>
      <c r="O2" s="10" t="s">
        <v>130</v>
      </c>
      <c r="P2" s="11">
        <v>3.5</v>
      </c>
      <c r="Q2" s="10">
        <v>2.1</v>
      </c>
      <c r="R2" s="10">
        <v>2.2000000000000002</v>
      </c>
      <c r="S2" s="10">
        <v>0.3</v>
      </c>
      <c r="T2" s="2">
        <f t="shared" ref="T2" si="0">SUM(P2:S2)</f>
        <v>8.1</v>
      </c>
      <c r="U2" s="10">
        <v>201</v>
      </c>
      <c r="V2" s="10">
        <v>1385</v>
      </c>
      <c r="W2" s="2" t="str">
        <f t="shared" ref="W2" si="1">IF(U2&gt;=750,"5",IF(U2&gt;=550,"4",IF(U2&gt;=300,"3",IF(U2&gt;=100,"2","1"))))</f>
        <v>2</v>
      </c>
      <c r="X2" s="2" t="str">
        <f t="shared" ref="X2" si="2">IF(V2&gt;=7001,"5",IF(V2&gt;=5000,"4",IF(V2&gt;=3000,"3",IF(V2&gt;=1500,"2","1"))))</f>
        <v>1</v>
      </c>
      <c r="Y2" s="2" t="str">
        <f t="shared" ref="Y2" si="3">IF(T2&gt;=401,"5",IF(T2&gt;=301,"4",IF(T2&gt;=201,"3",IF(T2&gt;=95,"2","1"))))</f>
        <v>1</v>
      </c>
      <c r="Z2" s="3" t="str">
        <f t="shared" ref="Z2" si="4">IF(AA2&gt;=7,"5",IF(AA2&gt;=6,"4",IF(AA2&gt;=5,"3",IF(AA2&gt;=2,"2","1"))))</f>
        <v>1</v>
      </c>
      <c r="AA2" s="10">
        <v>0.1</v>
      </c>
      <c r="AB2" s="4">
        <f t="shared" ref="AB2" si="5">(W2+X2+Y2+Z2)/5</f>
        <v>1</v>
      </c>
      <c r="AC2" s="10">
        <v>24</v>
      </c>
      <c r="AD2" s="10">
        <v>44</v>
      </c>
      <c r="AE2" s="10">
        <v>0.02</v>
      </c>
      <c r="AF2" s="10">
        <v>41.7</v>
      </c>
      <c r="AG2" s="2">
        <f t="shared" ref="AG2" si="6">AF2/AE2</f>
        <v>2085</v>
      </c>
      <c r="AH2" s="2" t="str">
        <f t="shared" ref="AH2" si="7">IF(AC2&lt;=16,"5",IF(AC2&lt;=20,"4",IF(AC2&lt;=25,"3",IF(AC2&lt;=33,"2","1"))))</f>
        <v>3</v>
      </c>
      <c r="AI2" s="3" t="str">
        <f t="shared" ref="AI2" si="8">IF(AG2&lt;=713,"5",IF(AG2&lt;=999,"4",IF(AG2&lt;=1130,"3",IF(AG2&lt;=1499,"2","1"))))</f>
        <v>1</v>
      </c>
      <c r="AJ2" s="4">
        <f t="shared" ref="AJ2" si="9">AH2*0.8+AI2*0.2</f>
        <v>2.6000000000000005</v>
      </c>
      <c r="AK2" s="2">
        <v>297</v>
      </c>
      <c r="AL2" s="5" t="str">
        <f t="shared" ref="AL2" si="10">IF(AK2&gt;=5500,"5",IF(AK2&gt;=4800,"4",IF(AK2&gt;=3600,"3",IF(AK2&gt;=2400,"2","1"))))</f>
        <v>1</v>
      </c>
      <c r="AM2" s="10">
        <v>83.67</v>
      </c>
      <c r="AN2" s="10">
        <v>209.2</v>
      </c>
      <c r="AO2" s="10" t="s">
        <v>61</v>
      </c>
      <c r="AP2" s="10">
        <v>1</v>
      </c>
      <c r="AQ2" s="10">
        <v>1</v>
      </c>
      <c r="AR2" s="10">
        <v>5</v>
      </c>
      <c r="AS2" s="10" t="s">
        <v>61</v>
      </c>
      <c r="AT2" s="5">
        <v>5</v>
      </c>
      <c r="AU2" s="10">
        <v>1991</v>
      </c>
      <c r="AV2" s="2">
        <f t="shared" ref="AV2" si="11">2025-AU2</f>
        <v>34</v>
      </c>
      <c r="AW2" s="5" t="str">
        <f t="shared" ref="AW2" si="12">IF(AV2&gt;=30,"5",IF(AV2&gt;=26,"4",IF(AV2&gt;=19,"3",IF(AV2&gt;=7,"2","1"))))</f>
        <v>5</v>
      </c>
      <c r="AX2" s="4">
        <v>1</v>
      </c>
      <c r="AY2"/>
      <c r="AZ2"/>
      <c r="BA2" s="10"/>
      <c r="BB2" t="s">
        <v>691</v>
      </c>
    </row>
  </sheetData>
  <autoFilter ref="A1:BB2" xr:uid="{00000000-0009-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8</vt:i4>
      </vt:variant>
    </vt:vector>
  </HeadingPairs>
  <TitlesOfParts>
    <vt:vector size="8" baseType="lpstr">
      <vt:lpstr>CONTRAMUESTRAS</vt:lpstr>
      <vt:lpstr>TX_Potencia</vt:lpstr>
      <vt:lpstr>TPT_Servicio</vt:lpstr>
      <vt:lpstr>Hoja1</vt:lpstr>
      <vt:lpstr>TX_Respaldo</vt:lpstr>
      <vt:lpstr>Hoja3</vt:lpstr>
      <vt:lpstr>Hoja2</vt:lpstr>
      <vt:lpstr>FALLADOS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MIGUEL ANTONIO JIMENEZ PEREZ</dc:creator>
  <cp:lastModifiedBy>Miguel Jimenez</cp:lastModifiedBy>
  <dcterms:created xsi:type="dcterms:W3CDTF">2025-07-03T18:48:11Z</dcterms:created>
  <dcterms:modified xsi:type="dcterms:W3CDTF">2026-05-10T19:02:54Z</dcterms:modified>
</cp:coreProperties>
</file>